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Samir\"/>
    </mc:Choice>
  </mc:AlternateContent>
  <xr:revisionPtr revIDLastSave="0" documentId="13_ncr:1_{176391D1-43AE-46C3-BF5B-CF0AFC8E5022}" xr6:coauthVersionLast="47" xr6:coauthVersionMax="47" xr10:uidLastSave="{00000000-0000-0000-0000-000000000000}"/>
  <bookViews>
    <workbookView xWindow="-120" yWindow="-120" windowWidth="29040" windowHeight="15720" firstSheet="4" activeTab="17" xr2:uid="{BEED4A70-B61E-4C8D-BAB3-F17C8E5D544F}"/>
  </bookViews>
  <sheets>
    <sheet name="DASHBOARD" sheetId="1" r:id="rId1"/>
    <sheet name="02-08" sheetId="2" r:id="rId2"/>
    <sheet name="03-08" sheetId="3" r:id="rId3"/>
    <sheet name="04-08" sheetId="4" r:id="rId4"/>
    <sheet name="05-08" sheetId="5" r:id="rId5"/>
    <sheet name="06-08" sheetId="6" r:id="rId6"/>
    <sheet name="09-08" sheetId="7" r:id="rId7"/>
    <sheet name="10-08" sheetId="8" r:id="rId8"/>
    <sheet name="11-08" sheetId="9" r:id="rId9"/>
    <sheet name="12-08" sheetId="10" r:id="rId10"/>
    <sheet name="13-08" sheetId="11" r:id="rId11"/>
    <sheet name="16-08" sheetId="12" r:id="rId12"/>
    <sheet name="17-08" sheetId="13" r:id="rId13"/>
    <sheet name="18-08" sheetId="14" r:id="rId14"/>
    <sheet name="19-08" sheetId="15" r:id="rId15"/>
    <sheet name="20-08" sheetId="16" r:id="rId16"/>
    <sheet name="23-08" sheetId="17" r:id="rId17"/>
    <sheet name="24-08" sheetId="18" r:id="rId18"/>
    <sheet name="26-08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J2" i="19"/>
  <c r="F2" i="19"/>
  <c r="H2" i="19" s="1"/>
  <c r="H1" i="19"/>
  <c r="B19" i="1" s="1"/>
  <c r="B20" i="1"/>
  <c r="D20" i="1" s="1"/>
  <c r="C20" i="1"/>
  <c r="C18" i="1"/>
  <c r="B18" i="1"/>
  <c r="D18" i="1"/>
  <c r="H2" i="18"/>
  <c r="F2" i="18"/>
  <c r="J2" i="18"/>
  <c r="H1" i="18"/>
  <c r="F2" i="17"/>
  <c r="H2" i="17" s="1"/>
  <c r="F2" i="16"/>
  <c r="H2" i="16"/>
  <c r="C16" i="1" s="1"/>
  <c r="D16" i="1" s="1"/>
  <c r="H1" i="16"/>
  <c r="B17" i="1"/>
  <c r="B16" i="1"/>
  <c r="J2" i="17"/>
  <c r="H1" i="17"/>
  <c r="H2" i="15"/>
  <c r="J2" i="16"/>
  <c r="B12" i="1"/>
  <c r="B14" i="1"/>
  <c r="J2" i="15"/>
  <c r="F2" i="15"/>
  <c r="H1" i="15"/>
  <c r="B15" i="1" s="1"/>
  <c r="J2" i="14"/>
  <c r="F2" i="14"/>
  <c r="H2" i="14" s="1"/>
  <c r="C14" i="1" s="1"/>
  <c r="D14" i="1" s="1"/>
  <c r="H1" i="14"/>
  <c r="C12" i="1"/>
  <c r="B13" i="1"/>
  <c r="N2" i="13"/>
  <c r="J2" i="13"/>
  <c r="L2" i="13" s="1"/>
  <c r="C13" i="1" s="1"/>
  <c r="D13" i="1" s="1"/>
  <c r="L1" i="13"/>
  <c r="J2" i="12"/>
  <c r="F2" i="12"/>
  <c r="H2" i="12" s="1"/>
  <c r="H1" i="12"/>
  <c r="D12" i="1"/>
  <c r="C11" i="1"/>
  <c r="B11" i="1"/>
  <c r="C10" i="1"/>
  <c r="B10" i="1"/>
  <c r="D10" i="1" s="1"/>
  <c r="J2" i="11"/>
  <c r="F2" i="11"/>
  <c r="H2" i="11" s="1"/>
  <c r="H1" i="11"/>
  <c r="J2" i="10"/>
  <c r="F2" i="10"/>
  <c r="H2" i="10" s="1"/>
  <c r="H1" i="10"/>
  <c r="B9" i="1"/>
  <c r="H1" i="9"/>
  <c r="H2" i="9"/>
  <c r="C9" i="1" s="1"/>
  <c r="D9" i="1" s="1"/>
  <c r="J2" i="9"/>
  <c r="F2" i="9"/>
  <c r="H2" i="8"/>
  <c r="B8" i="1"/>
  <c r="J2" i="8"/>
  <c r="F2" i="8"/>
  <c r="H1" i="8"/>
  <c r="C5" i="1"/>
  <c r="B5" i="1"/>
  <c r="H2" i="6"/>
  <c r="J2" i="7"/>
  <c r="F2" i="7"/>
  <c r="H2" i="7" s="1"/>
  <c r="C7" i="1" s="1"/>
  <c r="D7" i="1" s="1"/>
  <c r="H1" i="7"/>
  <c r="B7" i="1" s="1"/>
  <c r="F2" i="6"/>
  <c r="B6" i="1"/>
  <c r="H1" i="6"/>
  <c r="J2" i="6"/>
  <c r="H1" i="3"/>
  <c r="B3" i="1" s="1"/>
  <c r="H1" i="4"/>
  <c r="H1" i="5"/>
  <c r="J2" i="5"/>
  <c r="F2" i="5"/>
  <c r="H2" i="5" s="1"/>
  <c r="B4" i="1"/>
  <c r="J2" i="4"/>
  <c r="F2" i="4"/>
  <c r="H2" i="4" s="1"/>
  <c r="C4" i="1" s="1"/>
  <c r="H2" i="2"/>
  <c r="J2" i="2"/>
  <c r="J2" i="3"/>
  <c r="F2" i="3"/>
  <c r="H2" i="3" s="1"/>
  <c r="F2" i="2"/>
  <c r="C2" i="1" s="1"/>
  <c r="H1" i="2"/>
  <c r="B2" i="1" s="1"/>
  <c r="D19" i="1" l="1"/>
  <c r="C17" i="1"/>
  <c r="D17" i="1" s="1"/>
  <c r="C15" i="1"/>
  <c r="D11" i="1"/>
  <c r="C8" i="1"/>
  <c r="D8" i="1"/>
  <c r="B24" i="1"/>
  <c r="C6" i="1"/>
  <c r="D6" i="1" s="1"/>
  <c r="D5" i="1"/>
  <c r="D4" i="1"/>
  <c r="C3" i="1"/>
  <c r="D2" i="1"/>
  <c r="C24" i="1" l="1"/>
  <c r="D15" i="1"/>
  <c r="D3" i="1"/>
  <c r="D24" i="1" l="1"/>
</calcChain>
</file>

<file path=xl/sharedStrings.xml><?xml version="1.0" encoding="utf-8"?>
<sst xmlns="http://schemas.openxmlformats.org/spreadsheetml/2006/main" count="917" uniqueCount="315">
  <si>
    <t>Date</t>
  </si>
  <si>
    <t>TC Réceptionnés</t>
  </si>
  <si>
    <t>TC Sortis</t>
  </si>
  <si>
    <t>Total Mouvements</t>
  </si>
  <si>
    <t>TC Sortis
VIDE</t>
  </si>
  <si>
    <t>Total</t>
  </si>
  <si>
    <t>TC</t>
  </si>
  <si>
    <t>VH</t>
  </si>
  <si>
    <t>FICHE DE MOUVEMENT</t>
  </si>
  <si>
    <t>RECEPTION</t>
  </si>
  <si>
    <t xml:space="preserve">N° </t>
  </si>
  <si>
    <t>N° CRN</t>
  </si>
  <si>
    <t>Date R</t>
  </si>
  <si>
    <t>N° Conteneur</t>
  </si>
  <si>
    <t>N° Scellé</t>
  </si>
  <si>
    <t>Vol</t>
  </si>
  <si>
    <t>SORTIE</t>
  </si>
  <si>
    <t>Date S</t>
  </si>
  <si>
    <t>IMM</t>
  </si>
  <si>
    <t>VISITE</t>
  </si>
  <si>
    <t>Date V</t>
  </si>
  <si>
    <t>AN° Scellé</t>
  </si>
  <si>
    <t>NO° Scellé</t>
  </si>
  <si>
    <t>SEKU600313 /0</t>
  </si>
  <si>
    <t>VIDE</t>
  </si>
  <si>
    <t>TCLU977933 /2</t>
  </si>
  <si>
    <t>TRHU606329 /0</t>
  </si>
  <si>
    <t>TCLU188522 /0</t>
  </si>
  <si>
    <t>01391-590-31</t>
  </si>
  <si>
    <t>00568-509-31</t>
  </si>
  <si>
    <t>00647-509-31</t>
  </si>
  <si>
    <t>MSBU404538 /8</t>
  </si>
  <si>
    <t>MSBU107698 /1</t>
  </si>
  <si>
    <t>01391-590-32</t>
  </si>
  <si>
    <t>CMAU368040 /0</t>
  </si>
  <si>
    <t>ECMU493389 /2</t>
  </si>
  <si>
    <t>ECMU523561 /7</t>
  </si>
  <si>
    <t>SEGU440329 /8</t>
  </si>
  <si>
    <t>SEKU609420 /6</t>
  </si>
  <si>
    <t>TLLU462879 /5</t>
  </si>
  <si>
    <t>TXGU442737 /0</t>
  </si>
  <si>
    <t>TXGU846880 /3</t>
  </si>
  <si>
    <t xml:space="preserve"> </t>
  </si>
  <si>
    <t>BMOU561208 /4</t>
  </si>
  <si>
    <t>ECMU489993 /0</t>
  </si>
  <si>
    <t>SEKU622422 /8</t>
  </si>
  <si>
    <t>TCNU393420 /7</t>
  </si>
  <si>
    <t>TCNU569113 /2</t>
  </si>
  <si>
    <t>TCNU578406 /6</t>
  </si>
  <si>
    <t>TLLU893965 /0</t>
  </si>
  <si>
    <t>M2054210</t>
  </si>
  <si>
    <t xml:space="preserve">M1855651 </t>
  </si>
  <si>
    <t xml:space="preserve">L7765668 </t>
  </si>
  <si>
    <t xml:space="preserve">M1855663 </t>
  </si>
  <si>
    <t xml:space="preserve">M1855656 </t>
  </si>
  <si>
    <t xml:space="preserve">M1855653 </t>
  </si>
  <si>
    <t>M1855654</t>
  </si>
  <si>
    <t>00002-515-20</t>
  </si>
  <si>
    <t>00052-512-31</t>
  </si>
  <si>
    <t>00349-513-31</t>
  </si>
  <si>
    <t>000099-514-13</t>
  </si>
  <si>
    <t>00001-510-46</t>
  </si>
  <si>
    <t>00010-510-46</t>
  </si>
  <si>
    <t>000150-513-13</t>
  </si>
  <si>
    <t>0000028-524-13</t>
  </si>
  <si>
    <t>TGBU415699 /6</t>
  </si>
  <si>
    <t>TCNU351908 /4</t>
  </si>
  <si>
    <t>APZU440364 /1</t>
  </si>
  <si>
    <t>WFHU415155 /5</t>
  </si>
  <si>
    <t>00042-508-46</t>
  </si>
  <si>
    <t>00006-516-46</t>
  </si>
  <si>
    <t>02386-586-31</t>
  </si>
  <si>
    <t>00274-514-31</t>
  </si>
  <si>
    <t>00403-503-31</t>
  </si>
  <si>
    <t>02255-586-31</t>
  </si>
  <si>
    <t>00351-506-31</t>
  </si>
  <si>
    <t>01450-590-31</t>
  </si>
  <si>
    <t>00629-509-31</t>
  </si>
  <si>
    <t>00124-523-31</t>
  </si>
  <si>
    <t>00125-523-31</t>
  </si>
  <si>
    <t>TCLU768371 /4</t>
  </si>
  <si>
    <t>MSDU459782 /5</t>
  </si>
  <si>
    <t>00631-509-31</t>
  </si>
  <si>
    <t>00132ICS0008</t>
  </si>
  <si>
    <t>MSMU640873 /7</t>
  </si>
  <si>
    <t>1383717</t>
  </si>
  <si>
    <t>40</t>
  </si>
  <si>
    <t>SEKU679530 /9</t>
  </si>
  <si>
    <t>1383734</t>
  </si>
  <si>
    <t>TGCU546808 /2</t>
  </si>
  <si>
    <t>L7859611</t>
  </si>
  <si>
    <t>00375-585-31</t>
  </si>
  <si>
    <t>MRKU581407 /1</t>
  </si>
  <si>
    <t>MSMU924819 /1</t>
  </si>
  <si>
    <t>FJ28373341</t>
  </si>
  <si>
    <t>45</t>
  </si>
  <si>
    <t>DRYU249885 /2</t>
  </si>
  <si>
    <t>20</t>
  </si>
  <si>
    <t>MEDU508616 /5</t>
  </si>
  <si>
    <t>MEDU548200 /0</t>
  </si>
  <si>
    <t>MSBU194819 /5</t>
  </si>
  <si>
    <t>MSNU108559 /5</t>
  </si>
  <si>
    <t>MSNU318488 /0</t>
  </si>
  <si>
    <t>TLLU219321 /9</t>
  </si>
  <si>
    <t>MSDU705579 /3</t>
  </si>
  <si>
    <t>KG356021</t>
  </si>
  <si>
    <t>TRHU598192 /1</t>
  </si>
  <si>
    <t>KG356016</t>
  </si>
  <si>
    <t>CRTU760967 /9</t>
  </si>
  <si>
    <t>FLAT</t>
  </si>
  <si>
    <t>MSCU255953 /0</t>
  </si>
  <si>
    <t>FJ25931782</t>
  </si>
  <si>
    <t>MSDU600819 /0</t>
  </si>
  <si>
    <t>FJ25931784</t>
  </si>
  <si>
    <t>MSDU749894 /0</t>
  </si>
  <si>
    <t>FJ25931785</t>
  </si>
  <si>
    <t>TCLU600116 /8</t>
  </si>
  <si>
    <t>APHU462388 /0</t>
  </si>
  <si>
    <t>M5051699</t>
  </si>
  <si>
    <t>SEGU589315 /8</t>
  </si>
  <si>
    <t>M5050362</t>
  </si>
  <si>
    <t>APHU466065 /2</t>
  </si>
  <si>
    <t>M5051742</t>
  </si>
  <si>
    <t>CAIU584820 /7</t>
  </si>
  <si>
    <t>M5051750</t>
  </si>
  <si>
    <t>CMAU685882 /0</t>
  </si>
  <si>
    <t>M7930882</t>
  </si>
  <si>
    <t>FCIU610918 /0</t>
  </si>
  <si>
    <t>J0720981</t>
  </si>
  <si>
    <t>FDCU015420 /1</t>
  </si>
  <si>
    <t>M9742568</t>
  </si>
  <si>
    <t>ECMU806509 /4</t>
  </si>
  <si>
    <t>J0533956</t>
  </si>
  <si>
    <t>ECMU806813 /3</t>
  </si>
  <si>
    <t>J0533908</t>
  </si>
  <si>
    <t>ECMU811432 /6</t>
  </si>
  <si>
    <t>J0530888</t>
  </si>
  <si>
    <t>MSMU924754 /9</t>
  </si>
  <si>
    <t>FJ27551123</t>
  </si>
  <si>
    <t>MSMU925638 /7</t>
  </si>
  <si>
    <t>FJ27551129</t>
  </si>
  <si>
    <t>00137ICS0120</t>
  </si>
  <si>
    <t>00137ICS0047</t>
  </si>
  <si>
    <t>00137ICS0041</t>
  </si>
  <si>
    <t>00137ICS0012</t>
  </si>
  <si>
    <t>00209ICS0098</t>
  </si>
  <si>
    <t>00209ICS0084</t>
  </si>
  <si>
    <t>00209ICS0052</t>
  </si>
  <si>
    <t>00209ICS0051</t>
  </si>
  <si>
    <t>00137ICS0177</t>
  </si>
  <si>
    <t>KOCU444962/9</t>
  </si>
  <si>
    <t>BMOU595766/1</t>
  </si>
  <si>
    <t>00419-505-31</t>
  </si>
  <si>
    <t>FX44654381</t>
  </si>
  <si>
    <t>ANNULLEE</t>
  </si>
  <si>
    <t>CAIU560903 /3</t>
  </si>
  <si>
    <t xml:space="preserve">F118292 </t>
  </si>
  <si>
    <t xml:space="preserve">SEGU737247 /8 </t>
  </si>
  <si>
    <t>F118251</t>
  </si>
  <si>
    <t>SEGU737263 /1</t>
  </si>
  <si>
    <t>F118296</t>
  </si>
  <si>
    <t>SEGU737305 /2</t>
  </si>
  <si>
    <t>F118291</t>
  </si>
  <si>
    <t>TCLU707021 /9</t>
  </si>
  <si>
    <t xml:space="preserve">F118286 </t>
  </si>
  <si>
    <t>TCLU713118 /7</t>
  </si>
  <si>
    <t xml:space="preserve">F118262 </t>
  </si>
  <si>
    <t>TEXU154116 /4</t>
  </si>
  <si>
    <t xml:space="preserve">F118290 </t>
  </si>
  <si>
    <t>TEXU157181 /0</t>
  </si>
  <si>
    <t xml:space="preserve">F118263 </t>
  </si>
  <si>
    <t>TLLU126525 /3</t>
  </si>
  <si>
    <t>F118269</t>
  </si>
  <si>
    <t>TRIU053365 /6</t>
  </si>
  <si>
    <t>F118281</t>
  </si>
  <si>
    <t>CSGU699239 /4</t>
  </si>
  <si>
    <t xml:space="preserve">CSGU700576 /7 </t>
  </si>
  <si>
    <t>00369-512-31</t>
  </si>
  <si>
    <t>LMG--T3241544</t>
  </si>
  <si>
    <t>GAC GS3</t>
  </si>
  <si>
    <t>TLLU468314 /9</t>
  </si>
  <si>
    <t>M8351211</t>
  </si>
  <si>
    <t>FFAU207203 /9</t>
  </si>
  <si>
    <t>EU31341933</t>
  </si>
  <si>
    <t>MSBU729857 /0</t>
  </si>
  <si>
    <t>EU31339590</t>
  </si>
  <si>
    <t>MSNU575653 /6</t>
  </si>
  <si>
    <t>EU31341924</t>
  </si>
  <si>
    <t>SEGU627118 /5</t>
  </si>
  <si>
    <t>EU31341890</t>
  </si>
  <si>
    <t>MBSU281340 /6</t>
  </si>
  <si>
    <t>LB0263265</t>
  </si>
  <si>
    <t>CMAU995575 /7</t>
  </si>
  <si>
    <t>M2002559</t>
  </si>
  <si>
    <t>0141ICS0097</t>
  </si>
  <si>
    <t>0034ICS0014</t>
  </si>
  <si>
    <t>0644ICS0046</t>
  </si>
  <si>
    <t>TCNU364693 /6</t>
  </si>
  <si>
    <t>APZU482800 /8</t>
  </si>
  <si>
    <t>TEMU319824 /0</t>
  </si>
  <si>
    <t>00208-508-31</t>
  </si>
  <si>
    <t>00152-518-31</t>
  </si>
  <si>
    <t>19147-512-27</t>
  </si>
  <si>
    <t>16732-513-27</t>
  </si>
  <si>
    <t>50001-512-27</t>
  </si>
  <si>
    <t>00965-509-27</t>
  </si>
  <si>
    <t>03761-507-48</t>
  </si>
  <si>
    <t>0024-511-27</t>
  </si>
  <si>
    <t>50004-525-27</t>
  </si>
  <si>
    <t>239-511-</t>
  </si>
  <si>
    <t>1900-509-31</t>
  </si>
  <si>
    <t>TCLU197143 /6</t>
  </si>
  <si>
    <t>00108-515-31</t>
  </si>
  <si>
    <t>TIIU811908 /0</t>
  </si>
  <si>
    <t>M8273609</t>
  </si>
  <si>
    <t>TIIU811819 /1</t>
  </si>
  <si>
    <t>M8273604</t>
  </si>
  <si>
    <t>MEDU957207 /8</t>
  </si>
  <si>
    <t>FX47781171</t>
  </si>
  <si>
    <t>11082-502-27</t>
  </si>
  <si>
    <t>GROUPAGE</t>
  </si>
  <si>
    <t>0221ICS0044/4</t>
  </si>
  <si>
    <t>0221ICS0048/4</t>
  </si>
  <si>
    <t>00143ICS0117</t>
  </si>
  <si>
    <t>MEDU951011 /6</t>
  </si>
  <si>
    <t>MEDU958286 /2</t>
  </si>
  <si>
    <t>FX46629585</t>
  </si>
  <si>
    <t>FX46635083</t>
  </si>
  <si>
    <t>TRHU194179 /3</t>
  </si>
  <si>
    <t>HMMU437539 /2</t>
  </si>
  <si>
    <t>25H1381151</t>
  </si>
  <si>
    <t>00419-517-31</t>
  </si>
  <si>
    <t>TLLU468314 /</t>
  </si>
  <si>
    <t>MSMU834901 /6</t>
  </si>
  <si>
    <t>B2506030</t>
  </si>
  <si>
    <t>00207-508-31</t>
  </si>
  <si>
    <t>00384-507-31</t>
  </si>
  <si>
    <t>002073-588-31</t>
  </si>
  <si>
    <t>TRHU875969 /3</t>
  </si>
  <si>
    <t>549293</t>
  </si>
  <si>
    <t>00092-509-31</t>
  </si>
  <si>
    <t>00385-510-31</t>
  </si>
  <si>
    <t>00089-512-31</t>
  </si>
  <si>
    <t>00372-510-31</t>
  </si>
  <si>
    <t>00092-518-31</t>
  </si>
  <si>
    <t>00358-511-31</t>
  </si>
  <si>
    <t>00103-510-31</t>
  </si>
  <si>
    <t>MEDU760577 /9</t>
  </si>
  <si>
    <t>MA526075</t>
  </si>
  <si>
    <t>MSDU787252 /0</t>
  </si>
  <si>
    <t>MA526074</t>
  </si>
  <si>
    <t>ECMU809447 /2</t>
  </si>
  <si>
    <t>M4936024</t>
  </si>
  <si>
    <t>TCLU331996 /2</t>
  </si>
  <si>
    <t>L7197041</t>
  </si>
  <si>
    <t>TLLU408917 /9</t>
  </si>
  <si>
    <t>M1412926</t>
  </si>
  <si>
    <t>0149ICS0026</t>
  </si>
  <si>
    <t>0221ICS0244</t>
  </si>
  <si>
    <t>0221ICS0151</t>
  </si>
  <si>
    <t>0221ICS0035</t>
  </si>
  <si>
    <t>00070-505-31</t>
  </si>
  <si>
    <t>00338-506-31</t>
  </si>
  <si>
    <t>00172-516-31</t>
  </si>
  <si>
    <t>00159-516-31</t>
  </si>
  <si>
    <t>00175-516-31</t>
  </si>
  <si>
    <t>000028-515-31</t>
  </si>
  <si>
    <t>16227-513-48</t>
  </si>
  <si>
    <t>00335-510-31</t>
  </si>
  <si>
    <t>TTNU102467 /0</t>
  </si>
  <si>
    <t>00310-510-31</t>
  </si>
  <si>
    <t>00053-511-31</t>
  </si>
  <si>
    <t>00255-510-31</t>
  </si>
  <si>
    <t>000310-510-31</t>
  </si>
  <si>
    <t>3602841</t>
  </si>
  <si>
    <t>CAIU818783 /6</t>
  </si>
  <si>
    <t>CAIU819501 /9</t>
  </si>
  <si>
    <t>CAXU959721 /0</t>
  </si>
  <si>
    <t>CRSU928503 /0</t>
  </si>
  <si>
    <t>HLD2681836</t>
  </si>
  <si>
    <t>CXDU134311 /3</t>
  </si>
  <si>
    <t>CXDU168050 /0</t>
  </si>
  <si>
    <t>FCGU198565 /0</t>
  </si>
  <si>
    <t>GESU661177 /9</t>
  </si>
  <si>
    <t>HJMU133346 /2</t>
  </si>
  <si>
    <t>HJMU152689 /9</t>
  </si>
  <si>
    <t>SEGU466432 /6</t>
  </si>
  <si>
    <t>TCNU646691 /7</t>
  </si>
  <si>
    <t>TGHU694661 /0</t>
  </si>
  <si>
    <t>GESU575475 /4</t>
  </si>
  <si>
    <t>Depotage</t>
  </si>
  <si>
    <t>08436-585-14</t>
  </si>
  <si>
    <t>002205-509-16</t>
  </si>
  <si>
    <t>ECMU512820 /2</t>
  </si>
  <si>
    <t>R9410054</t>
  </si>
  <si>
    <t>TRLU948903 /4</t>
  </si>
  <si>
    <t>L7956894</t>
  </si>
  <si>
    <t>TCKU725483 /6</t>
  </si>
  <si>
    <t>BD0235592</t>
  </si>
  <si>
    <t>OOLU678904 /3</t>
  </si>
  <si>
    <t>SYA5003483</t>
  </si>
  <si>
    <t>ARKU855648 /7</t>
  </si>
  <si>
    <t>B1779962</t>
  </si>
  <si>
    <t>0078ICS0038</t>
  </si>
  <si>
    <t>0147ICS0013</t>
  </si>
  <si>
    <t>0147ICS0033</t>
  </si>
  <si>
    <t>24/08/2026</t>
  </si>
  <si>
    <t>002233-585-31</t>
  </si>
  <si>
    <t>BMOU213576 /9</t>
  </si>
  <si>
    <t>2134430</t>
  </si>
  <si>
    <t>CXSU114000 /6</t>
  </si>
  <si>
    <t>0</t>
  </si>
  <si>
    <t>TCLU600602 /5</t>
  </si>
  <si>
    <t>0152ICS0044</t>
  </si>
  <si>
    <t>26/08/2026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</si>
</sst>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#&quot;/&quot;##&quot;/&quot;####"/>
  </numFmts>
  <fonts count="25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b/>
      <sz val="10"/>
      <color rgb="FF1A1A1A"/>
      <name val="Segoe UI"/>
      <family val="2"/>
    </font>
    <font>
      <b/>
      <sz val="11"/>
      <color rgb="FF2C3E50"/>
      <name val="Segoe U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0"/>
      <color rgb="FFFFFFFF"/>
      <name val="Segoe UI"/>
      <family val="2"/>
    </font>
    <font>
      <b/>
      <sz val="16"/>
      <name val="Segoe UI"/>
      <family val="2"/>
    </font>
    <font>
      <b/>
      <sz val="11"/>
      <name val="Calibri"/>
      <family val="2"/>
    </font>
    <font>
      <b/>
      <sz val="10"/>
      <color rgb="FF2C3E50"/>
      <name val="Segoe UI"/>
      <family val="2"/>
    </font>
    <font>
      <sz val="10"/>
      <color rgb="FF334155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sz val="8"/>
      <name val="Aptos Narrow"/>
      <family val="2"/>
      <scheme val="minor"/>
    </font>
    <font>
      <sz val="10"/>
      <color rgb="FF000000"/>
      <name val="Segoe U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</font>
    <font>
      <sz val="10"/>
      <color rgb="FF000000"/>
      <name val="Segoe U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9F9"/>
        <bgColor rgb="FFF8F9F9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FFC000"/>
        <bgColor indexed="64"/>
      </patternFill>
    </fill>
    <fill>
      <patternFill patternType="solid">
        <fgColor rgb="FFED0000"/>
        <bgColor rgb="FF2C3E50"/>
      </patternFill>
    </fill>
    <fill>
      <patternFill patternType="solid">
        <fgColor rgb="FF2C3E50"/>
        <bgColor rgb="FF2C3E50"/>
      </patternFill>
    </fill>
  </fills>
  <borders count="18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1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64" fontId="2" fillId="3" borderId="1" xfId="0" quotePrefix="1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9" fillId="0" borderId="0" xfId="0" applyFont="1"/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5" fontId="10" fillId="0" borderId="13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5" fontId="10" fillId="0" borderId="9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0" fillId="0" borderId="13" xfId="0" quotePrefix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13" xfId="0" applyFont="1" applyBorder="1" applyAlignment="1">
      <alignment horizontal="center" vertical="center"/>
    </xf>
    <xf numFmtId="14" fontId="12" fillId="0" borderId="1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4" fontId="12" fillId="0" borderId="15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wrapText="1"/>
    </xf>
    <xf numFmtId="14" fontId="12" fillId="0" borderId="13" xfId="0" applyNumberFormat="1" applyFont="1" applyBorder="1" applyAlignment="1">
      <alignment vertical="center"/>
    </xf>
    <xf numFmtId="0" fontId="17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4" fillId="0" borderId="13" xfId="0" applyFont="1" applyBorder="1" applyAlignment="1">
      <alignment vertical="center"/>
    </xf>
    <xf numFmtId="0" fontId="14" fillId="0" borderId="13" xfId="0" applyFont="1" applyBorder="1" applyAlignment="1">
      <alignment horizontal="center"/>
    </xf>
    <xf numFmtId="0" fontId="12" fillId="0" borderId="13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10" fillId="0" borderId="1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2" fillId="0" borderId="13" xfId="0" applyNumberFormat="1" applyFont="1" applyBorder="1" applyAlignment="1">
      <alignment horizontal="center" vertical="center"/>
    </xf>
    <xf numFmtId="14" fontId="16" fillId="0" borderId="15" xfId="0" applyNumberFormat="1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11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4" fontId="12" fillId="0" borderId="15" xfId="0" applyNumberFormat="1" applyFont="1" applyBorder="1" applyAlignment="1">
      <alignment horizontal="center" vertical="center"/>
    </xf>
    <xf numFmtId="14" fontId="12" fillId="0" borderId="1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4" fontId="12" fillId="0" borderId="16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 wrapText="1"/>
    </xf>
    <xf numFmtId="14" fontId="4" fillId="0" borderId="0" xfId="0" applyNumberFormat="1" applyFont="1" applyAlignment="1">
      <alignment vertical="center"/>
    </xf>
    <xf numFmtId="14" fontId="14" fillId="0" borderId="13" xfId="0" applyNumberFormat="1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14" fontId="24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7CC03D9D-926F-4E09-97A5-FFE52C193664}"/>
  </cellStyles>
  <dxfs count="4"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  <dxf>
      <fill>
        <patternFill>
          <f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161926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31FD19A-8F5E-4B97-BAA3-CD56CA8C4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2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B3C160D-4432-4BA9-97C5-E03D24897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5143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CDC6AB5-AF76-4FD9-9578-657DC43EF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762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E55CDC9-0968-401E-B317-AB5EE1334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857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190500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8516C04-79CD-4E34-86DF-4F24FC887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5048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2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C67177C-DE94-4029-8D61-C8E171CC6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5143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D5D6E4E-C804-4410-B01A-5737E21BA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857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104775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62AE438-FA40-400F-861F-78933A511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190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2</xdr:row>
      <xdr:rowOff>38100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4AAA206-7604-4319-A9E7-93179CC5A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190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180975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29A1CAB-BDE5-4AC6-8792-E7E0D63EF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952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2</xdr:row>
      <xdr:rowOff>19050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BA2DEDD-D386-4E3F-B2D5-788D27439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5333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180975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EF053AF-A705-4040-9060-672164BD7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9529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1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2BC84A0-C3D0-4F54-B0A9-AF574D74E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5719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876300</xdr:colOff>
      <xdr:row>2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477A412-38FE-4FCD-8418-7D26E1342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45719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809625</xdr:colOff>
      <xdr:row>2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E5187AF-A7A8-4CE9-953F-8B894BD86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51434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476250</xdr:colOff>
      <xdr:row>2</xdr:row>
      <xdr:rowOff>133350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3C0C295-E4CD-45AA-875F-065AA93D4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0250" cy="51434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476250</xdr:colOff>
      <xdr:row>2</xdr:row>
      <xdr:rowOff>57150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0802DD4-19F6-4BAC-8B53-BCD39A0CE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666875" cy="45719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476250</xdr:colOff>
      <xdr:row>2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DCD0176-5B64-40DA-AA14-90D580B17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666875" cy="457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4B694-3CF0-4236-B0D3-C3AB4D8B016D}">
  <we:reference id="wa200007447" version="1.1.6.7" store="fr-FR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21C6-43ED-4813-A986-4883268767C5}">
  <dimension ref="A1:F24"/>
  <sheetViews>
    <sheetView workbookViewId="0">
      <selection activeCell="C18" sqref="C18"/>
    </sheetView>
  </sheetViews>
  <sheetFormatPr baseColWidth="10" defaultColWidth="9.140625" defaultRowHeight="15" x14ac:dyDescent="0.25"/>
  <cols>
    <col min="1" max="1" width="47" customWidth="1"/>
    <col min="2" max="2" width="18" bestFit="1" customWidth="1"/>
    <col min="3" max="3" width="17.42578125" bestFit="1" customWidth="1"/>
    <col min="4" max="4" width="20.28515625" bestFit="1" customWidth="1"/>
    <col min="5" max="5" width="4.85546875" customWidth="1"/>
    <col min="6" max="6" width="15.42578125" customWidth="1"/>
  </cols>
  <sheetData>
    <row r="1" spans="1:6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6" ht="16.5" x14ac:dyDescent="0.25">
      <c r="A2" s="2">
        <v>46236</v>
      </c>
      <c r="B2" s="3">
        <f>'02-08'!H1</f>
        <v>0</v>
      </c>
      <c r="C2" s="3">
        <f>'02-08'!H2</f>
        <v>12</v>
      </c>
      <c r="D2" s="4">
        <f t="shared" ref="D2:D7" si="0">SUM(B2:C2)</f>
        <v>12</v>
      </c>
      <c r="F2" s="3"/>
    </row>
    <row r="3" spans="1:6" ht="16.5" x14ac:dyDescent="0.25">
      <c r="A3" s="2">
        <v>46237</v>
      </c>
      <c r="B3" s="3">
        <f>'03-08'!H1</f>
        <v>0</v>
      </c>
      <c r="C3" s="3">
        <f>'03-08'!H2</f>
        <v>12</v>
      </c>
      <c r="D3" s="4">
        <f t="shared" si="0"/>
        <v>12</v>
      </c>
      <c r="F3" s="3"/>
    </row>
    <row r="4" spans="1:6" ht="16.5" x14ac:dyDescent="0.25">
      <c r="A4" s="2">
        <v>46238</v>
      </c>
      <c r="B4" s="3">
        <f>'04-08'!H1</f>
        <v>2</v>
      </c>
      <c r="C4" s="3">
        <f>'04-08'!H2</f>
        <v>2</v>
      </c>
      <c r="D4" s="4">
        <f t="shared" si="0"/>
        <v>4</v>
      </c>
      <c r="F4" s="3"/>
    </row>
    <row r="5" spans="1:6" ht="16.5" x14ac:dyDescent="0.25">
      <c r="A5" s="2">
        <v>46239</v>
      </c>
      <c r="B5" s="3">
        <f>'05-08'!H1</f>
        <v>17</v>
      </c>
      <c r="C5" s="3">
        <f>'05-08'!H2</f>
        <v>2</v>
      </c>
      <c r="D5" s="4">
        <f t="shared" si="0"/>
        <v>19</v>
      </c>
      <c r="F5" s="3"/>
    </row>
    <row r="6" spans="1:6" ht="16.5" x14ac:dyDescent="0.25">
      <c r="A6" s="2">
        <v>46240</v>
      </c>
      <c r="B6" s="3">
        <f>'06-08'!H1</f>
        <v>6</v>
      </c>
      <c r="C6" s="3">
        <f>'06-08'!H2</f>
        <v>2</v>
      </c>
      <c r="D6" s="4">
        <f t="shared" si="0"/>
        <v>8</v>
      </c>
      <c r="F6" s="3"/>
    </row>
    <row r="7" spans="1:6" ht="16.5" x14ac:dyDescent="0.25">
      <c r="A7" s="2">
        <v>46243</v>
      </c>
      <c r="B7" s="3">
        <f>'09-08'!H1</f>
        <v>2</v>
      </c>
      <c r="C7" s="3">
        <f>'09-08'!H2</f>
        <v>0</v>
      </c>
      <c r="D7" s="4">
        <f t="shared" si="0"/>
        <v>2</v>
      </c>
      <c r="F7" s="3"/>
    </row>
    <row r="8" spans="1:6" ht="16.5" x14ac:dyDescent="0.25">
      <c r="A8" s="2">
        <v>46244</v>
      </c>
      <c r="B8" s="3">
        <f>'10-08'!H1</f>
        <v>5</v>
      </c>
      <c r="C8" s="3">
        <f>'10-08'!H2</f>
        <v>12</v>
      </c>
      <c r="D8" s="4">
        <f t="shared" ref="D8" si="1">SUM(B8:C8)</f>
        <v>17</v>
      </c>
      <c r="F8" s="3"/>
    </row>
    <row r="9" spans="1:6" ht="16.5" x14ac:dyDescent="0.25">
      <c r="A9" s="2">
        <v>46245</v>
      </c>
      <c r="B9" s="3">
        <f>'11-08'!H1</f>
        <v>3</v>
      </c>
      <c r="C9" s="3">
        <f>'11-08'!H2</f>
        <v>1</v>
      </c>
      <c r="D9" s="4">
        <f t="shared" ref="D9" si="2">SUM(B9:C9)</f>
        <v>4</v>
      </c>
      <c r="F9" s="3"/>
    </row>
    <row r="10" spans="1:6" ht="16.5" x14ac:dyDescent="0.25">
      <c r="A10" s="2">
        <v>46246</v>
      </c>
      <c r="B10" s="3">
        <f>'12-08'!H1</f>
        <v>2</v>
      </c>
      <c r="C10" s="3">
        <f>'12-08'!H2</f>
        <v>1</v>
      </c>
      <c r="D10" s="4">
        <f t="shared" ref="D10:D11" si="3">SUM(B10:C10)</f>
        <v>3</v>
      </c>
      <c r="F10" s="3"/>
    </row>
    <row r="11" spans="1:6" ht="16.5" x14ac:dyDescent="0.25">
      <c r="A11" s="2">
        <v>46247</v>
      </c>
      <c r="B11" s="3">
        <f>'13-08'!H1</f>
        <v>0</v>
      </c>
      <c r="C11" s="3">
        <f>'13-08'!H2</f>
        <v>1</v>
      </c>
      <c r="D11" s="4">
        <f t="shared" si="3"/>
        <v>1</v>
      </c>
      <c r="F11" s="3"/>
    </row>
    <row r="12" spans="1:6" ht="16.5" x14ac:dyDescent="0.25">
      <c r="A12" s="2">
        <v>46250</v>
      </c>
      <c r="B12" s="3">
        <f>'16-08'!H1</f>
        <v>0</v>
      </c>
      <c r="C12" s="3">
        <f>'16-08'!H2</f>
        <v>2</v>
      </c>
      <c r="D12" s="4">
        <f t="shared" ref="D12" si="4">SUM(B12:C12)</f>
        <v>2</v>
      </c>
      <c r="F12" s="3"/>
    </row>
    <row r="13" spans="1:6" ht="16.5" x14ac:dyDescent="0.25">
      <c r="A13" s="2">
        <v>46251</v>
      </c>
      <c r="B13" s="3">
        <f>'17-08'!L1</f>
        <v>0</v>
      </c>
      <c r="C13" s="3">
        <f>'17-08'!L2</f>
        <v>0</v>
      </c>
      <c r="D13" s="4">
        <f t="shared" ref="D13" si="5">SUM(B13:C13)</f>
        <v>0</v>
      </c>
      <c r="F13" s="3"/>
    </row>
    <row r="14" spans="1:6" ht="16.5" x14ac:dyDescent="0.25">
      <c r="A14" s="2">
        <v>46252</v>
      </c>
      <c r="B14" s="3">
        <f>'18-08'!H1</f>
        <v>0</v>
      </c>
      <c r="C14" s="3">
        <f>'18-08'!H2</f>
        <v>7</v>
      </c>
      <c r="D14" s="4">
        <f t="shared" ref="D14:D15" si="6">SUM(B14:C14)</f>
        <v>7</v>
      </c>
      <c r="F14" s="3"/>
    </row>
    <row r="15" spans="1:6" ht="16.5" x14ac:dyDescent="0.25">
      <c r="A15" s="2">
        <v>46253</v>
      </c>
      <c r="B15" s="3">
        <f>'19-08'!H1</f>
        <v>5</v>
      </c>
      <c r="C15" s="3">
        <f>'19-08'!H2</f>
        <v>8</v>
      </c>
      <c r="D15" s="4">
        <f t="shared" si="6"/>
        <v>13</v>
      </c>
      <c r="F15" s="3"/>
    </row>
    <row r="16" spans="1:6" ht="16.5" x14ac:dyDescent="0.25">
      <c r="A16" s="2">
        <v>46254</v>
      </c>
      <c r="B16" s="3">
        <f>'20-08'!H1</f>
        <v>0</v>
      </c>
      <c r="C16" s="3">
        <f>'20-08'!H2</f>
        <v>4</v>
      </c>
      <c r="D16" s="4">
        <f t="shared" ref="D16:D17" si="7">SUM(B16:C16)</f>
        <v>4</v>
      </c>
      <c r="F16" s="3"/>
    </row>
    <row r="17" spans="1:6" ht="16.5" x14ac:dyDescent="0.25">
      <c r="A17" s="2">
        <v>46257</v>
      </c>
      <c r="B17" s="3">
        <f>'23-08'!H1</f>
        <v>0</v>
      </c>
      <c r="C17" s="3">
        <f>'23-08'!H2</f>
        <v>2</v>
      </c>
      <c r="D17" s="4">
        <f t="shared" si="7"/>
        <v>2</v>
      </c>
      <c r="F17" s="3"/>
    </row>
    <row r="18" spans="1:6" ht="16.5" x14ac:dyDescent="0.25">
      <c r="A18" s="2">
        <v>46258</v>
      </c>
      <c r="B18" s="3">
        <f>'24-08'!H1</f>
        <v>3</v>
      </c>
      <c r="C18" s="3">
        <f>'24-08'!H2</f>
        <v>1</v>
      </c>
      <c r="D18" s="4">
        <f t="shared" ref="D18" si="8">SUM(B18:C18)</f>
        <v>4</v>
      </c>
      <c r="F18" s="3"/>
    </row>
    <row r="19" spans="1:6" ht="16.5" x14ac:dyDescent="0.25">
      <c r="A19" s="2">
        <v>46260</v>
      </c>
      <c r="B19" s="3">
        <f>'26-08'!H1</f>
        <v>3</v>
      </c>
      <c r="C19" s="3">
        <f>'26-08'!H2</f>
        <v>0</v>
      </c>
      <c r="D19" s="4">
        <f t="shared" ref="D19:D20" si="9">SUM(B19:C19)</f>
        <v>3</v>
      </c>
      <c r="F19" s="3"/>
    </row>
    <row r="20" spans="1:6" ht="16.5" x14ac:dyDescent="0.25">
      <c r="A20" s="2">
        <v>46260</v>
      </c>
      <c r="B20" s="3">
        <f>'24-08'!H3</f>
        <v>0</v>
      </c>
      <c r="C20" s="3">
        <f>'24-08'!H4</f>
        <v>0</v>
      </c>
      <c r="D20" s="4">
        <f t="shared" si="9"/>
        <v>0</v>
      </c>
      <c r="F20" s="3"/>
    </row>
    <row r="21" spans="1:6" ht="16.5" x14ac:dyDescent="0.25">
      <c r="A21" s="5"/>
      <c r="B21" s="3"/>
      <c r="C21" s="3"/>
      <c r="D21" s="4"/>
      <c r="F21" s="3"/>
    </row>
    <row r="22" spans="1:6" ht="16.5" x14ac:dyDescent="0.25">
      <c r="A22" s="5"/>
      <c r="B22" s="3"/>
      <c r="C22" s="3"/>
      <c r="D22" s="4"/>
      <c r="F22" s="3"/>
    </row>
    <row r="23" spans="1:6" ht="16.5" x14ac:dyDescent="0.25">
      <c r="A23" s="5"/>
      <c r="B23" s="3"/>
      <c r="C23" s="3"/>
      <c r="D23" s="4"/>
      <c r="F23" s="3"/>
    </row>
    <row r="24" spans="1:6" ht="16.5" x14ac:dyDescent="0.25">
      <c r="A24" s="1" t="s">
        <v>5</v>
      </c>
      <c r="B24" s="6">
        <f>SUM(B2:B23)</f>
        <v>48</v>
      </c>
      <c r="C24" s="6">
        <f>SUM(C2:C23)</f>
        <v>69</v>
      </c>
      <c r="D24" s="6">
        <f>SUM(D2:D23)</f>
        <v>117</v>
      </c>
      <c r="E24" s="6"/>
      <c r="F2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A482-330F-48EA-A176-AB3E292701F4}">
  <dimension ref="A1:J40"/>
  <sheetViews>
    <sheetView workbookViewId="0">
      <selection activeCell="N12" sqref="N12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0" s="8" customFormat="1" ht="24.95" customHeight="1" x14ac:dyDescent="0.25">
      <c r="A1" s="7"/>
      <c r="H1" s="9">
        <f>COUNTIF(B10:B11,"&lt;&gt;")</f>
        <v>0</v>
      </c>
      <c r="I1" s="10" t="s">
        <v>6</v>
      </c>
    </row>
    <row r="2" spans="1:10" s="8" customFormat="1" ht="15.75" x14ac:dyDescent="0.25">
      <c r="A2" s="7"/>
      <c r="F2" s="9">
        <f>COUNTIFS(B16:B33,"&lt;&gt;",C16:C33,"VH")</f>
        <v>0</v>
      </c>
      <c r="G2" s="10" t="s">
        <v>7</v>
      </c>
      <c r="H2" s="9">
        <f>COUNTA(C16:C28)-F2</f>
        <v>12</v>
      </c>
      <c r="I2" s="10" t="s">
        <v>6</v>
      </c>
      <c r="J2" s="11">
        <f>COUNTIF(H16:H21,"VIDE")</f>
        <v>0</v>
      </c>
    </row>
    <row r="3" spans="1:10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9</v>
      </c>
      <c r="G5" s="13">
        <v>46236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0" s="8" customFormat="1" ht="14.25" x14ac:dyDescent="0.25">
      <c r="A8" s="35"/>
      <c r="B8" s="35"/>
      <c r="C8" s="35"/>
      <c r="D8" s="35"/>
      <c r="E8" s="35"/>
      <c r="F8" s="35"/>
    </row>
    <row r="9" spans="1:10" s="8" customFormat="1" ht="14.25" x14ac:dyDescent="0.25">
      <c r="A9" s="35"/>
      <c r="B9" s="35"/>
      <c r="C9" s="35"/>
      <c r="D9" s="35"/>
      <c r="E9" s="35"/>
      <c r="F9" s="35"/>
    </row>
    <row r="10" spans="1:10" s="8" customFormat="1" ht="14.25" x14ac:dyDescent="0.25">
      <c r="A10" s="36">
        <v>1</v>
      </c>
      <c r="B10" s="29"/>
      <c r="C10" s="27"/>
      <c r="D10" s="29"/>
      <c r="E10" s="29"/>
      <c r="F10" s="29"/>
    </row>
    <row r="11" spans="1:10" x14ac:dyDescent="0.25">
      <c r="A11" s="36">
        <v>8</v>
      </c>
      <c r="B11" s="29"/>
      <c r="C11" s="27"/>
      <c r="D11" s="29"/>
      <c r="E11" s="29"/>
      <c r="F11" s="29"/>
    </row>
    <row r="12" spans="1:10" ht="15.75" x14ac:dyDescent="0.25">
      <c r="A12" s="7"/>
      <c r="B12" s="25"/>
      <c r="C12" s="8"/>
      <c r="D12" s="8"/>
      <c r="E12" s="8"/>
      <c r="F12" s="8"/>
      <c r="G12" s="25"/>
    </row>
    <row r="13" spans="1:10" ht="15.75" x14ac:dyDescent="0.25">
      <c r="A13" s="7"/>
      <c r="B13" s="12" t="s">
        <v>16</v>
      </c>
      <c r="G13" s="25"/>
    </row>
    <row r="14" spans="1:10" ht="15.75" thickBot="1" x14ac:dyDescent="0.3">
      <c r="A14" s="7"/>
      <c r="B14" s="14"/>
      <c r="C14" s="8"/>
      <c r="D14" s="8"/>
      <c r="E14" s="8"/>
      <c r="F14" s="8"/>
      <c r="G14" s="8"/>
    </row>
    <row r="15" spans="1:10" x14ac:dyDescent="0.25">
      <c r="A15" s="15" t="s">
        <v>10</v>
      </c>
      <c r="B15" s="16" t="s">
        <v>17</v>
      </c>
      <c r="C15" s="16" t="s">
        <v>18</v>
      </c>
      <c r="D15" s="16" t="s">
        <v>13</v>
      </c>
      <c r="E15" s="16" t="s">
        <v>14</v>
      </c>
      <c r="F15" s="17" t="s">
        <v>15</v>
      </c>
    </row>
    <row r="16" spans="1:10" ht="15.75" customHeight="1" x14ac:dyDescent="0.25">
      <c r="A16" s="36">
        <v>1</v>
      </c>
      <c r="B16" s="27">
        <v>46236</v>
      </c>
      <c r="C16" s="29" t="s">
        <v>28</v>
      </c>
      <c r="D16" s="28" t="s">
        <v>27</v>
      </c>
      <c r="E16" s="37" t="s">
        <v>24</v>
      </c>
      <c r="F16" s="29"/>
    </row>
    <row r="17" spans="1:7" ht="15.75" customHeight="1" x14ac:dyDescent="0.25">
      <c r="A17" s="36">
        <v>2</v>
      </c>
      <c r="B17" s="27">
        <v>46236</v>
      </c>
      <c r="C17" s="29" t="s">
        <v>28</v>
      </c>
      <c r="D17" s="43" t="s">
        <v>25</v>
      </c>
      <c r="E17" s="37" t="s">
        <v>24</v>
      </c>
      <c r="F17" s="29"/>
    </row>
    <row r="18" spans="1:7" ht="15.75" customHeight="1" x14ac:dyDescent="0.25">
      <c r="A18" s="36">
        <v>3</v>
      </c>
      <c r="B18" s="27">
        <v>46236</v>
      </c>
      <c r="C18" s="29" t="s">
        <v>30</v>
      </c>
      <c r="D18" s="39" t="s">
        <v>31</v>
      </c>
      <c r="E18" s="39">
        <v>3970</v>
      </c>
      <c r="F18" s="29">
        <v>40</v>
      </c>
      <c r="G18" s="24" t="s">
        <v>42</v>
      </c>
    </row>
    <row r="19" spans="1:7" ht="15.75" customHeight="1" x14ac:dyDescent="0.25">
      <c r="A19" s="36">
        <v>4</v>
      </c>
      <c r="B19" s="27">
        <v>46236</v>
      </c>
      <c r="C19" s="29" t="s">
        <v>29</v>
      </c>
      <c r="D19" s="43" t="s">
        <v>32</v>
      </c>
      <c r="E19" s="38">
        <v>3969</v>
      </c>
      <c r="F19" s="29">
        <v>40</v>
      </c>
    </row>
    <row r="20" spans="1:7" ht="15.75" customHeight="1" x14ac:dyDescent="0.25">
      <c r="A20" s="36">
        <v>5</v>
      </c>
      <c r="B20" s="27">
        <v>46236</v>
      </c>
      <c r="C20" s="29" t="s">
        <v>61</v>
      </c>
      <c r="D20" s="41" t="s">
        <v>34</v>
      </c>
      <c r="E20" s="28">
        <v>3901</v>
      </c>
      <c r="F20" s="29">
        <v>40</v>
      </c>
    </row>
    <row r="21" spans="1:7" ht="15.75" customHeight="1" x14ac:dyDescent="0.25">
      <c r="A21" s="36">
        <v>6</v>
      </c>
      <c r="B21" s="27">
        <v>46236</v>
      </c>
      <c r="C21" s="29" t="s">
        <v>62</v>
      </c>
      <c r="D21" s="41" t="s">
        <v>35</v>
      </c>
      <c r="E21" s="28">
        <v>3902</v>
      </c>
      <c r="F21" s="29">
        <v>40</v>
      </c>
    </row>
    <row r="22" spans="1:7" ht="15.75" customHeight="1" x14ac:dyDescent="0.25">
      <c r="A22" s="36">
        <v>7</v>
      </c>
      <c r="B22" s="27">
        <v>46236</v>
      </c>
      <c r="C22" s="29" t="s">
        <v>64</v>
      </c>
      <c r="D22" s="41" t="s">
        <v>36</v>
      </c>
      <c r="E22" s="28">
        <v>3903</v>
      </c>
      <c r="F22" s="29">
        <v>40</v>
      </c>
    </row>
    <row r="23" spans="1:7" ht="15.75" customHeight="1" x14ac:dyDescent="0.25">
      <c r="A23" s="36">
        <v>8</v>
      </c>
      <c r="B23" s="27">
        <v>46236</v>
      </c>
      <c r="C23" s="29" t="s">
        <v>63</v>
      </c>
      <c r="D23" s="41" t="s">
        <v>37</v>
      </c>
      <c r="E23" s="28">
        <v>3904</v>
      </c>
      <c r="F23" s="29">
        <v>40</v>
      </c>
    </row>
    <row r="24" spans="1:7" ht="15.75" customHeight="1" x14ac:dyDescent="0.25">
      <c r="A24" s="36">
        <v>9</v>
      </c>
      <c r="B24" s="27">
        <v>46236</v>
      </c>
      <c r="C24" s="29" t="s">
        <v>57</v>
      </c>
      <c r="D24" s="41" t="s">
        <v>38</v>
      </c>
      <c r="E24" s="28">
        <v>3905</v>
      </c>
      <c r="F24" s="29">
        <v>40</v>
      </c>
    </row>
    <row r="25" spans="1:7" ht="15.75" customHeight="1" x14ac:dyDescent="0.25">
      <c r="A25" s="36">
        <v>12</v>
      </c>
      <c r="B25" s="27">
        <v>46236</v>
      </c>
      <c r="C25" s="29" t="s">
        <v>58</v>
      </c>
      <c r="D25" s="42" t="s">
        <v>39</v>
      </c>
      <c r="E25" s="28">
        <v>3908</v>
      </c>
      <c r="F25" s="29">
        <v>40</v>
      </c>
    </row>
    <row r="26" spans="1:7" ht="15.75" customHeight="1" x14ac:dyDescent="0.25">
      <c r="A26" s="36">
        <v>13</v>
      </c>
      <c r="B26" s="27">
        <v>46236</v>
      </c>
      <c r="C26" s="28" t="s">
        <v>59</v>
      </c>
      <c r="D26" s="42" t="s">
        <v>40</v>
      </c>
      <c r="E26" s="28">
        <v>3909</v>
      </c>
      <c r="F26" s="29">
        <v>40</v>
      </c>
    </row>
    <row r="27" spans="1:7" ht="15.75" customHeight="1" x14ac:dyDescent="0.25">
      <c r="A27" s="36">
        <v>14</v>
      </c>
      <c r="B27" s="27">
        <v>46236</v>
      </c>
      <c r="C27" s="29" t="s">
        <v>60</v>
      </c>
      <c r="D27" s="41" t="s">
        <v>41</v>
      </c>
      <c r="E27" s="28">
        <v>3910</v>
      </c>
      <c r="F27" s="29">
        <v>40</v>
      </c>
    </row>
    <row r="28" spans="1:7" ht="15.75" customHeight="1" x14ac:dyDescent="0.25">
      <c r="A28" s="36">
        <v>15</v>
      </c>
      <c r="B28" s="40"/>
      <c r="C28" s="40"/>
      <c r="D28" s="40"/>
      <c r="E28" s="40"/>
      <c r="F28" s="29"/>
    </row>
    <row r="29" spans="1:7" ht="15.75" customHeight="1" x14ac:dyDescent="0.25">
      <c r="A29" s="36">
        <v>16</v>
      </c>
      <c r="B29" s="40"/>
      <c r="C29" s="40"/>
      <c r="D29" s="40"/>
      <c r="E29" s="40"/>
      <c r="F29" s="29"/>
    </row>
    <row r="31" spans="1:7" ht="15.75" x14ac:dyDescent="0.25">
      <c r="A31" s="7"/>
      <c r="B31" s="12" t="s">
        <v>19</v>
      </c>
      <c r="C31" s="8"/>
      <c r="E31" s="8"/>
      <c r="F31" s="8"/>
      <c r="G31" s="25"/>
    </row>
    <row r="32" spans="1:7" ht="15.75" thickBot="1" x14ac:dyDescent="0.3">
      <c r="A32" s="7"/>
      <c r="B32" s="14"/>
      <c r="C32" s="8"/>
      <c r="D32" s="8"/>
      <c r="E32" s="8"/>
      <c r="F32" s="8"/>
      <c r="G32" s="8"/>
    </row>
    <row r="33" spans="1:6" ht="15.75" thickBot="1" x14ac:dyDescent="0.3">
      <c r="A33" s="15" t="s">
        <v>10</v>
      </c>
      <c r="B33" s="16" t="s">
        <v>20</v>
      </c>
      <c r="C33" s="16" t="s">
        <v>13</v>
      </c>
      <c r="D33" s="16" t="s">
        <v>21</v>
      </c>
      <c r="E33" s="16" t="s">
        <v>22</v>
      </c>
      <c r="F33" s="17" t="s">
        <v>15</v>
      </c>
    </row>
    <row r="34" spans="1:6" ht="15.75" customHeight="1" x14ac:dyDescent="0.25">
      <c r="A34" s="18">
        <v>1</v>
      </c>
      <c r="B34" s="31"/>
      <c r="C34" s="19"/>
      <c r="D34" s="19"/>
      <c r="E34" s="19"/>
      <c r="F34" s="20"/>
    </row>
    <row r="35" spans="1:6" ht="15.75" customHeight="1" x14ac:dyDescent="0.25">
      <c r="A35" s="26">
        <v>2</v>
      </c>
      <c r="B35" s="32"/>
      <c r="C35" s="29"/>
      <c r="D35" s="29"/>
      <c r="E35" s="29"/>
      <c r="F35" s="30"/>
    </row>
    <row r="36" spans="1:6" ht="15.75" customHeight="1" x14ac:dyDescent="0.25">
      <c r="A36" s="26">
        <v>3</v>
      </c>
      <c r="B36" s="32"/>
      <c r="C36" s="29"/>
      <c r="D36" s="29"/>
      <c r="E36" s="29"/>
      <c r="F36" s="30"/>
    </row>
    <row r="37" spans="1:6" ht="15.75" customHeight="1" x14ac:dyDescent="0.25">
      <c r="A37" s="26">
        <v>4</v>
      </c>
      <c r="B37" s="32"/>
      <c r="C37" s="29"/>
      <c r="D37" s="29"/>
      <c r="E37" s="29"/>
      <c r="F37" s="30"/>
    </row>
    <row r="38" spans="1:6" ht="15.75" customHeight="1" x14ac:dyDescent="0.25">
      <c r="A38" s="26">
        <v>5</v>
      </c>
      <c r="B38" s="32"/>
      <c r="C38" s="29"/>
      <c r="D38" s="29"/>
      <c r="E38" s="29"/>
      <c r="F38" s="30"/>
    </row>
    <row r="39" spans="1:6" ht="15.75" customHeight="1" x14ac:dyDescent="0.25">
      <c r="A39" s="26">
        <v>6</v>
      </c>
      <c r="B39" s="32"/>
      <c r="C39" s="29"/>
      <c r="D39" s="29"/>
      <c r="E39" s="29"/>
      <c r="F39" s="30"/>
    </row>
    <row r="40" spans="1:6" ht="15.75" customHeight="1" thickBot="1" x14ac:dyDescent="0.3">
      <c r="A40" s="21">
        <v>7</v>
      </c>
      <c r="B40" s="34"/>
      <c r="C40" s="22"/>
      <c r="D40" s="22"/>
      <c r="E40" s="22"/>
      <c r="F40" s="23"/>
    </row>
  </sheetData>
  <mergeCells count="1">
    <mergeCell ref="A3:H3"/>
  </mergeCells>
  <phoneticPr fontId="13" type="noConversion"/>
  <conditionalFormatting sqref="G10">
    <cfRule type="expression" dxfId="3" priority="1">
      <formula>LEFT(CELL("format",C10))</formula>
    </cfRule>
  </conditionalFormatting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7434-4E55-4D08-B780-8AD66A406229}">
  <dimension ref="A1:J43"/>
  <sheetViews>
    <sheetView topLeftCell="A8" workbookViewId="0">
      <selection activeCell="H21" sqref="H21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0" s="8" customFormat="1" ht="24.95" customHeight="1" x14ac:dyDescent="0.25">
      <c r="A1" s="7"/>
      <c r="H1" s="9">
        <f>COUNTIF(B10:B11,"&lt;&gt;")</f>
        <v>0</v>
      </c>
      <c r="I1" s="10" t="s">
        <v>6</v>
      </c>
    </row>
    <row r="2" spans="1:10" s="8" customFormat="1" ht="15.75" x14ac:dyDescent="0.25">
      <c r="A2" s="7"/>
      <c r="F2" s="9">
        <f>COUNTIFS(B16:B32,"&lt;&gt;",C16:C32,"VH")</f>
        <v>0</v>
      </c>
      <c r="G2" s="10" t="s">
        <v>7</v>
      </c>
      <c r="H2" s="9">
        <f>COUNTA(C16:C27)-F2</f>
        <v>12</v>
      </c>
      <c r="I2" s="10" t="s">
        <v>6</v>
      </c>
      <c r="J2" s="11">
        <f>COUNTIF(E16:E21,"VIDE")</f>
        <v>0</v>
      </c>
    </row>
    <row r="3" spans="1:10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9</v>
      </c>
      <c r="G5" s="13">
        <v>46237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0" s="8" customFormat="1" ht="14.25" x14ac:dyDescent="0.25">
      <c r="A8" s="35"/>
      <c r="B8" s="35"/>
      <c r="C8" s="35"/>
      <c r="D8" s="35"/>
      <c r="E8" s="35"/>
      <c r="F8" s="35"/>
    </row>
    <row r="9" spans="1:10" s="8" customFormat="1" ht="14.25" x14ac:dyDescent="0.25">
      <c r="A9" s="35"/>
      <c r="B9" s="35"/>
      <c r="C9" s="35"/>
      <c r="D9" s="35"/>
      <c r="E9" s="35"/>
      <c r="F9" s="35"/>
    </row>
    <row r="10" spans="1:10" s="8" customFormat="1" ht="14.25" x14ac:dyDescent="0.25">
      <c r="A10" s="36">
        <v>1</v>
      </c>
      <c r="B10" s="29"/>
      <c r="C10" s="27"/>
      <c r="D10" s="29"/>
      <c r="E10" s="29"/>
      <c r="F10" s="29"/>
    </row>
    <row r="11" spans="1:10" x14ac:dyDescent="0.25">
      <c r="A11" s="36">
        <v>8</v>
      </c>
      <c r="B11" s="29"/>
      <c r="C11" s="27"/>
      <c r="D11" s="29"/>
      <c r="E11" s="29"/>
      <c r="F11" s="29"/>
    </row>
    <row r="12" spans="1:10" ht="15.75" x14ac:dyDescent="0.25">
      <c r="A12" s="7"/>
      <c r="B12" s="25"/>
      <c r="C12" s="8"/>
      <c r="D12" s="8"/>
      <c r="E12" s="8"/>
      <c r="F12" s="8"/>
      <c r="G12" s="25"/>
    </row>
    <row r="13" spans="1:10" ht="15.75" x14ac:dyDescent="0.25">
      <c r="A13" s="7"/>
      <c r="B13" s="12" t="s">
        <v>16</v>
      </c>
      <c r="G13" s="25"/>
    </row>
    <row r="14" spans="1:10" ht="15.75" thickBot="1" x14ac:dyDescent="0.3">
      <c r="A14" s="7"/>
      <c r="B14" s="14"/>
      <c r="C14" s="8"/>
      <c r="D14" s="8"/>
      <c r="E14" s="8"/>
      <c r="F14" s="8"/>
      <c r="G14" s="8"/>
    </row>
    <row r="15" spans="1:10" x14ac:dyDescent="0.25">
      <c r="A15" s="15" t="s">
        <v>10</v>
      </c>
      <c r="B15" s="16" t="s">
        <v>17</v>
      </c>
      <c r="C15" s="16" t="s">
        <v>18</v>
      </c>
      <c r="D15" s="16" t="s">
        <v>13</v>
      </c>
      <c r="E15" s="16" t="s">
        <v>14</v>
      </c>
      <c r="F15" s="17" t="s">
        <v>15</v>
      </c>
    </row>
    <row r="16" spans="1:10" ht="15.75" customHeight="1" x14ac:dyDescent="0.25">
      <c r="A16" s="36">
        <v>1</v>
      </c>
      <c r="B16" s="27">
        <v>46237</v>
      </c>
      <c r="C16" s="38" t="s">
        <v>71</v>
      </c>
      <c r="D16" s="44" t="s">
        <v>43</v>
      </c>
      <c r="E16" s="44" t="s">
        <v>50</v>
      </c>
      <c r="F16" s="33">
        <v>40</v>
      </c>
    </row>
    <row r="17" spans="1:7" ht="15.75" customHeight="1" x14ac:dyDescent="0.25">
      <c r="A17" s="36">
        <v>2</v>
      </c>
      <c r="B17" s="27">
        <v>46237</v>
      </c>
      <c r="C17" s="38" t="s">
        <v>76</v>
      </c>
      <c r="D17" s="44" t="s">
        <v>44</v>
      </c>
      <c r="E17" s="44" t="s">
        <v>51</v>
      </c>
      <c r="F17" s="33">
        <v>40</v>
      </c>
    </row>
    <row r="18" spans="1:7" ht="15.75" customHeight="1" x14ac:dyDescent="0.25">
      <c r="A18" s="36">
        <v>3</v>
      </c>
      <c r="B18" s="27">
        <v>46237</v>
      </c>
      <c r="C18" s="28" t="s">
        <v>75</v>
      </c>
      <c r="D18" s="44" t="s">
        <v>45</v>
      </c>
      <c r="E18" s="44" t="s">
        <v>52</v>
      </c>
      <c r="F18" s="33">
        <v>40</v>
      </c>
    </row>
    <row r="19" spans="1:7" ht="15.75" customHeight="1" x14ac:dyDescent="0.25">
      <c r="A19" s="36">
        <v>4</v>
      </c>
      <c r="B19" s="27">
        <v>46237</v>
      </c>
      <c r="C19" s="38" t="s">
        <v>77</v>
      </c>
      <c r="D19" s="44" t="s">
        <v>46</v>
      </c>
      <c r="E19" s="44" t="s">
        <v>53</v>
      </c>
      <c r="F19" s="33">
        <v>40</v>
      </c>
    </row>
    <row r="20" spans="1:7" ht="15.75" customHeight="1" x14ac:dyDescent="0.25">
      <c r="A20" s="36">
        <v>5</v>
      </c>
      <c r="B20" s="27">
        <v>46237</v>
      </c>
      <c r="C20" s="38" t="s">
        <v>74</v>
      </c>
      <c r="D20" s="44" t="s">
        <v>47</v>
      </c>
      <c r="E20" s="44" t="s">
        <v>54</v>
      </c>
      <c r="F20" s="33">
        <v>40</v>
      </c>
    </row>
    <row r="21" spans="1:7" ht="15.75" customHeight="1" x14ac:dyDescent="0.25">
      <c r="A21" s="36">
        <v>6</v>
      </c>
      <c r="B21" s="27">
        <v>46237</v>
      </c>
      <c r="C21" s="38" t="s">
        <v>72</v>
      </c>
      <c r="D21" s="44" t="s">
        <v>48</v>
      </c>
      <c r="E21" s="44" t="s">
        <v>55</v>
      </c>
      <c r="F21" s="33">
        <v>40</v>
      </c>
    </row>
    <row r="22" spans="1:7" x14ac:dyDescent="0.25">
      <c r="A22" s="36">
        <v>7</v>
      </c>
      <c r="B22" s="27">
        <v>46237</v>
      </c>
      <c r="C22" s="28" t="s">
        <v>73</v>
      </c>
      <c r="D22" s="44" t="s">
        <v>49</v>
      </c>
      <c r="E22" s="44" t="s">
        <v>56</v>
      </c>
      <c r="F22" s="33">
        <v>40</v>
      </c>
    </row>
    <row r="23" spans="1:7" x14ac:dyDescent="0.25">
      <c r="A23" s="36">
        <v>8</v>
      </c>
      <c r="B23" s="27">
        <v>46237</v>
      </c>
      <c r="C23" s="28" t="s">
        <v>69</v>
      </c>
      <c r="D23" s="44" t="s">
        <v>65</v>
      </c>
      <c r="E23" s="44">
        <v>3907</v>
      </c>
      <c r="F23" s="33">
        <v>40</v>
      </c>
    </row>
    <row r="24" spans="1:7" x14ac:dyDescent="0.25">
      <c r="A24" s="36">
        <v>9</v>
      </c>
      <c r="B24" s="27">
        <v>46237</v>
      </c>
      <c r="C24" s="28" t="s">
        <v>70</v>
      </c>
      <c r="D24" s="44" t="s">
        <v>66</v>
      </c>
      <c r="E24" s="44">
        <v>3906</v>
      </c>
      <c r="F24" s="33">
        <v>40</v>
      </c>
    </row>
    <row r="25" spans="1:7" x14ac:dyDescent="0.25">
      <c r="A25" s="36">
        <v>10</v>
      </c>
      <c r="B25" s="27">
        <v>46237</v>
      </c>
      <c r="C25" s="28" t="s">
        <v>78</v>
      </c>
      <c r="D25" s="28" t="s">
        <v>67</v>
      </c>
      <c r="E25" s="38">
        <v>3912</v>
      </c>
      <c r="F25" s="33">
        <v>40</v>
      </c>
    </row>
    <row r="26" spans="1:7" x14ac:dyDescent="0.25">
      <c r="A26" s="41">
        <v>11</v>
      </c>
      <c r="B26" s="27">
        <v>46237</v>
      </c>
      <c r="C26" s="28" t="s">
        <v>79</v>
      </c>
      <c r="D26" s="28" t="s">
        <v>68</v>
      </c>
      <c r="E26" s="38">
        <v>4000</v>
      </c>
      <c r="F26" s="33">
        <v>40</v>
      </c>
    </row>
    <row r="27" spans="1:7" x14ac:dyDescent="0.25">
      <c r="A27" s="41">
        <v>11</v>
      </c>
      <c r="B27" s="27">
        <v>46237</v>
      </c>
      <c r="C27" s="28" t="s">
        <v>28</v>
      </c>
      <c r="D27" s="43" t="s">
        <v>23</v>
      </c>
      <c r="E27" s="44" t="s">
        <v>24</v>
      </c>
      <c r="F27" s="28">
        <v>40</v>
      </c>
    </row>
    <row r="28" spans="1:7" x14ac:dyDescent="0.25">
      <c r="A28" s="41">
        <v>12</v>
      </c>
      <c r="B28" s="27">
        <v>46238</v>
      </c>
      <c r="C28" s="28" t="s">
        <v>33</v>
      </c>
      <c r="D28" s="49" t="s">
        <v>26</v>
      </c>
      <c r="E28" s="44" t="s">
        <v>24</v>
      </c>
      <c r="F28" s="28">
        <v>40</v>
      </c>
    </row>
    <row r="29" spans="1:7" x14ac:dyDescent="0.25">
      <c r="B29" s="48"/>
      <c r="C29" s="47"/>
      <c r="D29" s="45"/>
      <c r="E29" s="45"/>
      <c r="F29" s="46"/>
    </row>
    <row r="30" spans="1:7" ht="15.75" x14ac:dyDescent="0.25">
      <c r="A30" s="7"/>
      <c r="B30" s="12" t="s">
        <v>19</v>
      </c>
      <c r="C30" s="8"/>
      <c r="E30" s="8"/>
      <c r="F30" s="8"/>
      <c r="G30" s="25"/>
    </row>
    <row r="31" spans="1:7" ht="15.75" thickBot="1" x14ac:dyDescent="0.3">
      <c r="A31" s="7"/>
      <c r="B31" s="14"/>
      <c r="C31" s="8"/>
      <c r="D31" s="8"/>
      <c r="E31" s="8"/>
      <c r="F31" s="8"/>
      <c r="G31" s="8"/>
    </row>
    <row r="32" spans="1:7" ht="15.75" thickBot="1" x14ac:dyDescent="0.3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ht="15.75" customHeight="1" x14ac:dyDescent="0.25">
      <c r="A33" s="18">
        <v>1</v>
      </c>
      <c r="B33" s="31"/>
      <c r="C33" s="19"/>
      <c r="D33" s="19"/>
      <c r="E33" s="19"/>
      <c r="F33" s="20"/>
    </row>
    <row r="34" spans="1:6" ht="15.75" customHeight="1" x14ac:dyDescent="0.25">
      <c r="A34" s="26">
        <v>2</v>
      </c>
      <c r="B34" s="32"/>
      <c r="C34" s="29"/>
      <c r="D34" s="29"/>
      <c r="E34" s="29"/>
      <c r="F34" s="30"/>
    </row>
    <row r="35" spans="1:6" ht="15.75" customHeight="1" x14ac:dyDescent="0.25">
      <c r="A35" s="26">
        <v>3</v>
      </c>
      <c r="B35" s="32"/>
      <c r="C35" s="29"/>
      <c r="D35" s="29"/>
      <c r="E35" s="29"/>
      <c r="F35" s="30"/>
    </row>
    <row r="36" spans="1:6" ht="15.75" customHeight="1" x14ac:dyDescent="0.25">
      <c r="A36" s="26">
        <v>4</v>
      </c>
      <c r="B36" s="32"/>
      <c r="C36" s="29"/>
      <c r="D36" s="29"/>
      <c r="E36" s="29"/>
      <c r="F36" s="30"/>
    </row>
    <row r="37" spans="1:6" ht="15.75" customHeight="1" x14ac:dyDescent="0.25">
      <c r="A37" s="26">
        <v>5</v>
      </c>
      <c r="B37" s="32"/>
      <c r="C37" s="29"/>
      <c r="D37" s="29"/>
      <c r="E37" s="29"/>
      <c r="F37" s="30"/>
    </row>
    <row r="38" spans="1:6" ht="15.75" customHeight="1" x14ac:dyDescent="0.25">
      <c r="A38" s="26">
        <v>6</v>
      </c>
      <c r="B38" s="32"/>
      <c r="C38" s="29"/>
      <c r="D38" s="29"/>
      <c r="E38" s="29"/>
      <c r="F38" s="30"/>
    </row>
    <row r="39" spans="1:6" ht="15.75" customHeight="1" x14ac:dyDescent="0.25">
      <c r="A39" s="26">
        <v>7</v>
      </c>
      <c r="B39" s="32"/>
      <c r="C39" s="29"/>
      <c r="D39" s="29"/>
      <c r="E39" s="29"/>
      <c r="F39" s="30"/>
    </row>
    <row r="40" spans="1:6" ht="15.75" customHeight="1" x14ac:dyDescent="0.25">
      <c r="A40" s="26">
        <v>8</v>
      </c>
      <c r="B40" s="32"/>
      <c r="C40" s="29"/>
      <c r="D40" s="29"/>
      <c r="E40" s="29"/>
      <c r="F40" s="30"/>
    </row>
    <row r="41" spans="1:6" ht="15.75" customHeight="1" x14ac:dyDescent="0.25">
      <c r="A41" s="26">
        <v>9</v>
      </c>
      <c r="B41" s="32"/>
      <c r="C41" s="29"/>
      <c r="D41" s="29"/>
      <c r="E41" s="29"/>
      <c r="F41" s="30"/>
    </row>
    <row r="42" spans="1:6" ht="15.75" customHeight="1" x14ac:dyDescent="0.25">
      <c r="A42" s="26">
        <v>10</v>
      </c>
      <c r="B42" s="32"/>
      <c r="C42" s="29"/>
      <c r="D42" s="29"/>
      <c r="E42" s="29"/>
      <c r="F42" s="30"/>
    </row>
    <row r="43" spans="1:6" ht="15.75" customHeight="1" x14ac:dyDescent="0.25">
      <c r="A43" s="26">
        <v>11</v>
      </c>
      <c r="B43" s="32"/>
      <c r="C43" s="29"/>
      <c r="D43" s="29"/>
      <c r="E43" s="29"/>
      <c r="F43" s="30"/>
    </row>
  </sheetData>
  <mergeCells count="1">
    <mergeCell ref="A3:H3"/>
  </mergeCells>
  <phoneticPr fontId="13" type="noConversion"/>
  <conditionalFormatting sqref="G10">
    <cfRule type="expression" dxfId="2" priority="1">
      <formula>LEFT(CELL("format",C10))</formula>
    </cfRule>
  </conditionalFormatting>
  <dataValidations count="1">
    <dataValidation type="list" allowBlank="1" showInputMessage="1" showErrorMessage="1" sqref="F16:F26" xr:uid="{8EA2E73A-E904-4642-8A2A-0F4860BFDBFA}">
      <formula1>"20,40,45,50"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FDE4-D303-4F25-9C9C-2436CF4170C5}">
  <dimension ref="A1:J37"/>
  <sheetViews>
    <sheetView workbookViewId="0">
      <selection activeCell="C30" sqref="C30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0" s="8" customFormat="1" ht="24.95" customHeight="1" x14ac:dyDescent="0.25">
      <c r="A1" s="7"/>
      <c r="H1" s="9">
        <f>COUNTIF(C8:C11,"&lt;&gt;")</f>
        <v>2</v>
      </c>
      <c r="I1" s="10" t="s">
        <v>6</v>
      </c>
    </row>
    <row r="2" spans="1:10" s="8" customFormat="1" ht="15.75" x14ac:dyDescent="0.25">
      <c r="A2" s="7"/>
      <c r="F2" s="9">
        <f>COUNTIFS(B16:B29,"&lt;&gt;",C16:C29,"VH")</f>
        <v>0</v>
      </c>
      <c r="G2" s="10" t="s">
        <v>7</v>
      </c>
      <c r="H2" s="9">
        <f>COUNTA(C16:C25)-F2</f>
        <v>2</v>
      </c>
      <c r="I2" s="10" t="s">
        <v>6</v>
      </c>
      <c r="J2" s="11">
        <f>COUNTIF(E16:E21,"VIDE")</f>
        <v>0</v>
      </c>
    </row>
    <row r="3" spans="1:10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9</v>
      </c>
      <c r="G5" s="13">
        <v>46238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0" s="8" customFormat="1" ht="14.25" x14ac:dyDescent="0.25">
      <c r="A8" s="42">
        <v>1</v>
      </c>
      <c r="B8" s="41" t="s">
        <v>83</v>
      </c>
      <c r="C8" s="51">
        <v>46238</v>
      </c>
      <c r="D8" s="44" t="s">
        <v>84</v>
      </c>
      <c r="E8" s="44" t="s">
        <v>85</v>
      </c>
      <c r="F8" s="50" t="s">
        <v>86</v>
      </c>
    </row>
    <row r="9" spans="1:10" s="8" customFormat="1" ht="14.25" x14ac:dyDescent="0.25">
      <c r="A9" s="42">
        <v>2</v>
      </c>
      <c r="B9" s="51" t="s">
        <v>83</v>
      </c>
      <c r="C9" s="51">
        <v>46238</v>
      </c>
      <c r="D9" s="50" t="s">
        <v>87</v>
      </c>
      <c r="E9" s="50" t="s">
        <v>88</v>
      </c>
      <c r="F9" s="50" t="s">
        <v>86</v>
      </c>
    </row>
    <row r="10" spans="1:10" s="8" customFormat="1" ht="14.25" x14ac:dyDescent="0.25">
      <c r="A10" s="36">
        <v>3</v>
      </c>
      <c r="B10" s="29"/>
      <c r="C10" s="27"/>
      <c r="D10" s="29"/>
      <c r="E10" s="29"/>
      <c r="F10" s="29"/>
    </row>
    <row r="11" spans="1:10" x14ac:dyDescent="0.25">
      <c r="A11" s="36">
        <v>4</v>
      </c>
      <c r="B11" s="29"/>
      <c r="C11" s="27"/>
      <c r="D11" s="29"/>
      <c r="E11" s="29"/>
      <c r="F11" s="29"/>
    </row>
    <row r="12" spans="1:10" ht="15.75" x14ac:dyDescent="0.25">
      <c r="A12" s="7"/>
      <c r="B12" s="25"/>
      <c r="C12" s="8"/>
      <c r="D12" s="8"/>
      <c r="E12" s="8"/>
      <c r="F12" s="8"/>
      <c r="G12" s="25"/>
    </row>
    <row r="13" spans="1:10" ht="15.75" x14ac:dyDescent="0.25">
      <c r="A13" s="7"/>
      <c r="B13" s="12" t="s">
        <v>16</v>
      </c>
      <c r="G13" s="25"/>
    </row>
    <row r="14" spans="1:10" ht="15.75" thickBot="1" x14ac:dyDescent="0.3">
      <c r="A14" s="7"/>
      <c r="B14" s="14"/>
      <c r="C14" s="8"/>
      <c r="D14" s="8"/>
      <c r="E14" s="8"/>
      <c r="F14" s="8"/>
      <c r="G14" s="8"/>
    </row>
    <row r="15" spans="1:10" x14ac:dyDescent="0.25">
      <c r="A15" s="15" t="s">
        <v>10</v>
      </c>
      <c r="B15" s="16" t="s">
        <v>17</v>
      </c>
      <c r="C15" s="16" t="s">
        <v>18</v>
      </c>
      <c r="D15" s="16" t="s">
        <v>13</v>
      </c>
      <c r="E15" s="16" t="s">
        <v>14</v>
      </c>
      <c r="F15" s="17" t="s">
        <v>15</v>
      </c>
    </row>
    <row r="16" spans="1:10" ht="15.75" customHeight="1" x14ac:dyDescent="0.25">
      <c r="A16" s="36">
        <v>1</v>
      </c>
      <c r="B16" s="27">
        <v>46238</v>
      </c>
      <c r="C16" s="38" t="s">
        <v>82</v>
      </c>
      <c r="D16" s="47" t="s">
        <v>81</v>
      </c>
      <c r="E16" s="44">
        <v>3998</v>
      </c>
      <c r="F16" s="33">
        <v>40</v>
      </c>
    </row>
    <row r="17" spans="1:7" ht="15.75" customHeight="1" x14ac:dyDescent="0.25">
      <c r="A17" s="36">
        <v>2</v>
      </c>
      <c r="B17" s="27">
        <v>46238</v>
      </c>
      <c r="C17" s="38" t="s">
        <v>91</v>
      </c>
      <c r="D17" s="44" t="s">
        <v>92</v>
      </c>
      <c r="E17" s="44">
        <v>3995</v>
      </c>
      <c r="F17" s="33">
        <v>40</v>
      </c>
    </row>
    <row r="18" spans="1:7" ht="15.75" customHeight="1" x14ac:dyDescent="0.25">
      <c r="A18" s="36">
        <v>3</v>
      </c>
      <c r="B18" s="27"/>
      <c r="C18" s="28"/>
      <c r="D18" s="44"/>
      <c r="E18" s="44"/>
      <c r="F18" s="33"/>
    </row>
    <row r="19" spans="1:7" ht="15.75" customHeight="1" x14ac:dyDescent="0.25">
      <c r="A19" s="36">
        <v>4</v>
      </c>
      <c r="B19" s="27"/>
      <c r="C19" s="38"/>
      <c r="D19" s="44"/>
      <c r="E19" s="44"/>
      <c r="F19" s="33"/>
    </row>
    <row r="20" spans="1:7" ht="15.75" customHeight="1" x14ac:dyDescent="0.25">
      <c r="A20" s="36">
        <v>5</v>
      </c>
      <c r="B20" s="27"/>
      <c r="C20" s="38"/>
      <c r="D20" s="44"/>
      <c r="E20" s="44"/>
      <c r="F20" s="33"/>
    </row>
    <row r="21" spans="1:7" ht="15.75" customHeight="1" x14ac:dyDescent="0.25">
      <c r="A21" s="36">
        <v>6</v>
      </c>
      <c r="B21" s="27"/>
      <c r="C21" s="38"/>
      <c r="D21" s="44"/>
      <c r="E21" s="44"/>
      <c r="F21" s="33"/>
    </row>
    <row r="22" spans="1:7" x14ac:dyDescent="0.25">
      <c r="A22" s="36">
        <v>7</v>
      </c>
      <c r="B22" s="27"/>
      <c r="C22" s="28"/>
      <c r="D22" s="44"/>
      <c r="E22" s="44"/>
      <c r="F22" s="33"/>
    </row>
    <row r="23" spans="1:7" x14ac:dyDescent="0.25">
      <c r="A23" s="36">
        <v>8</v>
      </c>
      <c r="B23" s="27"/>
      <c r="C23" s="28"/>
      <c r="D23" s="44"/>
      <c r="E23" s="44"/>
      <c r="F23" s="33"/>
    </row>
    <row r="24" spans="1:7" x14ac:dyDescent="0.25">
      <c r="A24" s="36">
        <v>9</v>
      </c>
      <c r="B24" s="27"/>
      <c r="C24" s="28"/>
      <c r="D24" s="44"/>
      <c r="E24" s="44"/>
      <c r="F24" s="33"/>
    </row>
    <row r="25" spans="1:7" x14ac:dyDescent="0.25">
      <c r="A25" s="36">
        <v>10</v>
      </c>
      <c r="B25" s="27"/>
      <c r="C25" s="28"/>
      <c r="D25" s="28"/>
      <c r="E25" s="38"/>
      <c r="F25" s="33"/>
    </row>
    <row r="26" spans="1:7" x14ac:dyDescent="0.25">
      <c r="B26" s="48"/>
      <c r="C26" s="47"/>
      <c r="D26" s="45"/>
      <c r="E26" s="45"/>
      <c r="F26" s="46"/>
    </row>
    <row r="27" spans="1:7" ht="15.75" x14ac:dyDescent="0.25">
      <c r="A27" s="7"/>
      <c r="B27" s="12" t="s">
        <v>19</v>
      </c>
      <c r="C27" s="8"/>
      <c r="E27" s="8"/>
      <c r="F27" s="8"/>
      <c r="G27" s="25"/>
    </row>
    <row r="28" spans="1:7" ht="15.75" thickBot="1" x14ac:dyDescent="0.3">
      <c r="A28" s="7"/>
      <c r="B28" s="14"/>
      <c r="C28" s="8"/>
      <c r="D28" s="8"/>
      <c r="E28" s="8"/>
      <c r="F28" s="8"/>
      <c r="G28" s="8"/>
    </row>
    <row r="29" spans="1:7" ht="15.75" thickBot="1" x14ac:dyDescent="0.3">
      <c r="A29" s="15" t="s">
        <v>10</v>
      </c>
      <c r="B29" s="16" t="s">
        <v>20</v>
      </c>
      <c r="C29" s="16" t="s">
        <v>13</v>
      </c>
      <c r="D29" s="16" t="s">
        <v>21</v>
      </c>
      <c r="E29" s="16" t="s">
        <v>22</v>
      </c>
      <c r="F29" s="17" t="s">
        <v>15</v>
      </c>
    </row>
    <row r="30" spans="1:7" ht="15.75" customHeight="1" x14ac:dyDescent="0.25">
      <c r="A30" s="18">
        <v>1</v>
      </c>
      <c r="B30" s="31">
        <v>4082026</v>
      </c>
      <c r="C30" s="19" t="s">
        <v>89</v>
      </c>
      <c r="D30" s="19" t="s">
        <v>90</v>
      </c>
      <c r="E30" s="19">
        <v>3953</v>
      </c>
      <c r="F30" s="20">
        <v>40</v>
      </c>
    </row>
    <row r="31" spans="1:7" ht="15.75" customHeight="1" x14ac:dyDescent="0.25">
      <c r="A31" s="26">
        <v>2</v>
      </c>
      <c r="B31" s="32"/>
      <c r="C31" s="29"/>
      <c r="D31" s="29"/>
      <c r="E31" s="29"/>
      <c r="F31" s="30"/>
    </row>
    <row r="32" spans="1:7" ht="15.75" customHeight="1" x14ac:dyDescent="0.25">
      <c r="A32" s="26">
        <v>3</v>
      </c>
      <c r="B32" s="32"/>
      <c r="C32" s="29"/>
      <c r="D32" s="29"/>
      <c r="E32" s="29"/>
      <c r="F32" s="30"/>
    </row>
    <row r="33" spans="1:6" ht="15.75" customHeight="1" x14ac:dyDescent="0.25">
      <c r="A33" s="26">
        <v>4</v>
      </c>
      <c r="B33" s="32"/>
      <c r="C33" s="29"/>
      <c r="D33" s="29"/>
      <c r="E33" s="29"/>
      <c r="F33" s="30"/>
    </row>
    <row r="34" spans="1:6" ht="15.75" customHeight="1" x14ac:dyDescent="0.25">
      <c r="A34" s="26">
        <v>5</v>
      </c>
      <c r="B34" s="32"/>
      <c r="C34" s="29"/>
      <c r="D34" s="29"/>
      <c r="E34" s="29"/>
      <c r="F34" s="30"/>
    </row>
    <row r="35" spans="1:6" ht="15.75" customHeight="1" x14ac:dyDescent="0.25">
      <c r="A35" s="26">
        <v>6</v>
      </c>
      <c r="B35" s="32"/>
      <c r="C35" s="29"/>
      <c r="D35" s="29"/>
      <c r="E35" s="29"/>
      <c r="F35" s="30"/>
    </row>
    <row r="36" spans="1:6" ht="15.75" customHeight="1" x14ac:dyDescent="0.25">
      <c r="A36" s="26">
        <v>7</v>
      </c>
      <c r="B36" s="32"/>
      <c r="C36" s="29"/>
      <c r="D36" s="29"/>
      <c r="E36" s="29"/>
      <c r="F36" s="30"/>
    </row>
    <row r="37" spans="1:6" ht="15.75" customHeight="1" x14ac:dyDescent="0.25">
      <c r="A37" s="26">
        <v>8</v>
      </c>
      <c r="B37" s="32"/>
      <c r="C37" s="29"/>
      <c r="D37" s="29"/>
      <c r="E37" s="29"/>
      <c r="F37" s="30"/>
    </row>
  </sheetData>
  <mergeCells count="1">
    <mergeCell ref="A3:H3"/>
  </mergeCells>
  <conditionalFormatting sqref="G10">
    <cfRule type="expression" dxfId="1" priority="1">
      <formula>LEFT(CELL("format",C10))</formula>
    </cfRule>
  </conditionalFormatting>
  <dataValidations count="2">
    <dataValidation type="list" allowBlank="1" showInputMessage="1" showErrorMessage="1" sqref="F16:F25" xr:uid="{191EB60D-78E1-438A-821A-A1F46A065000}">
      <formula1>"20,40,45,50"</formula1>
    </dataValidation>
    <dataValidation type="list" allowBlank="1" showInputMessage="1" showErrorMessage="1" sqref="F8:F9" xr:uid="{379BF994-7762-422B-BF23-26B209F7BB63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7253-27EA-49F9-A6A9-76E112F353CB}">
  <dimension ref="A1:J44"/>
  <sheetViews>
    <sheetView topLeftCell="A5" workbookViewId="0">
      <selection activeCell="E25" sqref="E25:E27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0" s="8" customFormat="1" ht="24.95" customHeight="1" x14ac:dyDescent="0.25">
      <c r="A1" s="7"/>
      <c r="H1" s="9">
        <f>COUNTIF(C8:C29,"&lt;&gt;")</f>
        <v>17</v>
      </c>
      <c r="I1" s="10" t="s">
        <v>6</v>
      </c>
    </row>
    <row r="2" spans="1:10" s="8" customFormat="1" ht="15.75" x14ac:dyDescent="0.25">
      <c r="A2" s="7"/>
      <c r="F2" s="9">
        <f>COUNTIFS(B34:B40,"&lt;&gt;",C34:C40,"VH")</f>
        <v>0</v>
      </c>
      <c r="G2" s="10" t="s">
        <v>7</v>
      </c>
      <c r="H2" s="9">
        <f>COUNTA(C34:C36)-F2</f>
        <v>2</v>
      </c>
      <c r="I2" s="10" t="s">
        <v>6</v>
      </c>
      <c r="J2" s="11">
        <f>COUNTIF(H34:H36,"VIDE")</f>
        <v>0</v>
      </c>
    </row>
    <row r="3" spans="1:10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9</v>
      </c>
      <c r="G5" s="13">
        <v>46239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0" s="8" customFormat="1" x14ac:dyDescent="0.25">
      <c r="A8" s="42">
        <v>1</v>
      </c>
      <c r="B8" s="54" t="s">
        <v>141</v>
      </c>
      <c r="C8" s="51">
        <v>46239</v>
      </c>
      <c r="D8" s="52" t="s">
        <v>93</v>
      </c>
      <c r="E8" s="52" t="s">
        <v>94</v>
      </c>
      <c r="F8" s="53" t="s">
        <v>95</v>
      </c>
    </row>
    <row r="9" spans="1:10" s="8" customFormat="1" x14ac:dyDescent="0.25">
      <c r="A9" s="42">
        <v>2</v>
      </c>
      <c r="B9" s="72" t="s">
        <v>142</v>
      </c>
      <c r="C9" s="51">
        <v>46239</v>
      </c>
      <c r="D9" s="53" t="s">
        <v>96</v>
      </c>
      <c r="E9" s="54">
        <v>45022</v>
      </c>
      <c r="F9" s="54" t="s">
        <v>97</v>
      </c>
    </row>
    <row r="10" spans="1:10" s="8" customFormat="1" x14ac:dyDescent="0.25">
      <c r="A10" s="36">
        <v>3</v>
      </c>
      <c r="B10" s="73"/>
      <c r="C10" s="51">
        <v>46239</v>
      </c>
      <c r="D10" s="54" t="s">
        <v>98</v>
      </c>
      <c r="E10" s="54">
        <v>45029</v>
      </c>
      <c r="F10" s="54" t="s">
        <v>97</v>
      </c>
    </row>
    <row r="11" spans="1:10" s="8" customFormat="1" x14ac:dyDescent="0.25">
      <c r="A11" s="42">
        <v>4</v>
      </c>
      <c r="B11" s="73"/>
      <c r="C11" s="51">
        <v>46239</v>
      </c>
      <c r="D11" s="54" t="s">
        <v>99</v>
      </c>
      <c r="E11" s="54">
        <v>45023</v>
      </c>
      <c r="F11" s="54" t="s">
        <v>97</v>
      </c>
    </row>
    <row r="12" spans="1:10" s="8" customFormat="1" x14ac:dyDescent="0.25">
      <c r="A12" s="42">
        <v>5</v>
      </c>
      <c r="B12" s="73"/>
      <c r="C12" s="51">
        <v>46239</v>
      </c>
      <c r="D12" s="54" t="s">
        <v>100</v>
      </c>
      <c r="E12" s="53">
        <v>45113</v>
      </c>
      <c r="F12" s="54" t="s">
        <v>97</v>
      </c>
    </row>
    <row r="13" spans="1:10" s="8" customFormat="1" x14ac:dyDescent="0.25">
      <c r="A13" s="36">
        <v>6</v>
      </c>
      <c r="B13" s="73"/>
      <c r="C13" s="51"/>
      <c r="D13" s="54"/>
      <c r="E13" s="53"/>
      <c r="F13" s="54"/>
    </row>
    <row r="14" spans="1:10" s="8" customFormat="1" x14ac:dyDescent="0.25">
      <c r="A14" s="42">
        <v>7</v>
      </c>
      <c r="B14" s="73"/>
      <c r="C14" s="51">
        <v>46239</v>
      </c>
      <c r="D14" s="54" t="s">
        <v>102</v>
      </c>
      <c r="E14" s="53">
        <v>45035</v>
      </c>
      <c r="F14" s="54" t="s">
        <v>97</v>
      </c>
    </row>
    <row r="15" spans="1:10" s="8" customFormat="1" x14ac:dyDescent="0.25">
      <c r="A15" s="42">
        <v>8</v>
      </c>
      <c r="B15" s="74"/>
      <c r="C15" s="51">
        <v>46239</v>
      </c>
      <c r="D15" s="52" t="s">
        <v>103</v>
      </c>
      <c r="E15" s="53">
        <v>45069</v>
      </c>
      <c r="F15" s="54" t="s">
        <v>97</v>
      </c>
    </row>
    <row r="16" spans="1:10" s="8" customFormat="1" x14ac:dyDescent="0.25">
      <c r="A16" s="36">
        <v>9</v>
      </c>
      <c r="B16" s="72" t="s">
        <v>143</v>
      </c>
      <c r="C16" s="51">
        <v>46239</v>
      </c>
      <c r="D16" s="52" t="s">
        <v>104</v>
      </c>
      <c r="E16" s="53" t="s">
        <v>105</v>
      </c>
      <c r="F16" s="54" t="s">
        <v>86</v>
      </c>
    </row>
    <row r="17" spans="1:7" s="8" customFormat="1" x14ac:dyDescent="0.25">
      <c r="A17" s="42">
        <v>10</v>
      </c>
      <c r="B17" s="74"/>
      <c r="C17" s="51">
        <v>46239</v>
      </c>
      <c r="D17" s="52" t="s">
        <v>106</v>
      </c>
      <c r="E17" s="53" t="s">
        <v>107</v>
      </c>
      <c r="F17" s="54" t="s">
        <v>86</v>
      </c>
    </row>
    <row r="18" spans="1:7" s="8" customFormat="1" x14ac:dyDescent="0.25">
      <c r="A18" s="42">
        <v>16</v>
      </c>
      <c r="B18" s="72" t="s">
        <v>145</v>
      </c>
      <c r="C18" s="77"/>
      <c r="D18" s="52" t="s">
        <v>117</v>
      </c>
      <c r="E18" s="52" t="s">
        <v>118</v>
      </c>
      <c r="F18" s="54" t="s">
        <v>95</v>
      </c>
      <c r="G18" s="79" t="s">
        <v>154</v>
      </c>
    </row>
    <row r="19" spans="1:7" s="8" customFormat="1" x14ac:dyDescent="0.25">
      <c r="A19" s="42">
        <v>17</v>
      </c>
      <c r="B19" s="74"/>
      <c r="C19" s="78"/>
      <c r="D19" s="52" t="s">
        <v>119</v>
      </c>
      <c r="E19" s="52" t="s">
        <v>120</v>
      </c>
      <c r="F19" s="54" t="s">
        <v>95</v>
      </c>
      <c r="G19" s="79"/>
    </row>
    <row r="20" spans="1:7" s="8" customFormat="1" x14ac:dyDescent="0.25">
      <c r="A20" s="36">
        <v>18</v>
      </c>
      <c r="B20" s="72" t="s">
        <v>146</v>
      </c>
      <c r="C20" s="51">
        <v>46239</v>
      </c>
      <c r="D20" s="52" t="s">
        <v>121</v>
      </c>
      <c r="E20" s="52" t="s">
        <v>122</v>
      </c>
      <c r="F20" s="54" t="s">
        <v>95</v>
      </c>
    </row>
    <row r="21" spans="1:7" s="8" customFormat="1" x14ac:dyDescent="0.25">
      <c r="A21" s="42">
        <v>19</v>
      </c>
      <c r="B21" s="74"/>
      <c r="C21" s="51">
        <v>46239</v>
      </c>
      <c r="D21" s="52" t="s">
        <v>123</v>
      </c>
      <c r="E21" s="52" t="s">
        <v>124</v>
      </c>
      <c r="F21" s="54" t="s">
        <v>95</v>
      </c>
    </row>
    <row r="22" spans="1:7" s="8" customFormat="1" x14ac:dyDescent="0.25">
      <c r="A22" s="42">
        <v>20</v>
      </c>
      <c r="B22" s="72" t="s">
        <v>147</v>
      </c>
      <c r="C22" s="51">
        <v>46239</v>
      </c>
      <c r="D22" s="52" t="s">
        <v>125</v>
      </c>
      <c r="E22" s="52" t="s">
        <v>126</v>
      </c>
      <c r="F22" s="54" t="s">
        <v>86</v>
      </c>
    </row>
    <row r="23" spans="1:7" s="8" customFormat="1" x14ac:dyDescent="0.25">
      <c r="A23" s="36">
        <v>21</v>
      </c>
      <c r="B23" s="73"/>
      <c r="C23" s="51"/>
      <c r="D23" s="52" t="s">
        <v>127</v>
      </c>
      <c r="E23" s="52" t="s">
        <v>128</v>
      </c>
      <c r="F23" s="54" t="s">
        <v>97</v>
      </c>
    </row>
    <row r="24" spans="1:7" s="8" customFormat="1" x14ac:dyDescent="0.25">
      <c r="A24" s="42">
        <v>22</v>
      </c>
      <c r="B24" s="74"/>
      <c r="C24" s="51">
        <v>46239</v>
      </c>
      <c r="D24" s="52" t="s">
        <v>129</v>
      </c>
      <c r="E24" s="52" t="s">
        <v>130</v>
      </c>
      <c r="F24" s="54">
        <v>40</v>
      </c>
    </row>
    <row r="25" spans="1:7" s="8" customFormat="1" x14ac:dyDescent="0.25">
      <c r="A25" s="42">
        <v>23</v>
      </c>
      <c r="B25" s="75" t="s">
        <v>148</v>
      </c>
      <c r="C25" s="51"/>
      <c r="D25" s="52" t="s">
        <v>131</v>
      </c>
      <c r="E25" s="52" t="s">
        <v>132</v>
      </c>
      <c r="F25" s="54" t="s">
        <v>97</v>
      </c>
    </row>
    <row r="26" spans="1:7" s="8" customFormat="1" x14ac:dyDescent="0.25">
      <c r="A26" s="36">
        <v>24</v>
      </c>
      <c r="B26" s="75"/>
      <c r="C26" s="51">
        <v>46239</v>
      </c>
      <c r="D26" s="52" t="s">
        <v>133</v>
      </c>
      <c r="E26" s="52" t="s">
        <v>134</v>
      </c>
      <c r="F26" s="54">
        <v>45</v>
      </c>
    </row>
    <row r="27" spans="1:7" s="8" customFormat="1" x14ac:dyDescent="0.25">
      <c r="A27" s="42">
        <v>25</v>
      </c>
      <c r="B27" s="76"/>
      <c r="C27" s="51">
        <v>46239</v>
      </c>
      <c r="D27" s="52" t="s">
        <v>135</v>
      </c>
      <c r="E27" s="52" t="s">
        <v>136</v>
      </c>
      <c r="F27" s="54" t="s">
        <v>95</v>
      </c>
    </row>
    <row r="28" spans="1:7" s="8" customFormat="1" x14ac:dyDescent="0.25">
      <c r="A28" s="42">
        <v>26</v>
      </c>
      <c r="B28" s="75" t="s">
        <v>149</v>
      </c>
      <c r="C28" s="51">
        <v>46239</v>
      </c>
      <c r="D28" s="52" t="s">
        <v>137</v>
      </c>
      <c r="E28" s="52" t="s">
        <v>138</v>
      </c>
      <c r="F28" s="53" t="s">
        <v>95</v>
      </c>
    </row>
    <row r="29" spans="1:7" s="8" customFormat="1" x14ac:dyDescent="0.25">
      <c r="A29" s="36">
        <v>27</v>
      </c>
      <c r="B29" s="76"/>
      <c r="C29" s="51">
        <v>46239</v>
      </c>
      <c r="D29" s="53" t="s">
        <v>139</v>
      </c>
      <c r="E29" s="53" t="s">
        <v>140</v>
      </c>
      <c r="F29" s="53" t="s">
        <v>95</v>
      </c>
    </row>
    <row r="30" spans="1:7" ht="15.75" x14ac:dyDescent="0.25">
      <c r="A30" s="7"/>
      <c r="B30" s="25"/>
      <c r="C30" s="8"/>
      <c r="D30" s="8"/>
      <c r="E30" s="8"/>
      <c r="F30" s="8"/>
      <c r="G30" s="25"/>
    </row>
    <row r="31" spans="1:7" ht="15.75" x14ac:dyDescent="0.25">
      <c r="A31" s="7"/>
      <c r="B31" s="12" t="s">
        <v>16</v>
      </c>
      <c r="G31" s="25"/>
    </row>
    <row r="32" spans="1:7" ht="15.75" thickBot="1" x14ac:dyDescent="0.3">
      <c r="A32" s="7"/>
      <c r="B32" s="14"/>
      <c r="C32" s="8"/>
      <c r="D32" s="8"/>
      <c r="E32" s="8"/>
      <c r="F32" s="8"/>
      <c r="G32" s="8"/>
    </row>
    <row r="33" spans="1:7" x14ac:dyDescent="0.25">
      <c r="A33" s="15" t="s">
        <v>10</v>
      </c>
      <c r="B33" s="16" t="s">
        <v>17</v>
      </c>
      <c r="C33" s="16" t="s">
        <v>18</v>
      </c>
      <c r="D33" s="16" t="s">
        <v>13</v>
      </c>
      <c r="E33" s="16" t="s">
        <v>14</v>
      </c>
      <c r="F33" s="17" t="s">
        <v>15</v>
      </c>
    </row>
    <row r="34" spans="1:7" ht="15.75" customHeight="1" x14ac:dyDescent="0.25">
      <c r="A34" s="36">
        <v>1</v>
      </c>
      <c r="B34" s="27">
        <v>46239</v>
      </c>
      <c r="C34" s="29" t="s">
        <v>78</v>
      </c>
      <c r="D34" s="43" t="s">
        <v>150</v>
      </c>
      <c r="E34" s="37">
        <v>3961</v>
      </c>
      <c r="F34" s="29">
        <v>40</v>
      </c>
    </row>
    <row r="35" spans="1:7" ht="15.75" customHeight="1" x14ac:dyDescent="0.25">
      <c r="A35" s="36">
        <v>2</v>
      </c>
      <c r="B35" s="27">
        <v>46239</v>
      </c>
      <c r="C35" s="29" t="s">
        <v>152</v>
      </c>
      <c r="D35" s="43" t="s">
        <v>151</v>
      </c>
      <c r="E35" s="37" t="s">
        <v>153</v>
      </c>
      <c r="F35" s="29">
        <v>40</v>
      </c>
    </row>
    <row r="36" spans="1:7" ht="15.75" customHeight="1" x14ac:dyDescent="0.25">
      <c r="A36" s="36">
        <v>3</v>
      </c>
      <c r="B36" s="27"/>
      <c r="C36" s="29"/>
      <c r="D36" s="39"/>
      <c r="E36" s="39"/>
      <c r="F36" s="29"/>
      <c r="G36" s="24" t="s">
        <v>42</v>
      </c>
    </row>
    <row r="38" spans="1:7" ht="15.75" x14ac:dyDescent="0.25">
      <c r="A38" s="7"/>
      <c r="B38" s="12" t="s">
        <v>19</v>
      </c>
      <c r="C38" s="8"/>
      <c r="E38" s="8"/>
      <c r="F38" s="8"/>
      <c r="G38" s="25"/>
    </row>
    <row r="39" spans="1:7" ht="15.75" thickBot="1" x14ac:dyDescent="0.3">
      <c r="A39" s="7"/>
      <c r="B39" s="14"/>
      <c r="C39" s="8"/>
      <c r="D39" s="8"/>
      <c r="E39" s="8"/>
      <c r="F39" s="8"/>
      <c r="G39" s="8"/>
    </row>
    <row r="40" spans="1:7" ht="15.75" thickBot="1" x14ac:dyDescent="0.3">
      <c r="A40" s="15" t="s">
        <v>10</v>
      </c>
      <c r="B40" s="16" t="s">
        <v>20</v>
      </c>
      <c r="C40" s="16" t="s">
        <v>13</v>
      </c>
      <c r="D40" s="16" t="s">
        <v>21</v>
      </c>
      <c r="E40" s="16" t="s">
        <v>22</v>
      </c>
      <c r="F40" s="17" t="s">
        <v>15</v>
      </c>
    </row>
    <row r="41" spans="1:7" ht="15.75" customHeight="1" x14ac:dyDescent="0.25">
      <c r="A41" s="18">
        <v>1</v>
      </c>
      <c r="B41" s="31"/>
      <c r="C41" s="19"/>
      <c r="D41" s="19"/>
      <c r="E41" s="19"/>
      <c r="F41" s="20"/>
    </row>
    <row r="42" spans="1:7" ht="15.75" customHeight="1" x14ac:dyDescent="0.25">
      <c r="A42" s="26">
        <v>2</v>
      </c>
      <c r="B42" s="32"/>
      <c r="C42" s="29"/>
      <c r="D42" s="29"/>
      <c r="E42" s="29"/>
      <c r="F42" s="30"/>
    </row>
    <row r="43" spans="1:7" ht="15.75" customHeight="1" x14ac:dyDescent="0.25">
      <c r="A43" s="26">
        <v>3</v>
      </c>
      <c r="B43" s="32"/>
      <c r="C43" s="29"/>
      <c r="D43" s="29"/>
      <c r="E43" s="29"/>
      <c r="F43" s="30"/>
    </row>
    <row r="44" spans="1:7" ht="15.75" customHeight="1" x14ac:dyDescent="0.25">
      <c r="A44" s="26">
        <v>4</v>
      </c>
      <c r="B44" s="32"/>
      <c r="C44" s="29"/>
      <c r="D44" s="29"/>
      <c r="E44" s="29"/>
      <c r="F44" s="30"/>
    </row>
  </sheetData>
  <mergeCells count="10">
    <mergeCell ref="B22:B24"/>
    <mergeCell ref="B25:B27"/>
    <mergeCell ref="B28:B29"/>
    <mergeCell ref="C18:C19"/>
    <mergeCell ref="A3:H3"/>
    <mergeCell ref="B9:B15"/>
    <mergeCell ref="B16:B17"/>
    <mergeCell ref="B18:B19"/>
    <mergeCell ref="B20:B21"/>
    <mergeCell ref="G18:G19"/>
  </mergeCells>
  <dataValidations count="1">
    <dataValidation type="list" allowBlank="1" showInputMessage="1" showErrorMessage="1" sqref="F8:F28" xr:uid="{6A3B35CC-2BC1-410D-AC4C-FCEEE66359FC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B3BF-EFFB-4D31-8197-D57DFE83A6ED}">
  <dimension ref="A1:J44"/>
  <sheetViews>
    <sheetView topLeftCell="A16" workbookViewId="0">
      <selection activeCell="D8" sqref="D8:E8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0" s="8" customFormat="1" ht="24.95" customHeight="1" x14ac:dyDescent="0.25">
      <c r="A1" s="7"/>
      <c r="H1" s="9">
        <f>COUNTIF(C8:C15,"&lt;&gt;")</f>
        <v>6</v>
      </c>
      <c r="I1" s="10" t="s">
        <v>6</v>
      </c>
    </row>
    <row r="2" spans="1:10" s="8" customFormat="1" ht="15.75" x14ac:dyDescent="0.25">
      <c r="A2" s="7"/>
      <c r="F2" s="9">
        <f>COUNTIFS(B20:B23,"&lt;&gt;",C20:C23,"VH")</f>
        <v>1</v>
      </c>
      <c r="G2" s="10" t="s">
        <v>7</v>
      </c>
      <c r="H2" s="9">
        <f>COUNTA(C20:C27)-F2</f>
        <v>2</v>
      </c>
      <c r="I2" s="10" t="s">
        <v>6</v>
      </c>
      <c r="J2" s="11">
        <f>COUNTIF(H20:H25,"VIDE")</f>
        <v>0</v>
      </c>
    </row>
    <row r="3" spans="1:10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9</v>
      </c>
      <c r="G5" s="13">
        <v>46240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0" s="8" customFormat="1" ht="14.25" x14ac:dyDescent="0.25">
      <c r="A8" s="36">
        <v>1</v>
      </c>
      <c r="B8" s="55" t="s">
        <v>142</v>
      </c>
      <c r="C8" s="27">
        <v>46240</v>
      </c>
      <c r="D8" s="41" t="s">
        <v>101</v>
      </c>
      <c r="E8" s="50">
        <v>45063</v>
      </c>
      <c r="F8" s="41" t="s">
        <v>97</v>
      </c>
    </row>
    <row r="9" spans="1:10" s="8" customFormat="1" ht="14.25" x14ac:dyDescent="0.25">
      <c r="A9" s="42">
        <v>2</v>
      </c>
      <c r="B9" s="77" t="s">
        <v>144</v>
      </c>
      <c r="C9" s="27">
        <v>46240</v>
      </c>
      <c r="D9" s="41" t="s">
        <v>108</v>
      </c>
      <c r="E9" s="50" t="s">
        <v>109</v>
      </c>
      <c r="F9" s="41">
        <v>45</v>
      </c>
    </row>
    <row r="10" spans="1:10" s="8" customFormat="1" ht="14.25" x14ac:dyDescent="0.25">
      <c r="A10" s="36">
        <v>3</v>
      </c>
      <c r="B10" s="80"/>
      <c r="C10" s="27">
        <v>46240</v>
      </c>
      <c r="D10" s="41" t="s">
        <v>110</v>
      </c>
      <c r="E10" s="41" t="s">
        <v>111</v>
      </c>
      <c r="F10" s="41" t="s">
        <v>97</v>
      </c>
    </row>
    <row r="11" spans="1:10" s="8" customFormat="1" ht="14.25" x14ac:dyDescent="0.25">
      <c r="A11" s="42">
        <v>4</v>
      </c>
      <c r="B11" s="80"/>
      <c r="C11" s="27"/>
      <c r="D11" s="41" t="s">
        <v>112</v>
      </c>
      <c r="E11" s="41" t="s">
        <v>113</v>
      </c>
      <c r="F11" s="41" t="s">
        <v>86</v>
      </c>
    </row>
    <row r="12" spans="1:10" s="8" customFormat="1" ht="14.25" x14ac:dyDescent="0.25">
      <c r="A12" s="42">
        <v>5</v>
      </c>
      <c r="B12" s="80"/>
      <c r="C12" s="27"/>
      <c r="D12" s="41" t="s">
        <v>114</v>
      </c>
      <c r="E12" s="41" t="s">
        <v>115</v>
      </c>
      <c r="F12" s="41" t="s">
        <v>86</v>
      </c>
    </row>
    <row r="13" spans="1:10" s="8" customFormat="1" ht="14.25" x14ac:dyDescent="0.25">
      <c r="A13" s="36">
        <v>6</v>
      </c>
      <c r="B13" s="78"/>
      <c r="C13" s="27">
        <v>46240</v>
      </c>
      <c r="D13" s="41" t="s">
        <v>116</v>
      </c>
      <c r="E13" s="41" t="s">
        <v>109</v>
      </c>
      <c r="F13" s="41">
        <v>45</v>
      </c>
    </row>
    <row r="14" spans="1:10" s="8" customFormat="1" ht="14.25" x14ac:dyDescent="0.25">
      <c r="A14" s="36">
        <v>7</v>
      </c>
      <c r="B14" s="55" t="s">
        <v>147</v>
      </c>
      <c r="C14" s="27">
        <v>46240</v>
      </c>
      <c r="D14" s="44" t="s">
        <v>127</v>
      </c>
      <c r="E14" s="44" t="s">
        <v>128</v>
      </c>
      <c r="F14" s="41" t="s">
        <v>97</v>
      </c>
    </row>
    <row r="15" spans="1:10" s="8" customFormat="1" ht="14.25" x14ac:dyDescent="0.25">
      <c r="A15" s="42">
        <v>8</v>
      </c>
      <c r="B15" s="41" t="s">
        <v>148</v>
      </c>
      <c r="C15" s="27">
        <v>46240</v>
      </c>
      <c r="D15" s="44" t="s">
        <v>131</v>
      </c>
      <c r="E15" s="44" t="s">
        <v>132</v>
      </c>
      <c r="F15" s="41" t="s">
        <v>97</v>
      </c>
    </row>
    <row r="16" spans="1:10" ht="15.75" x14ac:dyDescent="0.25">
      <c r="A16" s="7"/>
      <c r="B16" s="25"/>
      <c r="C16" s="8"/>
      <c r="D16" s="8"/>
      <c r="E16" s="8"/>
      <c r="F16" s="8"/>
      <c r="G16" s="25"/>
    </row>
    <row r="17" spans="1:7" ht="15.75" x14ac:dyDescent="0.25">
      <c r="A17" s="7"/>
      <c r="B17" s="12" t="s">
        <v>16</v>
      </c>
      <c r="G17" s="25"/>
    </row>
    <row r="18" spans="1:7" ht="15.75" thickBot="1" x14ac:dyDescent="0.3">
      <c r="A18" s="7"/>
      <c r="B18" s="14"/>
      <c r="C18" s="8"/>
      <c r="D18" s="8"/>
      <c r="E18" s="8"/>
      <c r="F18" s="8"/>
      <c r="G18" s="8"/>
    </row>
    <row r="19" spans="1:7" x14ac:dyDescent="0.25">
      <c r="A19" s="15" t="s">
        <v>10</v>
      </c>
      <c r="B19" s="16" t="s">
        <v>17</v>
      </c>
      <c r="C19" s="16" t="s">
        <v>18</v>
      </c>
      <c r="D19" s="16" t="s">
        <v>13</v>
      </c>
      <c r="E19" s="16" t="s">
        <v>14</v>
      </c>
      <c r="F19" s="17" t="s">
        <v>15</v>
      </c>
    </row>
    <row r="20" spans="1:7" ht="15.75" customHeight="1" x14ac:dyDescent="0.25">
      <c r="A20" s="36">
        <v>1</v>
      </c>
      <c r="B20" s="27">
        <v>46240</v>
      </c>
      <c r="C20" s="29" t="s">
        <v>78</v>
      </c>
      <c r="D20" s="43" t="s">
        <v>80</v>
      </c>
      <c r="E20" s="37" t="s">
        <v>24</v>
      </c>
      <c r="F20" s="29">
        <v>20</v>
      </c>
    </row>
    <row r="21" spans="1:7" ht="15.75" customHeight="1" x14ac:dyDescent="0.25">
      <c r="A21" s="36">
        <v>2</v>
      </c>
      <c r="B21" s="27">
        <v>46240</v>
      </c>
      <c r="C21" s="29" t="s">
        <v>177</v>
      </c>
      <c r="D21" s="43" t="s">
        <v>89</v>
      </c>
      <c r="E21" s="37">
        <v>3953</v>
      </c>
      <c r="F21" s="29">
        <v>40</v>
      </c>
    </row>
    <row r="22" spans="1:7" ht="15.75" customHeight="1" x14ac:dyDescent="0.25">
      <c r="A22" s="36">
        <v>3</v>
      </c>
      <c r="B22" s="27">
        <v>46240</v>
      </c>
      <c r="C22" s="29" t="s">
        <v>7</v>
      </c>
      <c r="D22" s="39" t="s">
        <v>178</v>
      </c>
      <c r="E22" s="24" t="s">
        <v>179</v>
      </c>
      <c r="F22" s="29"/>
      <c r="G22" s="24" t="s">
        <v>42</v>
      </c>
    </row>
    <row r="23" spans="1:7" ht="15.75" customHeight="1" x14ac:dyDescent="0.25">
      <c r="A23" s="36">
        <v>4</v>
      </c>
      <c r="B23" s="27"/>
      <c r="C23" s="29"/>
      <c r="D23" s="43"/>
      <c r="E23" s="38"/>
      <c r="F23" s="29"/>
    </row>
    <row r="24" spans="1:7" ht="15.75" customHeight="1" x14ac:dyDescent="0.25">
      <c r="A24" s="36">
        <v>5</v>
      </c>
      <c r="B24" s="27"/>
      <c r="C24" s="29"/>
      <c r="D24" s="41"/>
      <c r="E24" s="28"/>
      <c r="F24" s="29"/>
    </row>
    <row r="25" spans="1:7" ht="15.75" customHeight="1" x14ac:dyDescent="0.25">
      <c r="A25" s="36">
        <v>6</v>
      </c>
      <c r="B25" s="27"/>
      <c r="C25" s="29"/>
      <c r="D25" s="41"/>
      <c r="E25" s="28"/>
      <c r="F25" s="29"/>
    </row>
    <row r="26" spans="1:7" ht="15.75" customHeight="1" x14ac:dyDescent="0.25">
      <c r="A26" s="36">
        <v>7</v>
      </c>
      <c r="B26" s="27"/>
      <c r="C26" s="29"/>
      <c r="D26" s="41"/>
      <c r="E26" s="28"/>
      <c r="F26" s="29"/>
    </row>
    <row r="27" spans="1:7" ht="15.75" customHeight="1" x14ac:dyDescent="0.25">
      <c r="A27" s="36">
        <v>8</v>
      </c>
      <c r="B27" s="27"/>
      <c r="C27" s="29"/>
      <c r="D27" s="41"/>
      <c r="E27" s="28"/>
      <c r="F27" s="29"/>
    </row>
    <row r="29" spans="1:7" ht="15.75" x14ac:dyDescent="0.25">
      <c r="A29" s="7"/>
      <c r="B29" s="12" t="s">
        <v>19</v>
      </c>
      <c r="C29" s="8"/>
      <c r="E29" s="8"/>
      <c r="F29" s="8"/>
      <c r="G29" s="25"/>
    </row>
    <row r="30" spans="1:7" ht="15.75" thickBot="1" x14ac:dyDescent="0.3">
      <c r="A30" s="7"/>
      <c r="B30" s="14"/>
      <c r="C30" s="8"/>
      <c r="D30" s="8"/>
      <c r="E30" s="8"/>
      <c r="F30" s="8"/>
      <c r="G30" s="8"/>
    </row>
    <row r="31" spans="1:7" x14ac:dyDescent="0.25">
      <c r="A31" s="15" t="s">
        <v>10</v>
      </c>
      <c r="B31" s="16" t="s">
        <v>20</v>
      </c>
      <c r="C31" s="16" t="s">
        <v>13</v>
      </c>
      <c r="D31" s="16" t="s">
        <v>21</v>
      </c>
      <c r="E31" s="16" t="s">
        <v>22</v>
      </c>
      <c r="F31" s="17" t="s">
        <v>15</v>
      </c>
    </row>
    <row r="32" spans="1:7" ht="15.75" customHeight="1" x14ac:dyDescent="0.25">
      <c r="A32" s="36">
        <v>1</v>
      </c>
      <c r="B32" s="27">
        <v>46240</v>
      </c>
      <c r="C32" s="41" t="s">
        <v>155</v>
      </c>
      <c r="D32" s="43" t="s">
        <v>156</v>
      </c>
      <c r="E32" s="41">
        <v>3531</v>
      </c>
      <c r="F32" s="29"/>
    </row>
    <row r="33" spans="1:6" ht="15.75" customHeight="1" x14ac:dyDescent="0.25">
      <c r="A33" s="36">
        <v>2</v>
      </c>
      <c r="B33" s="27">
        <v>46240</v>
      </c>
      <c r="C33" s="41" t="s">
        <v>157</v>
      </c>
      <c r="D33" s="33" t="s">
        <v>158</v>
      </c>
      <c r="E33" s="41">
        <v>3526</v>
      </c>
      <c r="F33" s="29"/>
    </row>
    <row r="34" spans="1:6" ht="15.75" customHeight="1" x14ac:dyDescent="0.25">
      <c r="A34" s="36">
        <v>3</v>
      </c>
      <c r="B34" s="27">
        <v>46240</v>
      </c>
      <c r="C34" s="28" t="s">
        <v>159</v>
      </c>
      <c r="D34" s="33" t="s">
        <v>160</v>
      </c>
      <c r="E34" s="41">
        <v>3524</v>
      </c>
      <c r="F34" s="29"/>
    </row>
    <row r="35" spans="1:6" ht="15.75" customHeight="1" x14ac:dyDescent="0.25">
      <c r="A35" s="36">
        <v>4</v>
      </c>
      <c r="B35" s="27">
        <v>46240</v>
      </c>
      <c r="C35" s="28" t="s">
        <v>161</v>
      </c>
      <c r="D35" s="56" t="s">
        <v>162</v>
      </c>
      <c r="E35" s="41">
        <v>3522</v>
      </c>
      <c r="F35" s="29"/>
    </row>
    <row r="36" spans="1:6" ht="15.75" customHeight="1" x14ac:dyDescent="0.25">
      <c r="A36" s="36">
        <v>5</v>
      </c>
      <c r="B36" s="27">
        <v>46240</v>
      </c>
      <c r="C36" s="41" t="s">
        <v>163</v>
      </c>
      <c r="D36" s="43" t="s">
        <v>164</v>
      </c>
      <c r="E36" s="41">
        <v>3525</v>
      </c>
      <c r="F36" s="29"/>
    </row>
    <row r="37" spans="1:6" ht="15.75" customHeight="1" x14ac:dyDescent="0.25">
      <c r="A37" s="36">
        <v>6</v>
      </c>
      <c r="B37" s="27">
        <v>46240</v>
      </c>
      <c r="C37" s="28" t="s">
        <v>165</v>
      </c>
      <c r="D37" s="33" t="s">
        <v>166</v>
      </c>
      <c r="E37" s="41">
        <v>3528</v>
      </c>
      <c r="F37" s="29"/>
    </row>
    <row r="38" spans="1:6" ht="15.75" customHeight="1" x14ac:dyDescent="0.25">
      <c r="A38" s="36">
        <v>7</v>
      </c>
      <c r="B38" s="27">
        <v>46240</v>
      </c>
      <c r="C38" s="41" t="s">
        <v>167</v>
      </c>
      <c r="D38" s="44" t="s">
        <v>168</v>
      </c>
      <c r="E38" s="41">
        <v>3527</v>
      </c>
      <c r="F38" s="29"/>
    </row>
    <row r="39" spans="1:6" x14ac:dyDescent="0.25">
      <c r="A39" s="36">
        <v>8</v>
      </c>
      <c r="B39" s="27">
        <v>46240</v>
      </c>
      <c r="C39" s="44" t="s">
        <v>169</v>
      </c>
      <c r="D39" s="44" t="s">
        <v>170</v>
      </c>
      <c r="E39" s="41">
        <v>3530</v>
      </c>
      <c r="F39" s="40"/>
    </row>
    <row r="40" spans="1:6" x14ac:dyDescent="0.25">
      <c r="A40" s="36">
        <v>9</v>
      </c>
      <c r="B40" s="27">
        <v>46240</v>
      </c>
      <c r="C40" s="44" t="s">
        <v>171</v>
      </c>
      <c r="D40" s="44" t="s">
        <v>172</v>
      </c>
      <c r="E40" s="41">
        <v>3529</v>
      </c>
      <c r="F40" s="40"/>
    </row>
    <row r="41" spans="1:6" x14ac:dyDescent="0.25">
      <c r="A41" s="36">
        <v>10</v>
      </c>
      <c r="B41" s="27">
        <v>46240</v>
      </c>
      <c r="C41" s="44" t="s">
        <v>173</v>
      </c>
      <c r="D41" s="44" t="s">
        <v>174</v>
      </c>
      <c r="E41" s="41">
        <v>3523</v>
      </c>
      <c r="F41" s="40"/>
    </row>
    <row r="42" spans="1:6" x14ac:dyDescent="0.25">
      <c r="A42" s="36">
        <v>11</v>
      </c>
      <c r="B42" s="27">
        <v>46240</v>
      </c>
      <c r="C42" s="44" t="s">
        <v>175</v>
      </c>
      <c r="D42" s="44">
        <v>33046002</v>
      </c>
      <c r="E42" s="41">
        <v>3955</v>
      </c>
      <c r="F42" s="40"/>
    </row>
    <row r="43" spans="1:6" x14ac:dyDescent="0.25">
      <c r="A43" s="36">
        <v>12</v>
      </c>
      <c r="B43" s="27">
        <v>46240</v>
      </c>
      <c r="C43" s="44" t="s">
        <v>176</v>
      </c>
      <c r="D43" s="44">
        <v>32447470</v>
      </c>
      <c r="E43" s="41">
        <v>3956</v>
      </c>
      <c r="F43" s="40"/>
    </row>
    <row r="44" spans="1:6" x14ac:dyDescent="0.25">
      <c r="A44" s="40"/>
      <c r="B44" s="40"/>
      <c r="C44" s="40"/>
      <c r="D44" s="40"/>
      <c r="E44" s="40"/>
      <c r="F44" s="40"/>
    </row>
  </sheetData>
  <mergeCells count="2">
    <mergeCell ref="A3:H3"/>
    <mergeCell ref="B9:B13"/>
  </mergeCells>
  <dataValidations count="1">
    <dataValidation type="list" allowBlank="1" showInputMessage="1" showErrorMessage="1" sqref="F8:F15" xr:uid="{7AE81221-28A3-43BF-8B5C-CBEB66BF23A7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1853-17C4-4D93-A3E2-8A5CE535C0E5}">
  <dimension ref="A1:J44"/>
  <sheetViews>
    <sheetView workbookViewId="0">
      <selection activeCell="I8" sqref="I8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0" s="8" customFormat="1" ht="24.95" customHeight="1" x14ac:dyDescent="0.25">
      <c r="A1" s="7"/>
      <c r="H1" s="9">
        <f>COUNTIF(C8:C15,"&lt;&gt;")</f>
        <v>2</v>
      </c>
      <c r="I1" s="10" t="s">
        <v>6</v>
      </c>
    </row>
    <row r="2" spans="1:10" s="8" customFormat="1" ht="15.75" x14ac:dyDescent="0.25">
      <c r="A2" s="7"/>
      <c r="F2" s="9">
        <f>COUNTIFS(B20:B23,"&lt;&gt;",C20:C23,"VH")</f>
        <v>0</v>
      </c>
      <c r="G2" s="10" t="s">
        <v>7</v>
      </c>
      <c r="H2" s="9">
        <f>COUNTA(C20:C27)-F2</f>
        <v>0</v>
      </c>
      <c r="I2" s="10" t="s">
        <v>6</v>
      </c>
      <c r="J2" s="11">
        <f>COUNTIF(H20:H25,"VIDE")</f>
        <v>0</v>
      </c>
    </row>
    <row r="3" spans="1:10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9</v>
      </c>
      <c r="G5" s="13">
        <v>46243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0" s="8" customFormat="1" ht="14.25" x14ac:dyDescent="0.25">
      <c r="A8" s="36">
        <v>1</v>
      </c>
      <c r="B8" s="77" t="s">
        <v>144</v>
      </c>
      <c r="C8" s="27">
        <v>46243</v>
      </c>
      <c r="D8" s="41" t="s">
        <v>112</v>
      </c>
      <c r="E8" s="41" t="s">
        <v>113</v>
      </c>
      <c r="F8" s="41" t="s">
        <v>86</v>
      </c>
    </row>
    <row r="9" spans="1:10" s="8" customFormat="1" ht="14.25" x14ac:dyDescent="0.25">
      <c r="A9" s="42">
        <v>2</v>
      </c>
      <c r="B9" s="78"/>
      <c r="C9" s="27">
        <v>46243</v>
      </c>
      <c r="D9" s="41" t="s">
        <v>114</v>
      </c>
      <c r="E9" s="41" t="s">
        <v>115</v>
      </c>
      <c r="F9" s="41" t="s">
        <v>86</v>
      </c>
    </row>
    <row r="10" spans="1:10" s="8" customFormat="1" ht="14.25" x14ac:dyDescent="0.25">
      <c r="A10" s="36">
        <v>3</v>
      </c>
      <c r="B10" s="57"/>
      <c r="C10" s="27"/>
      <c r="D10" s="41"/>
      <c r="E10" s="41"/>
      <c r="F10" s="41"/>
    </row>
    <row r="11" spans="1:10" s="8" customFormat="1" ht="14.25" x14ac:dyDescent="0.25">
      <c r="A11" s="42">
        <v>4</v>
      </c>
      <c r="B11" s="57"/>
      <c r="C11" s="27"/>
      <c r="D11" s="41"/>
      <c r="E11" s="41"/>
      <c r="F11" s="41"/>
    </row>
    <row r="12" spans="1:10" s="8" customFormat="1" ht="14.25" x14ac:dyDescent="0.25">
      <c r="A12" s="42">
        <v>5</v>
      </c>
      <c r="B12" s="57"/>
      <c r="C12" s="27"/>
      <c r="D12" s="41"/>
      <c r="E12" s="41"/>
      <c r="F12" s="41"/>
    </row>
    <row r="13" spans="1:10" s="8" customFormat="1" ht="14.25" x14ac:dyDescent="0.25">
      <c r="A13" s="36">
        <v>6</v>
      </c>
      <c r="B13" s="57"/>
      <c r="C13" s="27"/>
      <c r="D13" s="41"/>
      <c r="E13" s="41"/>
      <c r="F13" s="41"/>
    </row>
    <row r="14" spans="1:10" s="8" customFormat="1" ht="14.25" x14ac:dyDescent="0.25">
      <c r="A14" s="36">
        <v>7</v>
      </c>
      <c r="B14" s="51"/>
      <c r="C14" s="27"/>
      <c r="D14" s="44"/>
      <c r="E14" s="44"/>
      <c r="F14" s="41"/>
    </row>
    <row r="15" spans="1:10" s="8" customFormat="1" ht="14.25" x14ac:dyDescent="0.25">
      <c r="A15" s="42">
        <v>8</v>
      </c>
      <c r="B15" s="41"/>
      <c r="C15" s="27"/>
      <c r="D15" s="44"/>
      <c r="E15" s="44"/>
      <c r="F15" s="41"/>
    </row>
    <row r="16" spans="1:10" ht="15.75" x14ac:dyDescent="0.25">
      <c r="A16" s="7"/>
      <c r="B16" s="25"/>
      <c r="C16" s="8"/>
      <c r="D16" s="8"/>
      <c r="E16" s="8"/>
      <c r="F16" s="8"/>
      <c r="G16" s="25"/>
    </row>
    <row r="17" spans="1:7" ht="15.75" x14ac:dyDescent="0.25">
      <c r="A17" s="7"/>
      <c r="B17" s="12" t="s">
        <v>16</v>
      </c>
      <c r="G17" s="25"/>
    </row>
    <row r="18" spans="1:7" ht="15.75" thickBot="1" x14ac:dyDescent="0.3">
      <c r="A18" s="7"/>
      <c r="B18" s="14"/>
      <c r="C18" s="8"/>
      <c r="D18" s="8"/>
      <c r="E18" s="8"/>
      <c r="F18" s="8"/>
      <c r="G18" s="8"/>
    </row>
    <row r="19" spans="1:7" x14ac:dyDescent="0.25">
      <c r="A19" s="15" t="s">
        <v>10</v>
      </c>
      <c r="B19" s="16" t="s">
        <v>17</v>
      </c>
      <c r="C19" s="16" t="s">
        <v>18</v>
      </c>
      <c r="D19" s="16" t="s">
        <v>13</v>
      </c>
      <c r="E19" s="16" t="s">
        <v>14</v>
      </c>
      <c r="F19" s="17" t="s">
        <v>15</v>
      </c>
    </row>
    <row r="20" spans="1:7" ht="15.75" customHeight="1" x14ac:dyDescent="0.25">
      <c r="A20" s="36">
        <v>1</v>
      </c>
      <c r="B20" s="27"/>
      <c r="C20" s="29"/>
      <c r="D20" s="43"/>
      <c r="E20" s="37"/>
      <c r="F20" s="29"/>
    </row>
    <row r="21" spans="1:7" ht="15.75" customHeight="1" x14ac:dyDescent="0.25">
      <c r="A21" s="36">
        <v>2</v>
      </c>
      <c r="B21" s="27"/>
      <c r="C21" s="29"/>
      <c r="D21" s="43"/>
      <c r="E21" s="37"/>
      <c r="F21" s="29"/>
    </row>
    <row r="22" spans="1:7" ht="15.75" customHeight="1" x14ac:dyDescent="0.25">
      <c r="A22" s="36">
        <v>3</v>
      </c>
      <c r="B22" s="27"/>
      <c r="C22" s="29"/>
      <c r="D22" s="39"/>
      <c r="F22" s="29"/>
      <c r="G22" s="24" t="s">
        <v>42</v>
      </c>
    </row>
    <row r="23" spans="1:7" ht="15.75" customHeight="1" x14ac:dyDescent="0.25">
      <c r="A23" s="36">
        <v>4</v>
      </c>
      <c r="B23" s="27"/>
      <c r="C23" s="29"/>
      <c r="D23" s="43"/>
      <c r="E23" s="38"/>
      <c r="F23" s="29"/>
    </row>
    <row r="24" spans="1:7" ht="15.75" customHeight="1" x14ac:dyDescent="0.25">
      <c r="A24" s="36">
        <v>5</v>
      </c>
      <c r="B24" s="27"/>
      <c r="C24" s="29"/>
      <c r="D24" s="41"/>
      <c r="E24" s="28"/>
      <c r="F24" s="29"/>
    </row>
    <row r="25" spans="1:7" ht="15.75" customHeight="1" x14ac:dyDescent="0.25">
      <c r="A25" s="36">
        <v>6</v>
      </c>
      <c r="B25" s="27"/>
      <c r="C25" s="29"/>
      <c r="D25" s="41"/>
      <c r="E25" s="28"/>
      <c r="F25" s="29"/>
    </row>
    <row r="26" spans="1:7" ht="15.75" customHeight="1" x14ac:dyDescent="0.25">
      <c r="A26" s="36">
        <v>7</v>
      </c>
      <c r="B26" s="27"/>
      <c r="C26" s="29"/>
      <c r="D26" s="41"/>
      <c r="E26" s="28"/>
      <c r="F26" s="29"/>
    </row>
    <row r="27" spans="1:7" ht="15.75" customHeight="1" x14ac:dyDescent="0.25">
      <c r="A27" s="36">
        <v>8</v>
      </c>
      <c r="B27" s="27"/>
      <c r="C27" s="29"/>
      <c r="D27" s="41"/>
      <c r="E27" s="28"/>
      <c r="F27" s="29"/>
    </row>
    <row r="29" spans="1:7" ht="15.75" x14ac:dyDescent="0.25">
      <c r="A29" s="7"/>
      <c r="B29" s="12" t="s">
        <v>19</v>
      </c>
      <c r="C29" s="8"/>
      <c r="E29" s="8"/>
      <c r="F29" s="8"/>
      <c r="G29" s="25"/>
    </row>
    <row r="30" spans="1:7" ht="15.75" thickBot="1" x14ac:dyDescent="0.3">
      <c r="A30" s="7"/>
      <c r="B30" s="14"/>
      <c r="C30" s="8"/>
      <c r="D30" s="8"/>
      <c r="E30" s="8"/>
      <c r="F30" s="8"/>
      <c r="G30" s="8"/>
    </row>
    <row r="31" spans="1:7" x14ac:dyDescent="0.25">
      <c r="A31" s="15" t="s">
        <v>10</v>
      </c>
      <c r="B31" s="16" t="s">
        <v>20</v>
      </c>
      <c r="C31" s="16" t="s">
        <v>13</v>
      </c>
      <c r="D31" s="16" t="s">
        <v>21</v>
      </c>
      <c r="E31" s="16" t="s">
        <v>22</v>
      </c>
      <c r="F31" s="17" t="s">
        <v>15</v>
      </c>
    </row>
    <row r="32" spans="1:7" ht="15.75" customHeight="1" x14ac:dyDescent="0.25">
      <c r="A32" s="36">
        <v>1</v>
      </c>
      <c r="B32" s="27">
        <v>46243</v>
      </c>
      <c r="C32" s="41" t="s">
        <v>180</v>
      </c>
      <c r="D32" s="50" t="s">
        <v>181</v>
      </c>
      <c r="E32" s="41">
        <v>3957</v>
      </c>
      <c r="F32" s="29">
        <v>40</v>
      </c>
    </row>
    <row r="33" spans="1:6" ht="15.75" customHeight="1" x14ac:dyDescent="0.25">
      <c r="A33" s="36">
        <v>2</v>
      </c>
      <c r="B33" s="27"/>
      <c r="C33" s="41"/>
      <c r="D33" s="33"/>
      <c r="E33" s="41"/>
      <c r="F33" s="29"/>
    </row>
    <row r="34" spans="1:6" ht="15.75" customHeight="1" x14ac:dyDescent="0.25">
      <c r="A34" s="36">
        <v>3</v>
      </c>
      <c r="B34" s="27"/>
      <c r="C34" s="28"/>
      <c r="D34" s="33"/>
      <c r="E34" s="41"/>
      <c r="F34" s="29"/>
    </row>
    <row r="35" spans="1:6" ht="15.75" customHeight="1" x14ac:dyDescent="0.25">
      <c r="A35" s="36">
        <v>4</v>
      </c>
      <c r="B35" s="27"/>
      <c r="C35" s="28"/>
      <c r="D35" s="56"/>
      <c r="E35" s="41"/>
      <c r="F35" s="29"/>
    </row>
    <row r="36" spans="1:6" ht="15.75" customHeight="1" x14ac:dyDescent="0.25">
      <c r="A36" s="36">
        <v>5</v>
      </c>
      <c r="B36" s="27"/>
      <c r="C36" s="41"/>
      <c r="D36" s="43"/>
      <c r="E36" s="41"/>
      <c r="F36" s="29"/>
    </row>
    <row r="37" spans="1:6" ht="15.75" customHeight="1" x14ac:dyDescent="0.25">
      <c r="A37" s="36">
        <v>6</v>
      </c>
      <c r="B37" s="27"/>
      <c r="C37" s="28"/>
      <c r="D37" s="33"/>
      <c r="E37" s="41"/>
      <c r="F37" s="29"/>
    </row>
    <row r="38" spans="1:6" ht="15.75" customHeight="1" x14ac:dyDescent="0.25">
      <c r="A38" s="36">
        <v>7</v>
      </c>
      <c r="B38" s="27"/>
      <c r="C38" s="41"/>
      <c r="D38" s="44"/>
      <c r="E38" s="41"/>
      <c r="F38" s="29"/>
    </row>
    <row r="39" spans="1:6" x14ac:dyDescent="0.25">
      <c r="A39" s="36">
        <v>8</v>
      </c>
      <c r="B39" s="27"/>
      <c r="C39" s="44"/>
      <c r="D39" s="44"/>
      <c r="E39" s="41"/>
      <c r="F39" s="40"/>
    </row>
    <row r="40" spans="1:6" x14ac:dyDescent="0.25">
      <c r="A40" s="36">
        <v>9</v>
      </c>
      <c r="B40" s="27"/>
      <c r="C40" s="44"/>
      <c r="D40" s="44"/>
      <c r="E40" s="41"/>
      <c r="F40" s="40"/>
    </row>
    <row r="41" spans="1:6" x14ac:dyDescent="0.25">
      <c r="A41" s="36">
        <v>10</v>
      </c>
      <c r="B41" s="27"/>
      <c r="C41" s="44"/>
      <c r="D41" s="44"/>
      <c r="E41" s="41"/>
      <c r="F41" s="40"/>
    </row>
    <row r="42" spans="1:6" x14ac:dyDescent="0.25">
      <c r="A42" s="36">
        <v>11</v>
      </c>
      <c r="B42" s="27"/>
      <c r="C42" s="44"/>
      <c r="D42" s="44"/>
      <c r="E42" s="41"/>
      <c r="F42" s="40"/>
    </row>
    <row r="43" spans="1:6" x14ac:dyDescent="0.25">
      <c r="A43" s="36">
        <v>12</v>
      </c>
      <c r="B43" s="27"/>
      <c r="C43" s="44"/>
      <c r="D43" s="44"/>
      <c r="E43" s="41"/>
      <c r="F43" s="40"/>
    </row>
    <row r="44" spans="1:6" x14ac:dyDescent="0.25">
      <c r="A44" s="40"/>
      <c r="B44" s="40"/>
      <c r="C44" s="40"/>
      <c r="D44" s="40"/>
      <c r="E44" s="40"/>
      <c r="F44" s="40"/>
    </row>
  </sheetData>
  <mergeCells count="2">
    <mergeCell ref="A3:H3"/>
    <mergeCell ref="B8:B9"/>
  </mergeCells>
  <dataValidations count="1">
    <dataValidation type="list" allowBlank="1" showInputMessage="1" showErrorMessage="1" sqref="F8:F15" xr:uid="{7D7AFB48-DFCA-40DB-9374-0AC491714EC1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6C91-D96C-4D08-A846-4277918C529B}">
  <dimension ref="A1:J50"/>
  <sheetViews>
    <sheetView topLeftCell="A17" workbookViewId="0">
      <selection activeCell="C38" sqref="C38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0" s="8" customFormat="1" ht="24.95" customHeight="1" x14ac:dyDescent="0.25">
      <c r="A1" s="7"/>
      <c r="H1" s="9">
        <f>COUNTIF(C8:C15,"&lt;&gt;")</f>
        <v>5</v>
      </c>
      <c r="I1" s="10" t="s">
        <v>6</v>
      </c>
    </row>
    <row r="2" spans="1:10" s="8" customFormat="1" ht="15.75" x14ac:dyDescent="0.25">
      <c r="A2" s="7"/>
      <c r="F2" s="9">
        <f>COUNTIFS(B20:B23,"&lt;&gt;",C20:C23,"VH")</f>
        <v>0</v>
      </c>
      <c r="G2" s="10" t="s">
        <v>7</v>
      </c>
      <c r="H2" s="9">
        <f>COUNTA(C20:C33)-F2</f>
        <v>12</v>
      </c>
      <c r="I2" s="10" t="s">
        <v>6</v>
      </c>
      <c r="J2" s="11">
        <f>COUNTIF(H20:H25,"VIDE")</f>
        <v>0</v>
      </c>
    </row>
    <row r="3" spans="1:10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0" s="8" customFormat="1" ht="12.75" x14ac:dyDescent="0.25">
      <c r="A4" s="7"/>
    </row>
    <row r="5" spans="1:10" s="8" customFormat="1" ht="15.75" x14ac:dyDescent="0.25">
      <c r="A5" s="7"/>
      <c r="B5" s="12" t="s">
        <v>9</v>
      </c>
      <c r="G5" s="13">
        <v>46244</v>
      </c>
    </row>
    <row r="6" spans="1:10" s="8" customFormat="1" thickBot="1" x14ac:dyDescent="0.3">
      <c r="A6" s="7"/>
      <c r="B6" s="14"/>
    </row>
    <row r="7" spans="1:10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0" s="8" customFormat="1" x14ac:dyDescent="0.25">
      <c r="A8" s="36">
        <v>1</v>
      </c>
      <c r="B8" s="81" t="s">
        <v>194</v>
      </c>
      <c r="C8" s="27">
        <v>46244</v>
      </c>
      <c r="D8" s="29">
        <v>3516</v>
      </c>
      <c r="E8" s="58" t="s">
        <v>183</v>
      </c>
      <c r="F8" s="59" t="s">
        <v>86</v>
      </c>
    </row>
    <row r="9" spans="1:10" s="8" customFormat="1" ht="14.25" x14ac:dyDescent="0.25">
      <c r="A9" s="42">
        <v>2</v>
      </c>
      <c r="B9" s="81"/>
      <c r="C9" s="27"/>
      <c r="D9" s="29">
        <v>3517</v>
      </c>
      <c r="E9" s="59" t="s">
        <v>185</v>
      </c>
      <c r="F9" s="59" t="s">
        <v>86</v>
      </c>
    </row>
    <row r="10" spans="1:10" s="8" customFormat="1" ht="14.25" x14ac:dyDescent="0.25">
      <c r="A10" s="36">
        <v>3</v>
      </c>
      <c r="B10" s="81"/>
      <c r="C10" s="27">
        <v>46244</v>
      </c>
      <c r="D10" s="29">
        <v>3518</v>
      </c>
      <c r="E10" s="59" t="s">
        <v>187</v>
      </c>
      <c r="F10" s="59" t="s">
        <v>86</v>
      </c>
    </row>
    <row r="11" spans="1:10" s="8" customFormat="1" ht="14.25" x14ac:dyDescent="0.25">
      <c r="A11" s="42">
        <v>4</v>
      </c>
      <c r="B11" s="81"/>
      <c r="C11" s="27">
        <v>46244</v>
      </c>
      <c r="D11" s="41">
        <v>3519</v>
      </c>
      <c r="E11" s="59" t="s">
        <v>189</v>
      </c>
      <c r="F11" s="59" t="s">
        <v>86</v>
      </c>
    </row>
    <row r="12" spans="1:10" s="8" customFormat="1" ht="14.25" x14ac:dyDescent="0.25">
      <c r="A12" s="42">
        <v>5</v>
      </c>
      <c r="B12" s="61" t="s">
        <v>195</v>
      </c>
      <c r="C12" s="27">
        <v>46244</v>
      </c>
      <c r="D12" s="59" t="s">
        <v>190</v>
      </c>
      <c r="E12" s="62" t="s">
        <v>191</v>
      </c>
      <c r="F12" s="59" t="s">
        <v>97</v>
      </c>
    </row>
    <row r="13" spans="1:10" s="8" customFormat="1" ht="14.25" x14ac:dyDescent="0.25">
      <c r="A13" s="36">
        <v>6</v>
      </c>
      <c r="B13" s="61" t="s">
        <v>196</v>
      </c>
      <c r="C13" s="27">
        <v>46244</v>
      </c>
      <c r="D13" s="59" t="s">
        <v>192</v>
      </c>
      <c r="E13" s="62" t="s">
        <v>193</v>
      </c>
      <c r="F13" s="59" t="s">
        <v>86</v>
      </c>
    </row>
    <row r="14" spans="1:10" s="8" customFormat="1" ht="14.25" x14ac:dyDescent="0.25">
      <c r="A14" s="36">
        <v>7</v>
      </c>
      <c r="B14" s="51"/>
      <c r="C14" s="27"/>
      <c r="D14" s="44"/>
      <c r="E14" s="44"/>
      <c r="F14" s="41"/>
    </row>
    <row r="15" spans="1:10" s="8" customFormat="1" ht="14.25" x14ac:dyDescent="0.25">
      <c r="A15" s="42">
        <v>8</v>
      </c>
      <c r="B15" s="41"/>
      <c r="C15" s="27"/>
      <c r="D15" s="44"/>
      <c r="E15" s="44"/>
      <c r="F15" s="41"/>
    </row>
    <row r="16" spans="1:10" ht="15.75" x14ac:dyDescent="0.25">
      <c r="A16" s="7"/>
      <c r="B16" s="25"/>
      <c r="C16" s="8"/>
      <c r="D16" s="8"/>
      <c r="E16" s="8"/>
      <c r="F16" s="8"/>
      <c r="G16" s="25"/>
    </row>
    <row r="17" spans="1:7" ht="15.75" x14ac:dyDescent="0.25">
      <c r="A17" s="7"/>
      <c r="B17" s="12" t="s">
        <v>16</v>
      </c>
      <c r="G17" s="25"/>
    </row>
    <row r="18" spans="1:7" ht="15.75" thickBot="1" x14ac:dyDescent="0.3">
      <c r="A18" s="7"/>
      <c r="B18" s="14"/>
      <c r="C18" s="8"/>
      <c r="D18" s="8"/>
      <c r="E18" s="8"/>
      <c r="F18" s="8"/>
      <c r="G18" s="8"/>
    </row>
    <row r="19" spans="1:7" x14ac:dyDescent="0.25">
      <c r="A19" s="15" t="s">
        <v>10</v>
      </c>
      <c r="B19" s="16" t="s">
        <v>17</v>
      </c>
      <c r="C19" s="16" t="s">
        <v>18</v>
      </c>
      <c r="D19" s="16" t="s">
        <v>13</v>
      </c>
      <c r="E19" s="16" t="s">
        <v>14</v>
      </c>
      <c r="F19" s="17" t="s">
        <v>15</v>
      </c>
    </row>
    <row r="20" spans="1:7" ht="15.75" customHeight="1" x14ac:dyDescent="0.25">
      <c r="A20" s="36">
        <v>1</v>
      </c>
      <c r="B20" s="27">
        <v>46244</v>
      </c>
      <c r="C20" s="38" t="s">
        <v>208</v>
      </c>
      <c r="D20" s="41" t="s">
        <v>155</v>
      </c>
      <c r="E20" s="41">
        <v>3531</v>
      </c>
      <c r="F20" s="29">
        <v>40</v>
      </c>
    </row>
    <row r="21" spans="1:7" ht="15.75" customHeight="1" x14ac:dyDescent="0.25">
      <c r="A21" s="36">
        <v>2</v>
      </c>
      <c r="B21" s="27">
        <v>46244</v>
      </c>
      <c r="C21" s="38" t="s">
        <v>209</v>
      </c>
      <c r="D21" s="41" t="s">
        <v>157</v>
      </c>
      <c r="E21" s="41">
        <v>3526</v>
      </c>
      <c r="F21" s="29">
        <v>40</v>
      </c>
    </row>
    <row r="22" spans="1:7" ht="15.75" customHeight="1" x14ac:dyDescent="0.25">
      <c r="A22" s="36">
        <v>3</v>
      </c>
      <c r="B22" s="27">
        <v>46244</v>
      </c>
      <c r="C22" s="38" t="s">
        <v>202</v>
      </c>
      <c r="D22" s="28" t="s">
        <v>159</v>
      </c>
      <c r="E22" s="41">
        <v>3524</v>
      </c>
      <c r="F22" s="29">
        <v>40</v>
      </c>
      <c r="G22" s="24" t="s">
        <v>42</v>
      </c>
    </row>
    <row r="23" spans="1:7" ht="15.75" customHeight="1" x14ac:dyDescent="0.25">
      <c r="A23" s="36">
        <v>4</v>
      </c>
      <c r="B23" s="27">
        <v>46244</v>
      </c>
      <c r="C23" s="38" t="s">
        <v>210</v>
      </c>
      <c r="D23" s="28" t="s">
        <v>161</v>
      </c>
      <c r="E23" s="41">
        <v>3522</v>
      </c>
      <c r="F23" s="29">
        <v>40</v>
      </c>
    </row>
    <row r="24" spans="1:7" ht="15.75" customHeight="1" x14ac:dyDescent="0.25">
      <c r="A24" s="36">
        <v>5</v>
      </c>
      <c r="B24" s="27">
        <v>46244</v>
      </c>
      <c r="C24" s="38" t="s">
        <v>206</v>
      </c>
      <c r="D24" s="28" t="s">
        <v>165</v>
      </c>
      <c r="E24" s="41">
        <v>3528</v>
      </c>
      <c r="F24" s="29">
        <v>40</v>
      </c>
    </row>
    <row r="25" spans="1:7" ht="15.75" customHeight="1" x14ac:dyDescent="0.25">
      <c r="A25" s="36">
        <v>6</v>
      </c>
      <c r="B25" s="27">
        <v>46244</v>
      </c>
      <c r="C25" s="38" t="s">
        <v>203</v>
      </c>
      <c r="D25" s="41" t="s">
        <v>167</v>
      </c>
      <c r="E25" s="41">
        <v>3527</v>
      </c>
      <c r="F25" s="29">
        <v>40</v>
      </c>
    </row>
    <row r="26" spans="1:7" ht="15.75" customHeight="1" x14ac:dyDescent="0.25">
      <c r="A26" s="36">
        <v>7</v>
      </c>
      <c r="B26" s="27">
        <v>46244</v>
      </c>
      <c r="C26" s="38" t="s">
        <v>205</v>
      </c>
      <c r="D26" s="44" t="s">
        <v>169</v>
      </c>
      <c r="E26" s="41">
        <v>3530</v>
      </c>
      <c r="F26" s="29">
        <v>40</v>
      </c>
    </row>
    <row r="27" spans="1:7" ht="15.75" customHeight="1" x14ac:dyDescent="0.25">
      <c r="A27" s="36">
        <v>8</v>
      </c>
      <c r="B27" s="27">
        <v>46244</v>
      </c>
      <c r="C27" s="28" t="s">
        <v>204</v>
      </c>
      <c r="D27" s="44" t="s">
        <v>171</v>
      </c>
      <c r="E27" s="41">
        <v>3529</v>
      </c>
      <c r="F27" s="29">
        <v>40</v>
      </c>
    </row>
    <row r="28" spans="1:7" x14ac:dyDescent="0.25">
      <c r="A28" s="36">
        <v>9</v>
      </c>
      <c r="B28" s="27">
        <v>46244</v>
      </c>
      <c r="C28" s="41" t="s">
        <v>207</v>
      </c>
      <c r="D28" s="44" t="s">
        <v>173</v>
      </c>
      <c r="E28" s="41">
        <v>3523</v>
      </c>
      <c r="F28" s="29">
        <v>40</v>
      </c>
    </row>
    <row r="29" spans="1:7" ht="15.75" x14ac:dyDescent="0.25">
      <c r="A29" s="36">
        <v>10</v>
      </c>
      <c r="B29" s="27">
        <v>46244</v>
      </c>
      <c r="C29" s="41" t="s">
        <v>200</v>
      </c>
      <c r="D29" s="44" t="s">
        <v>198</v>
      </c>
      <c r="E29" s="41">
        <v>3952</v>
      </c>
      <c r="F29" s="29">
        <v>40</v>
      </c>
      <c r="G29" s="25"/>
    </row>
    <row r="30" spans="1:7" ht="15.75" x14ac:dyDescent="0.25">
      <c r="A30" s="36">
        <v>11</v>
      </c>
      <c r="B30" s="27">
        <v>46244</v>
      </c>
      <c r="C30" s="41" t="s">
        <v>201</v>
      </c>
      <c r="D30" s="44" t="s">
        <v>199</v>
      </c>
      <c r="E30" s="41">
        <v>3954</v>
      </c>
      <c r="F30" s="29">
        <v>20</v>
      </c>
      <c r="G30" s="25"/>
    </row>
    <row r="31" spans="1:7" ht="15.75" x14ac:dyDescent="0.25">
      <c r="A31" s="36">
        <v>12</v>
      </c>
      <c r="B31" s="27">
        <v>46244</v>
      </c>
      <c r="C31" s="47" t="s">
        <v>212</v>
      </c>
      <c r="D31" s="47" t="s">
        <v>211</v>
      </c>
      <c r="E31" s="41">
        <v>3954</v>
      </c>
      <c r="F31" s="29">
        <v>20</v>
      </c>
      <c r="G31" s="25"/>
    </row>
    <row r="32" spans="1:7" ht="15.75" x14ac:dyDescent="0.25">
      <c r="A32" s="36">
        <v>13</v>
      </c>
      <c r="B32" s="27"/>
      <c r="C32" s="63"/>
      <c r="D32" s="44"/>
      <c r="E32" s="63"/>
      <c r="F32" s="63"/>
      <c r="G32" s="25"/>
    </row>
    <row r="33" spans="1:7" ht="15.75" x14ac:dyDescent="0.25">
      <c r="A33" s="36">
        <v>14</v>
      </c>
      <c r="B33" s="27"/>
      <c r="C33" s="63"/>
      <c r="D33" s="44"/>
      <c r="E33" s="63"/>
      <c r="F33" s="63"/>
      <c r="G33" s="25"/>
    </row>
    <row r="34" spans="1:7" ht="15.75" x14ac:dyDescent="0.25">
      <c r="A34" s="7"/>
      <c r="B34" s="12"/>
      <c r="C34" s="8"/>
      <c r="D34" s="45"/>
      <c r="E34" s="8"/>
      <c r="F34" s="8"/>
      <c r="G34" s="25"/>
    </row>
    <row r="35" spans="1:7" ht="15.75" x14ac:dyDescent="0.25">
      <c r="A35" s="7"/>
      <c r="B35" s="12" t="s">
        <v>19</v>
      </c>
      <c r="C35" s="8"/>
      <c r="D35" s="45"/>
      <c r="E35" s="8"/>
      <c r="F35" s="8"/>
      <c r="G35" s="25"/>
    </row>
    <row r="36" spans="1:7" ht="15.75" thickBot="1" x14ac:dyDescent="0.3">
      <c r="A36" s="7"/>
      <c r="B36" s="14"/>
      <c r="C36" s="8"/>
      <c r="D36" s="8"/>
      <c r="E36" s="8"/>
      <c r="F36" s="8"/>
      <c r="G36" s="8"/>
    </row>
    <row r="37" spans="1:7" x14ac:dyDescent="0.25">
      <c r="A37" s="15" t="s">
        <v>10</v>
      </c>
      <c r="B37" s="16" t="s">
        <v>20</v>
      </c>
      <c r="C37" s="16" t="s">
        <v>13</v>
      </c>
      <c r="D37" s="16" t="s">
        <v>21</v>
      </c>
      <c r="E37" s="16" t="s">
        <v>22</v>
      </c>
      <c r="F37" s="17" t="s">
        <v>15</v>
      </c>
    </row>
    <row r="38" spans="1:7" ht="15.75" customHeight="1" x14ac:dyDescent="0.25">
      <c r="A38" s="36">
        <v>1</v>
      </c>
      <c r="B38" s="27">
        <v>46244</v>
      </c>
      <c r="C38" s="41" t="s">
        <v>197</v>
      </c>
      <c r="D38" s="50">
        <v>361693</v>
      </c>
      <c r="E38" s="41">
        <v>3959</v>
      </c>
      <c r="F38" s="29">
        <v>40</v>
      </c>
    </row>
    <row r="39" spans="1:7" ht="15.75" customHeight="1" x14ac:dyDescent="0.25">
      <c r="A39" s="36">
        <v>2</v>
      </c>
      <c r="B39" s="27"/>
      <c r="C39" s="41"/>
      <c r="D39" s="33"/>
      <c r="E39" s="41"/>
      <c r="F39" s="29"/>
    </row>
    <row r="40" spans="1:7" ht="15.75" customHeight="1" x14ac:dyDescent="0.25">
      <c r="A40" s="36">
        <v>3</v>
      </c>
      <c r="B40" s="27"/>
      <c r="C40" s="28"/>
      <c r="D40" s="33"/>
      <c r="E40" s="41"/>
      <c r="F40" s="29"/>
    </row>
    <row r="41" spans="1:7" ht="15.75" customHeight="1" x14ac:dyDescent="0.25">
      <c r="A41" s="36">
        <v>4</v>
      </c>
      <c r="B41" s="27"/>
      <c r="C41" s="28"/>
      <c r="D41" s="56"/>
      <c r="E41" s="41"/>
      <c r="F41" s="29"/>
    </row>
    <row r="42" spans="1:7" ht="15.75" customHeight="1" x14ac:dyDescent="0.25">
      <c r="A42" s="36">
        <v>5</v>
      </c>
      <c r="B42" s="27"/>
      <c r="C42" s="41"/>
      <c r="D42" s="43"/>
      <c r="E42" s="41"/>
      <c r="F42" s="29"/>
    </row>
    <row r="43" spans="1:7" ht="15.75" customHeight="1" x14ac:dyDescent="0.25">
      <c r="A43" s="36">
        <v>6</v>
      </c>
      <c r="B43" s="27"/>
      <c r="C43" s="28"/>
      <c r="D43" s="33"/>
      <c r="E43" s="41"/>
      <c r="F43" s="29"/>
    </row>
    <row r="44" spans="1:7" ht="15.75" customHeight="1" x14ac:dyDescent="0.25">
      <c r="A44" s="36">
        <v>7</v>
      </c>
      <c r="B44" s="27"/>
      <c r="C44" s="41"/>
      <c r="D44" s="44"/>
      <c r="E44" s="41"/>
      <c r="F44" s="29"/>
    </row>
    <row r="45" spans="1:7" x14ac:dyDescent="0.25">
      <c r="A45" s="36">
        <v>8</v>
      </c>
      <c r="B45" s="27"/>
      <c r="C45" s="44"/>
      <c r="D45" s="44"/>
      <c r="E45" s="41"/>
      <c r="F45" s="40"/>
    </row>
    <row r="46" spans="1:7" x14ac:dyDescent="0.25">
      <c r="A46" s="36">
        <v>9</v>
      </c>
      <c r="B46" s="27"/>
      <c r="C46" s="44"/>
      <c r="D46" s="44"/>
      <c r="E46" s="41"/>
      <c r="F46" s="40"/>
    </row>
    <row r="47" spans="1:7" x14ac:dyDescent="0.25">
      <c r="A47" s="36">
        <v>10</v>
      </c>
      <c r="B47" s="27"/>
      <c r="C47" s="44"/>
      <c r="D47" s="44"/>
      <c r="E47" s="41"/>
      <c r="F47" s="40"/>
    </row>
    <row r="48" spans="1:7" x14ac:dyDescent="0.25">
      <c r="A48" s="36">
        <v>11</v>
      </c>
      <c r="B48" s="27"/>
      <c r="C48" s="44"/>
      <c r="D48" s="44"/>
      <c r="E48" s="41"/>
      <c r="F48" s="40"/>
    </row>
    <row r="49" spans="1:6" x14ac:dyDescent="0.25">
      <c r="A49" s="36">
        <v>12</v>
      </c>
      <c r="B49" s="27"/>
      <c r="C49" s="44"/>
      <c r="D49" s="44"/>
      <c r="E49" s="41"/>
      <c r="F49" s="40"/>
    </row>
    <row r="50" spans="1:6" x14ac:dyDescent="0.25">
      <c r="A50" s="40"/>
      <c r="B50" s="40"/>
      <c r="C50" s="40"/>
      <c r="D50" s="40"/>
      <c r="E50" s="40"/>
      <c r="F50" s="40"/>
    </row>
  </sheetData>
  <mergeCells count="2">
    <mergeCell ref="A3:H3"/>
    <mergeCell ref="B8:B11"/>
  </mergeCells>
  <dataValidations count="1">
    <dataValidation type="list" allowBlank="1" showInputMessage="1" showErrorMessage="1" sqref="F8:F15" xr:uid="{B5CEF581-8E8B-4A4A-9265-BAD4163F298C}">
      <formula1>"20,40,45,50"</formula1>
      <formula2>0</formula2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E0CD-BEAB-4EF6-A1C6-D867DF254B66}">
  <dimension ref="A1:K40"/>
  <sheetViews>
    <sheetView workbookViewId="0">
      <selection activeCell="J14" sqref="J14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1" s="8" customFormat="1" ht="24.95" customHeight="1" x14ac:dyDescent="0.25">
      <c r="A1" s="7"/>
      <c r="H1" s="9">
        <f>COUNTIF(C8:C14,"&lt;&gt;")</f>
        <v>3</v>
      </c>
      <c r="I1" s="10" t="s">
        <v>6</v>
      </c>
    </row>
    <row r="2" spans="1:11" s="8" customFormat="1" ht="15.75" x14ac:dyDescent="0.25">
      <c r="A2" s="7"/>
      <c r="F2" s="9">
        <f>COUNTIFS(B19:B22,"&lt;&gt;",C19:C22,"VH")</f>
        <v>0</v>
      </c>
      <c r="G2" s="10" t="s">
        <v>7</v>
      </c>
      <c r="H2" s="9">
        <f>COUNTA(C19:C28)-F2</f>
        <v>1</v>
      </c>
      <c r="I2" s="10" t="s">
        <v>6</v>
      </c>
      <c r="J2" s="11">
        <f>COUNTIF(H19:H24,"VIDE")</f>
        <v>0</v>
      </c>
    </row>
    <row r="3" spans="1:11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1" s="8" customFormat="1" ht="12.75" x14ac:dyDescent="0.25">
      <c r="A4" s="7"/>
    </row>
    <row r="5" spans="1:11" s="8" customFormat="1" ht="15.75" x14ac:dyDescent="0.25">
      <c r="A5" s="7"/>
      <c r="B5" s="12" t="s">
        <v>9</v>
      </c>
      <c r="G5" s="13">
        <v>46245</v>
      </c>
    </row>
    <row r="6" spans="1:11" s="8" customFormat="1" thickBot="1" x14ac:dyDescent="0.3">
      <c r="A6" s="7"/>
      <c r="B6" s="14"/>
    </row>
    <row r="7" spans="1:11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  <c r="G7" s="17" t="s">
        <v>290</v>
      </c>
    </row>
    <row r="8" spans="1:11" s="8" customFormat="1" ht="14.25" x14ac:dyDescent="0.25">
      <c r="A8" s="42">
        <v>2</v>
      </c>
      <c r="B8" s="41" t="s">
        <v>194</v>
      </c>
      <c r="C8" s="27">
        <v>46245</v>
      </c>
      <c r="D8" s="50" t="s">
        <v>184</v>
      </c>
      <c r="E8" s="50" t="s">
        <v>185</v>
      </c>
      <c r="F8" s="50" t="s">
        <v>86</v>
      </c>
      <c r="G8" s="85"/>
    </row>
    <row r="9" spans="1:11" s="8" customFormat="1" ht="14.25" x14ac:dyDescent="0.25">
      <c r="A9" s="41">
        <v>3</v>
      </c>
      <c r="B9" s="41" t="s">
        <v>221</v>
      </c>
      <c r="C9" s="27">
        <v>46245</v>
      </c>
      <c r="D9" s="44" t="s">
        <v>213</v>
      </c>
      <c r="E9" s="44" t="s">
        <v>214</v>
      </c>
      <c r="F9" s="50" t="s">
        <v>220</v>
      </c>
      <c r="G9" s="85">
        <v>46254</v>
      </c>
    </row>
    <row r="10" spans="1:11" s="8" customFormat="1" ht="14.25" x14ac:dyDescent="0.25">
      <c r="A10" s="42">
        <v>4</v>
      </c>
      <c r="B10" s="51" t="s">
        <v>222</v>
      </c>
      <c r="C10" s="27">
        <v>46245</v>
      </c>
      <c r="D10" s="50" t="s">
        <v>215</v>
      </c>
      <c r="E10" s="50" t="s">
        <v>216</v>
      </c>
      <c r="F10" s="50" t="s">
        <v>220</v>
      </c>
      <c r="G10" s="85">
        <v>46254</v>
      </c>
    </row>
    <row r="11" spans="1:11" s="8" customFormat="1" ht="14.25" x14ac:dyDescent="0.25">
      <c r="A11" s="42">
        <v>5</v>
      </c>
      <c r="B11" s="51"/>
      <c r="C11" s="27"/>
      <c r="D11" s="50"/>
      <c r="E11" s="64"/>
      <c r="F11" s="50"/>
    </row>
    <row r="12" spans="1:11" s="8" customFormat="1" ht="14.25" x14ac:dyDescent="0.25">
      <c r="A12" s="41">
        <v>6</v>
      </c>
      <c r="B12" s="51"/>
      <c r="C12" s="27"/>
      <c r="D12" s="50"/>
      <c r="E12" s="64"/>
      <c r="F12" s="50"/>
      <c r="K12" s="8" t="s">
        <v>42</v>
      </c>
    </row>
    <row r="13" spans="1:11" s="8" customFormat="1" ht="14.25" x14ac:dyDescent="0.25">
      <c r="A13" s="41">
        <v>7</v>
      </c>
      <c r="B13" s="51"/>
      <c r="C13" s="27"/>
      <c r="D13" s="44"/>
      <c r="E13" s="44"/>
      <c r="F13" s="41"/>
    </row>
    <row r="14" spans="1:11" s="8" customFormat="1" x14ac:dyDescent="0.25">
      <c r="A14" s="42">
        <v>8</v>
      </c>
      <c r="B14" s="41"/>
      <c r="C14" s="27"/>
      <c r="D14" s="44"/>
      <c r="E14" s="44"/>
      <c r="F14" s="41"/>
      <c r="G14" s="24"/>
    </row>
    <row r="15" spans="1:11" ht="15.75" x14ac:dyDescent="0.25">
      <c r="A15" s="7"/>
      <c r="B15" s="25"/>
      <c r="C15" s="8"/>
      <c r="D15" s="8"/>
      <c r="E15" s="8"/>
      <c r="F15" s="8"/>
      <c r="G15" s="25"/>
    </row>
    <row r="16" spans="1:11" ht="15.75" x14ac:dyDescent="0.25">
      <c r="A16" s="7"/>
      <c r="B16" s="12" t="s">
        <v>16</v>
      </c>
      <c r="G16" s="25"/>
    </row>
    <row r="17" spans="1:7" ht="15.75" thickBot="1" x14ac:dyDescent="0.3">
      <c r="A17" s="7"/>
      <c r="B17" s="14"/>
      <c r="C17" s="8"/>
      <c r="D17" s="8"/>
      <c r="E17" s="8"/>
      <c r="F17" s="8"/>
      <c r="G17" s="8"/>
    </row>
    <row r="18" spans="1:7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7" ht="15.75" customHeight="1" x14ac:dyDescent="0.25">
      <c r="A19" s="36">
        <v>1</v>
      </c>
      <c r="B19" s="27">
        <v>46245</v>
      </c>
      <c r="C19" s="38" t="s">
        <v>219</v>
      </c>
      <c r="D19" s="47" t="s">
        <v>163</v>
      </c>
      <c r="E19" s="41">
        <v>3925</v>
      </c>
      <c r="F19" s="29">
        <v>40</v>
      </c>
    </row>
    <row r="20" spans="1:7" ht="15.75" customHeight="1" x14ac:dyDescent="0.25">
      <c r="A20" s="36">
        <v>2</v>
      </c>
      <c r="B20" s="27"/>
      <c r="C20" s="38"/>
      <c r="D20" s="41"/>
      <c r="E20" s="41"/>
      <c r="F20" s="29"/>
    </row>
    <row r="21" spans="1:7" ht="15.75" customHeight="1" x14ac:dyDescent="0.25">
      <c r="A21" s="36">
        <v>3</v>
      </c>
      <c r="B21" s="27"/>
      <c r="C21" s="38"/>
      <c r="D21" s="28"/>
      <c r="E21" s="41"/>
      <c r="F21" s="29"/>
      <c r="G21" s="24" t="s">
        <v>42</v>
      </c>
    </row>
    <row r="22" spans="1:7" ht="15.75" customHeight="1" x14ac:dyDescent="0.25">
      <c r="A22" s="36">
        <v>4</v>
      </c>
      <c r="B22" s="27"/>
      <c r="C22" s="38"/>
      <c r="D22" s="28"/>
      <c r="E22" s="41"/>
      <c r="F22" s="29"/>
    </row>
    <row r="23" spans="1:7" ht="15.75" customHeight="1" x14ac:dyDescent="0.25">
      <c r="A23" s="36">
        <v>5</v>
      </c>
      <c r="B23" s="27"/>
      <c r="C23" s="38"/>
      <c r="D23" s="28"/>
      <c r="E23" s="41"/>
      <c r="F23" s="29"/>
    </row>
    <row r="24" spans="1:7" ht="15.75" customHeight="1" x14ac:dyDescent="0.25">
      <c r="A24" s="36">
        <v>6</v>
      </c>
      <c r="B24" s="27"/>
      <c r="C24" s="38"/>
      <c r="D24" s="41"/>
      <c r="E24" s="41"/>
      <c r="F24" s="29"/>
    </row>
    <row r="25" spans="1:7" ht="15.75" customHeight="1" x14ac:dyDescent="0.25">
      <c r="A25" s="36">
        <v>7</v>
      </c>
      <c r="B25" s="27"/>
      <c r="C25" s="38"/>
      <c r="D25" s="44"/>
      <c r="E25" s="41"/>
      <c r="F25" s="29"/>
    </row>
    <row r="26" spans="1:7" ht="15.75" customHeight="1" x14ac:dyDescent="0.25">
      <c r="A26" s="36">
        <v>8</v>
      </c>
      <c r="B26" s="27"/>
      <c r="C26" s="28"/>
      <c r="D26" s="44"/>
      <c r="E26" s="41"/>
      <c r="F26" s="29"/>
    </row>
    <row r="27" spans="1:7" x14ac:dyDescent="0.25">
      <c r="A27" s="36">
        <v>9</v>
      </c>
      <c r="B27" s="27"/>
      <c r="C27" s="41"/>
      <c r="D27" s="44"/>
      <c r="E27" s="41"/>
      <c r="F27" s="29"/>
    </row>
    <row r="28" spans="1:7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7" ht="15.75" x14ac:dyDescent="0.25">
      <c r="A29" s="7"/>
      <c r="B29" s="12"/>
      <c r="C29" s="8"/>
      <c r="D29" s="45"/>
      <c r="E29" s="8"/>
      <c r="F29" s="8"/>
      <c r="G29" s="25"/>
    </row>
    <row r="30" spans="1:7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7" ht="15.75" thickBot="1" x14ac:dyDescent="0.3">
      <c r="A31" s="7"/>
      <c r="B31" s="14"/>
      <c r="C31" s="8"/>
      <c r="D31" s="8"/>
      <c r="E31" s="8"/>
      <c r="F31" s="8"/>
      <c r="G31" s="8"/>
    </row>
    <row r="32" spans="1:7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ht="15.75" customHeight="1" x14ac:dyDescent="0.25">
      <c r="A33" s="41">
        <v>1</v>
      </c>
      <c r="B33" s="27">
        <v>46245</v>
      </c>
      <c r="C33" s="43" t="s">
        <v>217</v>
      </c>
      <c r="D33" s="43" t="s">
        <v>218</v>
      </c>
      <c r="E33" s="41">
        <v>3960</v>
      </c>
      <c r="F33" s="29">
        <v>40</v>
      </c>
    </row>
    <row r="34" spans="1:6" ht="15.75" customHeight="1" x14ac:dyDescent="0.25">
      <c r="A34" s="41">
        <v>2</v>
      </c>
      <c r="B34" s="27"/>
      <c r="C34" s="41"/>
      <c r="D34" s="33"/>
      <c r="E34" s="41"/>
      <c r="F34" s="29"/>
    </row>
    <row r="35" spans="1:6" ht="15.75" customHeight="1" x14ac:dyDescent="0.25">
      <c r="A35" s="41">
        <v>3</v>
      </c>
      <c r="B35" s="27"/>
      <c r="C35" s="28"/>
      <c r="D35" s="33"/>
      <c r="E35" s="41"/>
      <c r="F35" s="29"/>
    </row>
    <row r="36" spans="1:6" ht="15.75" customHeight="1" x14ac:dyDescent="0.25">
      <c r="A36" s="41">
        <v>4</v>
      </c>
      <c r="B36" s="27"/>
      <c r="C36" s="28"/>
      <c r="D36" s="56"/>
      <c r="E36" s="41"/>
      <c r="F36" s="29"/>
    </row>
    <row r="37" spans="1:6" ht="15.75" customHeight="1" x14ac:dyDescent="0.25">
      <c r="A37" s="36">
        <v>5</v>
      </c>
      <c r="B37" s="27"/>
      <c r="C37" s="41"/>
      <c r="D37" s="43"/>
      <c r="E37" s="41"/>
      <c r="F37" s="29"/>
    </row>
    <row r="38" spans="1:6" ht="15.75" customHeight="1" x14ac:dyDescent="0.25">
      <c r="A38" s="36">
        <v>6</v>
      </c>
      <c r="B38" s="27"/>
      <c r="C38" s="28"/>
      <c r="D38" s="33"/>
      <c r="E38" s="41"/>
      <c r="F38" s="29"/>
    </row>
    <row r="39" spans="1:6" ht="15.75" customHeight="1" x14ac:dyDescent="0.25">
      <c r="A39" s="36">
        <v>7</v>
      </c>
      <c r="B39" s="27"/>
      <c r="C39" s="41"/>
      <c r="D39" s="44"/>
      <c r="E39" s="41"/>
      <c r="F39" s="29"/>
    </row>
    <row r="40" spans="1:6" x14ac:dyDescent="0.25">
      <c r="A40" s="36">
        <v>8</v>
      </c>
      <c r="B40" s="27"/>
      <c r="C40" s="44"/>
      <c r="D40" s="44"/>
      <c r="E40" s="41"/>
      <c r="F40" s="40"/>
    </row>
  </sheetData>
  <mergeCells count="1">
    <mergeCell ref="A3:H3"/>
  </mergeCells>
  <conditionalFormatting sqref="G8">
    <cfRule type="expression" dxfId="0" priority="1">
      <formula>LEFT(CELL("format",C8))</formula>
    </cfRule>
  </conditionalFormatting>
  <dataValidations count="2">
    <dataValidation type="list" allowBlank="1" showInputMessage="1" showErrorMessage="1" sqref="F8 F11:F14" xr:uid="{16120718-D99C-464F-A337-40BBD792BEA0}">
      <formula1>"20,40,45,50"</formula1>
      <formula2>0</formula2>
    </dataValidation>
    <dataValidation type="list" allowBlank="1" showInputMessage="1" showErrorMessage="1" sqref="F9:F10" xr:uid="{F551E19A-9FE5-4FBC-BF5B-35E6AAF3748C}">
      <formula1>"20,40,45,50,GROUPAGE"</formula1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1078-A326-4E39-A8D0-F262636E1C9D}">
  <dimension ref="A1:K40"/>
  <sheetViews>
    <sheetView topLeftCell="B1" workbookViewId="0">
      <selection activeCell="J8" sqref="J8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1" s="8" customFormat="1" ht="24.95" customHeight="1" x14ac:dyDescent="0.25">
      <c r="A1" s="7"/>
      <c r="H1" s="9">
        <f>COUNTIF(C8:C14,"&lt;&gt;")</f>
        <v>2</v>
      </c>
      <c r="I1" s="10" t="s">
        <v>6</v>
      </c>
    </row>
    <row r="2" spans="1:11" s="8" customFormat="1" ht="15.75" x14ac:dyDescent="0.25">
      <c r="A2" s="7"/>
      <c r="F2" s="9">
        <f>COUNTIFS(B19:B22,"&lt;&gt;",C19:C22,"VH")</f>
        <v>0</v>
      </c>
      <c r="G2" s="10" t="s">
        <v>7</v>
      </c>
      <c r="H2" s="9">
        <f>COUNTA(C19:C28)-F2</f>
        <v>1</v>
      </c>
      <c r="I2" s="10" t="s">
        <v>6</v>
      </c>
      <c r="J2" s="11">
        <f>COUNTIF(H19:H24,"VIDE")</f>
        <v>0</v>
      </c>
    </row>
    <row r="3" spans="1:11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1" s="8" customFormat="1" ht="12.75" x14ac:dyDescent="0.25">
      <c r="A4" s="7"/>
    </row>
    <row r="5" spans="1:11" s="8" customFormat="1" ht="15.75" x14ac:dyDescent="0.25">
      <c r="A5" s="7"/>
      <c r="B5" s="12" t="s">
        <v>9</v>
      </c>
      <c r="G5" s="13">
        <v>46246</v>
      </c>
    </row>
    <row r="6" spans="1:11" s="8" customFormat="1" thickBot="1" x14ac:dyDescent="0.3">
      <c r="A6" s="7"/>
      <c r="B6" s="14"/>
    </row>
    <row r="7" spans="1:11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1" s="8" customFormat="1" ht="14.25" x14ac:dyDescent="0.25">
      <c r="A8" s="42">
        <v>2</v>
      </c>
      <c r="B8" s="82" t="s">
        <v>223</v>
      </c>
      <c r="C8" s="27">
        <v>46246</v>
      </c>
      <c r="D8" s="50" t="s">
        <v>224</v>
      </c>
      <c r="E8" s="50" t="s">
        <v>226</v>
      </c>
      <c r="F8" s="50">
        <v>45</v>
      </c>
    </row>
    <row r="9" spans="1:11" s="8" customFormat="1" ht="14.25" x14ac:dyDescent="0.25">
      <c r="A9" s="41">
        <v>3</v>
      </c>
      <c r="B9" s="83"/>
      <c r="C9" s="27">
        <v>46246</v>
      </c>
      <c r="D9" s="44" t="s">
        <v>225</v>
      </c>
      <c r="E9" s="44" t="s">
        <v>227</v>
      </c>
      <c r="F9" s="50">
        <v>45</v>
      </c>
    </row>
    <row r="10" spans="1:11" s="8" customFormat="1" ht="14.25" x14ac:dyDescent="0.25">
      <c r="A10" s="42">
        <v>4</v>
      </c>
      <c r="B10" s="51"/>
      <c r="C10" s="27"/>
      <c r="D10" s="50"/>
      <c r="E10" s="50"/>
      <c r="F10" s="50"/>
    </row>
    <row r="11" spans="1:11" s="8" customFormat="1" ht="14.25" x14ac:dyDescent="0.25">
      <c r="A11" s="42">
        <v>5</v>
      </c>
      <c r="B11" s="51"/>
      <c r="C11" s="27"/>
      <c r="D11" s="50"/>
      <c r="E11" s="64"/>
      <c r="F11" s="50"/>
    </row>
    <row r="12" spans="1:11" s="8" customFormat="1" ht="14.25" x14ac:dyDescent="0.25">
      <c r="A12" s="41">
        <v>6</v>
      </c>
      <c r="B12" s="51"/>
      <c r="C12" s="27"/>
      <c r="D12" s="50"/>
      <c r="E12" s="64"/>
      <c r="F12" s="50"/>
      <c r="K12" s="8" t="s">
        <v>42</v>
      </c>
    </row>
    <row r="13" spans="1:11" s="8" customFormat="1" ht="14.25" x14ac:dyDescent="0.25">
      <c r="A13" s="41">
        <v>7</v>
      </c>
      <c r="B13" s="51"/>
      <c r="C13" s="27"/>
      <c r="D13" s="44"/>
      <c r="E13" s="44"/>
      <c r="F13" s="41"/>
    </row>
    <row r="14" spans="1:11" s="8" customFormat="1" ht="14.25" x14ac:dyDescent="0.25">
      <c r="A14" s="42">
        <v>8</v>
      </c>
      <c r="B14" s="41"/>
      <c r="C14" s="27"/>
      <c r="D14" s="44"/>
      <c r="E14" s="44"/>
      <c r="F14" s="41"/>
    </row>
    <row r="15" spans="1:11" ht="15.75" x14ac:dyDescent="0.25">
      <c r="A15" s="7"/>
      <c r="B15" s="25"/>
      <c r="C15" s="8"/>
      <c r="D15" s="8"/>
      <c r="E15" s="8"/>
      <c r="F15" s="8"/>
      <c r="G15" s="25"/>
    </row>
    <row r="16" spans="1:11" ht="15.75" x14ac:dyDescent="0.25">
      <c r="A16" s="7"/>
      <c r="B16" s="12" t="s">
        <v>16</v>
      </c>
      <c r="G16" s="25"/>
    </row>
    <row r="17" spans="1:7" ht="15.75" thickBot="1" x14ac:dyDescent="0.3">
      <c r="A17" s="7"/>
      <c r="B17" s="14"/>
      <c r="C17" s="8"/>
      <c r="D17" s="8"/>
      <c r="E17" s="8"/>
      <c r="F17" s="8"/>
      <c r="G17" s="8"/>
    </row>
    <row r="18" spans="1:7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7" ht="15.75" customHeight="1" x14ac:dyDescent="0.25">
      <c r="A19" s="36">
        <v>1</v>
      </c>
      <c r="B19" s="27">
        <v>46246</v>
      </c>
      <c r="C19" s="38" t="s">
        <v>231</v>
      </c>
      <c r="D19" s="66" t="s">
        <v>232</v>
      </c>
      <c r="E19" s="41">
        <v>3957</v>
      </c>
      <c r="F19" s="38"/>
    </row>
    <row r="20" spans="1:7" ht="15.75" customHeight="1" x14ac:dyDescent="0.25">
      <c r="A20" s="36">
        <v>2</v>
      </c>
      <c r="B20" s="27"/>
      <c r="C20" s="38"/>
      <c r="D20" s="41"/>
      <c r="E20" s="41"/>
      <c r="F20" s="29"/>
    </row>
    <row r="21" spans="1:7" ht="15.75" customHeight="1" x14ac:dyDescent="0.25">
      <c r="A21" s="36">
        <v>3</v>
      </c>
      <c r="B21" s="27"/>
      <c r="C21" s="38"/>
      <c r="D21" s="28"/>
      <c r="E21" s="41"/>
      <c r="F21" s="29"/>
      <c r="G21" s="24" t="s">
        <v>42</v>
      </c>
    </row>
    <row r="22" spans="1:7" ht="15.75" customHeight="1" x14ac:dyDescent="0.25">
      <c r="A22" s="36">
        <v>4</v>
      </c>
      <c r="B22" s="27"/>
      <c r="C22" s="38"/>
      <c r="D22" s="28"/>
      <c r="E22" s="41"/>
      <c r="F22" s="29"/>
    </row>
    <row r="23" spans="1:7" ht="15.75" customHeight="1" x14ac:dyDescent="0.25">
      <c r="A23" s="36">
        <v>5</v>
      </c>
      <c r="B23" s="27"/>
      <c r="C23" s="38"/>
      <c r="D23" s="28"/>
      <c r="E23" s="41"/>
      <c r="F23" s="29"/>
    </row>
    <row r="24" spans="1:7" ht="15.75" customHeight="1" x14ac:dyDescent="0.25">
      <c r="A24" s="36">
        <v>6</v>
      </c>
      <c r="B24" s="27"/>
      <c r="C24" s="38"/>
      <c r="D24" s="41"/>
      <c r="E24" s="41"/>
      <c r="F24" s="29"/>
    </row>
    <row r="25" spans="1:7" ht="15.75" customHeight="1" x14ac:dyDescent="0.25">
      <c r="A25" s="36">
        <v>7</v>
      </c>
      <c r="B25" s="27"/>
      <c r="C25" s="38"/>
      <c r="D25" s="44"/>
      <c r="E25" s="41"/>
      <c r="F25" s="29"/>
    </row>
    <row r="26" spans="1:7" ht="15.75" customHeight="1" x14ac:dyDescent="0.25">
      <c r="A26" s="36">
        <v>8</v>
      </c>
      <c r="B26" s="27"/>
      <c r="C26" s="28"/>
      <c r="D26" s="44"/>
      <c r="E26" s="41"/>
      <c r="F26" s="29"/>
    </row>
    <row r="27" spans="1:7" x14ac:dyDescent="0.25">
      <c r="A27" s="36">
        <v>9</v>
      </c>
      <c r="B27" s="27"/>
      <c r="C27" s="41"/>
      <c r="D27" s="44"/>
      <c r="E27" s="41"/>
      <c r="F27" s="29"/>
    </row>
    <row r="28" spans="1:7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7" ht="15.75" x14ac:dyDescent="0.25">
      <c r="A29" s="7"/>
      <c r="B29" s="12"/>
      <c r="C29" s="8"/>
      <c r="D29" s="45"/>
      <c r="E29" s="8"/>
      <c r="F29" s="8"/>
      <c r="G29" s="25"/>
    </row>
    <row r="30" spans="1:7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7" ht="15.75" thickBot="1" x14ac:dyDescent="0.3">
      <c r="A31" s="7"/>
      <c r="B31" s="14"/>
      <c r="C31" s="8"/>
      <c r="D31" s="8"/>
      <c r="E31" s="8"/>
      <c r="F31" s="8"/>
      <c r="G31" s="8"/>
    </row>
    <row r="32" spans="1:7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ht="15.75" customHeight="1" x14ac:dyDescent="0.25">
      <c r="A33" s="41">
        <v>1</v>
      </c>
      <c r="B33" s="27">
        <v>46246</v>
      </c>
      <c r="C33" s="28" t="s">
        <v>228</v>
      </c>
      <c r="D33" s="28">
        <v>4250703</v>
      </c>
      <c r="E33" s="41">
        <v>3958</v>
      </c>
      <c r="F33" s="29"/>
    </row>
    <row r="34" spans="1:6" ht="15.75" customHeight="1" x14ac:dyDescent="0.25">
      <c r="A34" s="41">
        <v>2</v>
      </c>
      <c r="B34" s="27">
        <v>46246</v>
      </c>
      <c r="C34" s="47" t="s">
        <v>229</v>
      </c>
      <c r="D34" s="47" t="s">
        <v>230</v>
      </c>
      <c r="E34" s="41">
        <v>3520</v>
      </c>
      <c r="F34" s="29"/>
    </row>
    <row r="35" spans="1:6" ht="15.75" customHeight="1" x14ac:dyDescent="0.25">
      <c r="A35" s="41">
        <v>3</v>
      </c>
      <c r="B35" s="27"/>
      <c r="C35" s="28"/>
      <c r="D35" s="33"/>
      <c r="E35" s="41"/>
      <c r="F35" s="29"/>
    </row>
    <row r="36" spans="1:6" ht="15.75" customHeight="1" x14ac:dyDescent="0.25">
      <c r="A36" s="41">
        <v>4</v>
      </c>
      <c r="B36" s="27"/>
      <c r="C36" s="28"/>
      <c r="D36" s="56"/>
      <c r="E36" s="41"/>
      <c r="F36" s="29"/>
    </row>
    <row r="37" spans="1:6" ht="15.75" customHeight="1" x14ac:dyDescent="0.25">
      <c r="A37" s="36">
        <v>5</v>
      </c>
      <c r="B37" s="27"/>
      <c r="C37" s="41"/>
      <c r="D37" s="43"/>
      <c r="E37" s="41"/>
      <c r="F37" s="29"/>
    </row>
    <row r="38" spans="1:6" ht="15.75" customHeight="1" x14ac:dyDescent="0.25">
      <c r="A38" s="36">
        <v>6</v>
      </c>
      <c r="B38" s="27"/>
      <c r="C38" s="28"/>
      <c r="D38" s="33"/>
      <c r="E38" s="41"/>
      <c r="F38" s="29"/>
    </row>
    <row r="39" spans="1:6" ht="15.75" customHeight="1" x14ac:dyDescent="0.25">
      <c r="A39" s="36">
        <v>7</v>
      </c>
      <c r="B39" s="27"/>
      <c r="C39" s="41"/>
      <c r="D39" s="44"/>
      <c r="E39" s="41"/>
      <c r="F39" s="29"/>
    </row>
    <row r="40" spans="1:6" x14ac:dyDescent="0.25">
      <c r="A40" s="36">
        <v>8</v>
      </c>
      <c r="B40" s="27"/>
      <c r="C40" s="44"/>
      <c r="D40" s="44"/>
      <c r="E40" s="41"/>
      <c r="F40" s="40"/>
    </row>
  </sheetData>
  <mergeCells count="2">
    <mergeCell ref="A3:H3"/>
    <mergeCell ref="B8:B9"/>
  </mergeCells>
  <dataValidations count="2">
    <dataValidation type="list" allowBlank="1" showInputMessage="1" showErrorMessage="1" sqref="F9:F10" xr:uid="{00FD714A-1B28-44B1-85F9-E4D5DDF18E36}">
      <formula1>"20,40,45,50,GROUPAGE"</formula1>
    </dataValidation>
    <dataValidation type="list" allowBlank="1" showInputMessage="1" showErrorMessage="1" sqref="F8 F11:F14" xr:uid="{4B9DB4E7-6254-437F-92A0-92AE5FD0866E}">
      <formula1>"20,40,45,50"</formula1>
      <formula2>0</formula2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AE69-B9CB-49BD-8B68-45415D4EC55C}">
  <dimension ref="A1:K40"/>
  <sheetViews>
    <sheetView workbookViewId="0">
      <selection activeCell="L26" sqref="L26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1" s="8" customFormat="1" ht="24.95" customHeight="1" x14ac:dyDescent="0.25">
      <c r="A1" s="7"/>
      <c r="H1" s="9">
        <f>COUNTIF(C8:C14,"&lt;&gt;")</f>
        <v>0</v>
      </c>
      <c r="I1" s="10" t="s">
        <v>6</v>
      </c>
    </row>
    <row r="2" spans="1:11" s="8" customFormat="1" ht="15.75" x14ac:dyDescent="0.25">
      <c r="A2" s="7"/>
      <c r="F2" s="9">
        <f>COUNTIFS(B19:B22,"&lt;&gt;",C19:C22,"VH")</f>
        <v>0</v>
      </c>
      <c r="G2" s="10" t="s">
        <v>7</v>
      </c>
      <c r="H2" s="9">
        <f>COUNTA(C19:C28)-F2</f>
        <v>1</v>
      </c>
      <c r="I2" s="10" t="s">
        <v>6</v>
      </c>
      <c r="J2" s="11">
        <f>COUNTIF(H19:H24,"VIDE")</f>
        <v>0</v>
      </c>
    </row>
    <row r="3" spans="1:11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1" s="8" customFormat="1" ht="12.75" x14ac:dyDescent="0.25">
      <c r="A4" s="7"/>
    </row>
    <row r="5" spans="1:11" s="8" customFormat="1" ht="15.75" x14ac:dyDescent="0.25">
      <c r="A5" s="7"/>
      <c r="B5" s="12" t="s">
        <v>9</v>
      </c>
      <c r="G5" s="13">
        <v>46247</v>
      </c>
    </row>
    <row r="6" spans="1:11" s="8" customFormat="1" thickBot="1" x14ac:dyDescent="0.3">
      <c r="A6" s="7"/>
      <c r="B6" s="14"/>
    </row>
    <row r="7" spans="1:11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1" s="8" customFormat="1" ht="14.25" x14ac:dyDescent="0.25">
      <c r="A8" s="42">
        <v>2</v>
      </c>
      <c r="B8" s="65"/>
      <c r="C8" s="27"/>
      <c r="D8" s="50"/>
      <c r="E8" s="50"/>
      <c r="F8" s="50"/>
    </row>
    <row r="9" spans="1:11" s="8" customFormat="1" ht="14.25" x14ac:dyDescent="0.25">
      <c r="A9" s="41">
        <v>3</v>
      </c>
      <c r="B9" s="65"/>
      <c r="C9" s="27"/>
      <c r="D9" s="44"/>
      <c r="E9" s="44"/>
      <c r="F9" s="50"/>
    </row>
    <row r="10" spans="1:11" s="8" customFormat="1" ht="14.25" x14ac:dyDescent="0.25">
      <c r="A10" s="42">
        <v>4</v>
      </c>
      <c r="B10" s="51"/>
      <c r="C10" s="27"/>
      <c r="D10" s="50"/>
      <c r="E10" s="50"/>
      <c r="F10" s="50"/>
    </row>
    <row r="11" spans="1:11" s="8" customFormat="1" ht="14.25" x14ac:dyDescent="0.25">
      <c r="A11" s="42">
        <v>5</v>
      </c>
      <c r="B11" s="51"/>
      <c r="C11" s="27"/>
      <c r="D11" s="50"/>
      <c r="E11" s="64"/>
      <c r="F11" s="50"/>
    </row>
    <row r="12" spans="1:11" s="8" customFormat="1" ht="14.25" x14ac:dyDescent="0.25">
      <c r="A12" s="41">
        <v>6</v>
      </c>
      <c r="B12" s="51"/>
      <c r="C12" s="27"/>
      <c r="D12" s="50"/>
      <c r="E12" s="64"/>
      <c r="F12" s="50"/>
      <c r="K12" s="8" t="s">
        <v>42</v>
      </c>
    </row>
    <row r="13" spans="1:11" s="8" customFormat="1" ht="14.25" x14ac:dyDescent="0.25">
      <c r="A13" s="41">
        <v>7</v>
      </c>
      <c r="B13" s="51"/>
      <c r="C13" s="27"/>
      <c r="D13" s="44"/>
      <c r="E13" s="44"/>
      <c r="F13" s="41"/>
    </row>
    <row r="14" spans="1:11" s="8" customFormat="1" ht="14.25" x14ac:dyDescent="0.25">
      <c r="A14" s="42">
        <v>8</v>
      </c>
      <c r="B14" s="41"/>
      <c r="C14" s="27"/>
      <c r="D14" s="44"/>
      <c r="E14" s="44"/>
      <c r="F14" s="41"/>
    </row>
    <row r="15" spans="1:11" ht="15.75" x14ac:dyDescent="0.25">
      <c r="A15" s="7"/>
      <c r="B15" s="25"/>
      <c r="C15" s="8"/>
      <c r="D15" s="8"/>
      <c r="E15" s="8"/>
      <c r="F15" s="8"/>
      <c r="G15" s="25"/>
    </row>
    <row r="16" spans="1:11" ht="15.75" x14ac:dyDescent="0.25">
      <c r="A16" s="7"/>
      <c r="B16" s="12" t="s">
        <v>16</v>
      </c>
      <c r="G16" s="25"/>
    </row>
    <row r="17" spans="1:7" ht="15.75" thickBot="1" x14ac:dyDescent="0.3">
      <c r="A17" s="7"/>
      <c r="B17" s="14"/>
      <c r="C17" s="8"/>
      <c r="D17" s="8"/>
      <c r="E17" s="8"/>
      <c r="F17" s="8"/>
      <c r="G17" s="8"/>
    </row>
    <row r="18" spans="1:7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7" ht="15.75" customHeight="1" x14ac:dyDescent="0.25">
      <c r="A19" s="36">
        <v>1</v>
      </c>
      <c r="B19" s="27">
        <v>46247</v>
      </c>
      <c r="C19" s="38" t="s">
        <v>235</v>
      </c>
      <c r="D19" s="39" t="s">
        <v>233</v>
      </c>
      <c r="E19" s="43" t="s">
        <v>234</v>
      </c>
      <c r="F19" s="28">
        <v>40</v>
      </c>
    </row>
    <row r="20" spans="1:7" ht="15.75" customHeight="1" x14ac:dyDescent="0.25">
      <c r="A20" s="36">
        <v>2</v>
      </c>
      <c r="B20" s="27"/>
      <c r="C20" s="38"/>
      <c r="D20" s="41"/>
      <c r="E20" s="41"/>
      <c r="F20" s="29"/>
    </row>
    <row r="21" spans="1:7" ht="15.75" customHeight="1" x14ac:dyDescent="0.25">
      <c r="A21" s="36">
        <v>3</v>
      </c>
      <c r="B21" s="27"/>
      <c r="C21" s="38"/>
      <c r="D21" s="28"/>
      <c r="E21" s="41"/>
      <c r="F21" s="29"/>
      <c r="G21" s="24" t="s">
        <v>42</v>
      </c>
    </row>
    <row r="22" spans="1:7" ht="15.75" customHeight="1" x14ac:dyDescent="0.25">
      <c r="A22" s="36">
        <v>4</v>
      </c>
      <c r="B22" s="27"/>
      <c r="C22" s="38"/>
      <c r="D22" s="28"/>
      <c r="E22" s="41"/>
      <c r="F22" s="29"/>
    </row>
    <row r="23" spans="1:7" ht="15.75" customHeight="1" x14ac:dyDescent="0.25">
      <c r="A23" s="36">
        <v>5</v>
      </c>
      <c r="B23" s="27"/>
      <c r="C23" s="38"/>
      <c r="D23" s="28"/>
      <c r="E23" s="41"/>
      <c r="F23" s="29"/>
    </row>
    <row r="24" spans="1:7" ht="15.75" customHeight="1" x14ac:dyDescent="0.25">
      <c r="A24" s="36">
        <v>6</v>
      </c>
      <c r="B24" s="27"/>
      <c r="C24" s="38"/>
      <c r="D24" s="41"/>
      <c r="E24" s="41"/>
      <c r="F24" s="29"/>
    </row>
    <row r="25" spans="1:7" ht="15.75" customHeight="1" x14ac:dyDescent="0.25">
      <c r="A25" s="36">
        <v>7</v>
      </c>
      <c r="B25" s="27"/>
      <c r="C25" s="38"/>
      <c r="D25" s="44"/>
      <c r="E25" s="41"/>
      <c r="F25" s="29"/>
    </row>
    <row r="26" spans="1:7" ht="15.75" customHeight="1" x14ac:dyDescent="0.25">
      <c r="A26" s="36">
        <v>8</v>
      </c>
      <c r="B26" s="27"/>
      <c r="C26" s="28"/>
      <c r="D26" s="44"/>
      <c r="E26" s="41"/>
      <c r="F26" s="29"/>
    </row>
    <row r="27" spans="1:7" x14ac:dyDescent="0.25">
      <c r="A27" s="36">
        <v>9</v>
      </c>
      <c r="B27" s="27"/>
      <c r="C27" s="41"/>
      <c r="D27" s="44"/>
      <c r="E27" s="41"/>
      <c r="F27" s="29"/>
    </row>
    <row r="28" spans="1:7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7" ht="15.75" x14ac:dyDescent="0.25">
      <c r="A29" s="7"/>
      <c r="B29" s="12"/>
      <c r="C29" s="8"/>
      <c r="D29" s="45"/>
      <c r="E29" s="8"/>
      <c r="F29" s="8"/>
      <c r="G29" s="25"/>
    </row>
    <row r="30" spans="1:7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7" ht="15.75" thickBot="1" x14ac:dyDescent="0.3">
      <c r="A31" s="7"/>
      <c r="B31" s="14"/>
      <c r="C31" s="8"/>
      <c r="D31" s="8"/>
      <c r="E31" s="8"/>
      <c r="F31" s="8"/>
      <c r="G31" s="8"/>
    </row>
    <row r="32" spans="1:7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ht="15.75" customHeight="1" x14ac:dyDescent="0.25">
      <c r="A33" s="41">
        <v>1</v>
      </c>
      <c r="B33" s="27">
        <v>46247</v>
      </c>
      <c r="C33" s="43" t="s">
        <v>121</v>
      </c>
      <c r="D33" s="39" t="s">
        <v>122</v>
      </c>
      <c r="E33" s="29">
        <v>3511</v>
      </c>
      <c r="F33" s="29">
        <v>45</v>
      </c>
    </row>
    <row r="34" spans="1:6" ht="15.75" customHeight="1" x14ac:dyDescent="0.25">
      <c r="A34" s="41">
        <v>2</v>
      </c>
      <c r="B34" s="27">
        <v>46247</v>
      </c>
      <c r="C34" s="43" t="s">
        <v>123</v>
      </c>
      <c r="D34" s="43" t="s">
        <v>124</v>
      </c>
      <c r="E34" s="41">
        <v>3512</v>
      </c>
      <c r="F34" s="29">
        <v>45</v>
      </c>
    </row>
    <row r="35" spans="1:6" ht="15.75" customHeight="1" x14ac:dyDescent="0.25">
      <c r="A35" s="41">
        <v>3</v>
      </c>
      <c r="B35" s="27"/>
      <c r="C35" s="28"/>
      <c r="D35" s="33"/>
      <c r="E35" s="41"/>
      <c r="F35" s="29"/>
    </row>
    <row r="36" spans="1:6" ht="15.75" customHeight="1" x14ac:dyDescent="0.25">
      <c r="A36" s="41">
        <v>4</v>
      </c>
      <c r="B36" s="27"/>
      <c r="C36" s="28"/>
      <c r="D36" s="56"/>
      <c r="E36" s="41"/>
      <c r="F36" s="29"/>
    </row>
    <row r="37" spans="1:6" ht="15.75" customHeight="1" x14ac:dyDescent="0.25">
      <c r="A37" s="36">
        <v>5</v>
      </c>
      <c r="B37" s="27"/>
      <c r="C37" s="41"/>
      <c r="D37" s="43"/>
      <c r="E37" s="41"/>
      <c r="F37" s="29"/>
    </row>
    <row r="38" spans="1:6" ht="15.75" customHeight="1" x14ac:dyDescent="0.25">
      <c r="A38" s="36">
        <v>6</v>
      </c>
      <c r="B38" s="27"/>
      <c r="C38" s="28"/>
      <c r="D38" s="33"/>
      <c r="E38" s="41"/>
      <c r="F38" s="29"/>
    </row>
    <row r="39" spans="1:6" ht="15.75" customHeight="1" x14ac:dyDescent="0.25">
      <c r="A39" s="36">
        <v>7</v>
      </c>
      <c r="B39" s="27"/>
      <c r="C39" s="41"/>
      <c r="D39" s="44"/>
      <c r="E39" s="41"/>
      <c r="F39" s="29"/>
    </row>
    <row r="40" spans="1:6" x14ac:dyDescent="0.25">
      <c r="A40" s="36">
        <v>8</v>
      </c>
      <c r="B40" s="27"/>
      <c r="C40" s="44"/>
      <c r="D40" s="44"/>
      <c r="E40" s="41"/>
      <c r="F40" s="40"/>
    </row>
  </sheetData>
  <mergeCells count="1">
    <mergeCell ref="A3:H3"/>
  </mergeCells>
  <dataValidations count="2">
    <dataValidation type="list" allowBlank="1" showInputMessage="1" showErrorMessage="1" sqref="F8 F11:F14" xr:uid="{54C62EA9-7EDE-499F-B81A-F98947E43931}">
      <formula1>"20,40,45,50"</formula1>
      <formula2>0</formula2>
    </dataValidation>
    <dataValidation type="list" allowBlank="1" showInputMessage="1" showErrorMessage="1" sqref="F9:F10" xr:uid="{BB2726CA-3A0D-475F-AAAA-2D4BFA295A70}">
      <formula1>"20,40,45,50,GROUPAGE"</formula1>
    </dataValidation>
  </dataValidations>
  <pageMargins left="0.31496062992125984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0CE6-B502-4A21-9137-8AE9680F7F0A}">
  <dimension ref="A1:N40"/>
  <sheetViews>
    <sheetView topLeftCell="A5" workbookViewId="0">
      <selection activeCell="E36" sqref="E36:E39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1" s="8" customFormat="1" ht="24.95" customHeight="1" x14ac:dyDescent="0.25">
      <c r="A1" s="7"/>
      <c r="H1" s="9">
        <f>COUNTIF(C8:C14,"&lt;&gt;")</f>
        <v>0</v>
      </c>
      <c r="I1" s="10" t="s">
        <v>6</v>
      </c>
    </row>
    <row r="2" spans="1:11" s="8" customFormat="1" ht="15.75" x14ac:dyDescent="0.25">
      <c r="A2" s="7"/>
      <c r="F2" s="9">
        <f>COUNTIFS(B19:B22,"&lt;&gt;",C19:C22,"VH")</f>
        <v>0</v>
      </c>
      <c r="G2" s="10" t="s">
        <v>7</v>
      </c>
      <c r="H2" s="9">
        <f>COUNTA(C19:C28)-F2</f>
        <v>2</v>
      </c>
      <c r="I2" s="10" t="s">
        <v>6</v>
      </c>
      <c r="J2" s="11">
        <f>COUNTIF(H19:H24,"VIDE")</f>
        <v>0</v>
      </c>
    </row>
    <row r="3" spans="1:11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1" s="8" customFormat="1" ht="12.75" x14ac:dyDescent="0.25">
      <c r="A4" s="7"/>
    </row>
    <row r="5" spans="1:11" s="8" customFormat="1" ht="15.75" x14ac:dyDescent="0.25">
      <c r="A5" s="7"/>
      <c r="B5" s="12" t="s">
        <v>9</v>
      </c>
      <c r="G5" s="13">
        <v>46250</v>
      </c>
    </row>
    <row r="6" spans="1:11" s="8" customFormat="1" thickBot="1" x14ac:dyDescent="0.3">
      <c r="A6" s="7"/>
      <c r="B6" s="14"/>
    </row>
    <row r="7" spans="1:11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1" s="8" customFormat="1" ht="14.25" x14ac:dyDescent="0.25">
      <c r="A8" s="42">
        <v>2</v>
      </c>
      <c r="B8" s="65"/>
      <c r="C8" s="27"/>
      <c r="D8" s="50"/>
      <c r="E8" s="50"/>
      <c r="F8" s="50"/>
    </row>
    <row r="9" spans="1:11" s="8" customFormat="1" ht="14.25" x14ac:dyDescent="0.25">
      <c r="A9" s="41">
        <v>3</v>
      </c>
      <c r="B9" s="65"/>
      <c r="C9" s="27"/>
      <c r="D9" s="44"/>
      <c r="E9" s="44"/>
      <c r="F9" s="50"/>
    </row>
    <row r="10" spans="1:11" s="8" customFormat="1" ht="14.25" x14ac:dyDescent="0.25">
      <c r="A10" s="42">
        <v>4</v>
      </c>
      <c r="B10" s="51"/>
      <c r="C10" s="27"/>
      <c r="D10" s="50"/>
      <c r="E10" s="50"/>
      <c r="F10" s="50"/>
    </row>
    <row r="11" spans="1:11" s="8" customFormat="1" ht="14.25" x14ac:dyDescent="0.25">
      <c r="A11" s="42">
        <v>5</v>
      </c>
      <c r="B11" s="51"/>
      <c r="C11" s="27"/>
      <c r="D11" s="50"/>
      <c r="E11" s="64"/>
      <c r="F11" s="50"/>
    </row>
    <row r="12" spans="1:11" s="8" customFormat="1" ht="14.25" x14ac:dyDescent="0.25">
      <c r="A12" s="41">
        <v>6</v>
      </c>
      <c r="B12" s="51"/>
      <c r="C12" s="27"/>
      <c r="D12" s="50"/>
      <c r="E12" s="64"/>
      <c r="F12" s="50"/>
      <c r="K12" s="8" t="s">
        <v>42</v>
      </c>
    </row>
    <row r="13" spans="1:11" s="8" customFormat="1" ht="14.25" x14ac:dyDescent="0.25">
      <c r="A13" s="41">
        <v>7</v>
      </c>
      <c r="B13" s="51"/>
      <c r="C13" s="27"/>
      <c r="D13" s="44"/>
      <c r="E13" s="44"/>
      <c r="F13" s="41"/>
    </row>
    <row r="14" spans="1:11" s="8" customFormat="1" ht="14.25" x14ac:dyDescent="0.25">
      <c r="A14" s="42">
        <v>8</v>
      </c>
      <c r="B14" s="41"/>
      <c r="C14" s="27"/>
      <c r="D14" s="44"/>
      <c r="E14" s="44"/>
      <c r="F14" s="41"/>
    </row>
    <row r="15" spans="1:11" ht="15.75" x14ac:dyDescent="0.25">
      <c r="A15" s="7"/>
      <c r="B15" s="25"/>
      <c r="C15" s="8"/>
      <c r="D15" s="8"/>
      <c r="E15" s="8"/>
      <c r="F15" s="8"/>
      <c r="G15" s="25"/>
    </row>
    <row r="16" spans="1:11" ht="15.75" x14ac:dyDescent="0.25">
      <c r="A16" s="7"/>
      <c r="B16" s="12" t="s">
        <v>16</v>
      </c>
      <c r="G16" s="25"/>
    </row>
    <row r="17" spans="1:14" ht="15.75" thickBot="1" x14ac:dyDescent="0.3">
      <c r="A17" s="7"/>
      <c r="B17" s="14"/>
      <c r="C17" s="8"/>
      <c r="D17" s="8"/>
      <c r="E17" s="8"/>
      <c r="F17" s="8"/>
      <c r="G17" s="8"/>
    </row>
    <row r="18" spans="1:14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14" ht="15.75" customHeight="1" x14ac:dyDescent="0.25">
      <c r="A19" s="36">
        <v>1</v>
      </c>
      <c r="B19" s="27">
        <v>46250</v>
      </c>
      <c r="C19" s="38" t="s">
        <v>237</v>
      </c>
      <c r="D19" s="39" t="s">
        <v>104</v>
      </c>
      <c r="E19" s="43" t="s">
        <v>105</v>
      </c>
      <c r="F19" s="28">
        <v>40</v>
      </c>
    </row>
    <row r="20" spans="1:14" ht="15.75" customHeight="1" x14ac:dyDescent="0.25">
      <c r="A20" s="36">
        <v>2</v>
      </c>
      <c r="B20" s="27">
        <v>46250</v>
      </c>
      <c r="C20" s="38" t="s">
        <v>236</v>
      </c>
      <c r="D20" s="41" t="s">
        <v>106</v>
      </c>
      <c r="E20" s="41" t="s">
        <v>107</v>
      </c>
      <c r="F20" s="29">
        <v>40</v>
      </c>
    </row>
    <row r="21" spans="1:14" ht="15.75" customHeight="1" x14ac:dyDescent="0.25">
      <c r="A21" s="36">
        <v>3</v>
      </c>
      <c r="B21" s="27"/>
      <c r="C21" s="38"/>
      <c r="D21" s="28"/>
      <c r="E21" s="41"/>
      <c r="F21" s="29"/>
      <c r="G21" s="24" t="s">
        <v>42</v>
      </c>
      <c r="J21" s="67"/>
      <c r="K21" s="67"/>
      <c r="L21" s="67"/>
      <c r="M21" s="67"/>
      <c r="N21" s="67"/>
    </row>
    <row r="22" spans="1:14" ht="15.75" customHeight="1" x14ac:dyDescent="0.25">
      <c r="A22" s="36">
        <v>4</v>
      </c>
      <c r="B22" s="27"/>
      <c r="C22" s="38"/>
      <c r="D22" s="28"/>
      <c r="E22" s="41"/>
      <c r="F22" s="29"/>
      <c r="J22" s="67"/>
      <c r="K22" s="68"/>
      <c r="L22" s="67"/>
      <c r="M22" s="67"/>
      <c r="N22" s="67"/>
    </row>
    <row r="23" spans="1:14" ht="15.75" customHeight="1" x14ac:dyDescent="0.25">
      <c r="A23" s="36">
        <v>5</v>
      </c>
      <c r="B23" s="27"/>
      <c r="C23" s="38"/>
      <c r="D23" s="28"/>
      <c r="E23" s="41"/>
      <c r="F23" s="29"/>
    </row>
    <row r="24" spans="1:14" ht="15.75" customHeight="1" x14ac:dyDescent="0.25">
      <c r="A24" s="36">
        <v>6</v>
      </c>
      <c r="B24" s="27"/>
      <c r="C24" s="38"/>
      <c r="D24" s="41"/>
      <c r="E24" s="41"/>
      <c r="F24" s="29"/>
    </row>
    <row r="25" spans="1:14" ht="15.75" customHeight="1" x14ac:dyDescent="0.25">
      <c r="A25" s="36">
        <v>7</v>
      </c>
      <c r="B25" s="27"/>
      <c r="C25" s="38"/>
      <c r="D25" s="44"/>
      <c r="E25" s="41"/>
      <c r="F25" s="29"/>
    </row>
    <row r="26" spans="1:14" ht="15.75" customHeight="1" x14ac:dyDescent="0.25">
      <c r="A26" s="36">
        <v>8</v>
      </c>
      <c r="B26" s="27"/>
      <c r="C26" s="28"/>
      <c r="D26" s="44"/>
      <c r="E26" s="41"/>
      <c r="F26" s="29"/>
    </row>
    <row r="27" spans="1:14" x14ac:dyDescent="0.25">
      <c r="A27" s="36">
        <v>9</v>
      </c>
      <c r="B27" s="27"/>
      <c r="C27" s="41"/>
      <c r="D27" s="44"/>
      <c r="E27" s="41"/>
      <c r="F27" s="29"/>
    </row>
    <row r="28" spans="1:14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14" ht="15.75" x14ac:dyDescent="0.25">
      <c r="A29" s="7"/>
      <c r="B29" s="12"/>
      <c r="C29" s="8"/>
      <c r="D29" s="45"/>
      <c r="E29" s="8"/>
      <c r="F29" s="8"/>
      <c r="G29" s="25"/>
    </row>
    <row r="30" spans="1:14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14" ht="15.75" thickBot="1" x14ac:dyDescent="0.3">
      <c r="A31" s="7"/>
      <c r="B31" s="14"/>
      <c r="C31" s="8"/>
      <c r="D31" s="8"/>
      <c r="E31" s="8"/>
      <c r="F31" s="8"/>
      <c r="G31" s="8"/>
    </row>
    <row r="32" spans="1:14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ht="15.75" customHeight="1" x14ac:dyDescent="0.25">
      <c r="A33" s="41">
        <v>1</v>
      </c>
      <c r="B33" s="27">
        <v>46250</v>
      </c>
      <c r="C33" s="52" t="s">
        <v>125</v>
      </c>
      <c r="D33" s="52" t="s">
        <v>126</v>
      </c>
      <c r="E33" s="29">
        <v>3513</v>
      </c>
      <c r="F33" s="29">
        <v>40</v>
      </c>
    </row>
    <row r="34" spans="1:6" ht="15.75" customHeight="1" x14ac:dyDescent="0.25">
      <c r="A34" s="41">
        <v>2</v>
      </c>
      <c r="B34" s="27">
        <v>46250</v>
      </c>
      <c r="C34" s="52" t="s">
        <v>127</v>
      </c>
      <c r="D34" s="52" t="s">
        <v>128</v>
      </c>
      <c r="E34" s="29">
        <v>3514</v>
      </c>
      <c r="F34" s="29">
        <v>20</v>
      </c>
    </row>
    <row r="35" spans="1:6" ht="15.75" customHeight="1" x14ac:dyDescent="0.25">
      <c r="A35" s="41">
        <v>3</v>
      </c>
      <c r="B35" s="27">
        <v>46250</v>
      </c>
      <c r="C35" s="52" t="s">
        <v>129</v>
      </c>
      <c r="D35" s="52" t="s">
        <v>130</v>
      </c>
      <c r="E35" s="29">
        <v>3515</v>
      </c>
      <c r="F35" s="29">
        <v>40</v>
      </c>
    </row>
    <row r="36" spans="1:6" ht="15.75" customHeight="1" x14ac:dyDescent="0.25">
      <c r="A36" s="41">
        <v>4</v>
      </c>
      <c r="B36" s="27">
        <v>46250</v>
      </c>
      <c r="C36" s="58" t="s">
        <v>182</v>
      </c>
      <c r="D36" s="58" t="s">
        <v>183</v>
      </c>
      <c r="E36" s="29">
        <v>3516</v>
      </c>
      <c r="F36" s="59" t="s">
        <v>86</v>
      </c>
    </row>
    <row r="37" spans="1:6" ht="15.75" customHeight="1" x14ac:dyDescent="0.25">
      <c r="A37" s="36">
        <v>5</v>
      </c>
      <c r="B37" s="27">
        <v>46250</v>
      </c>
      <c r="C37" s="60" t="s">
        <v>184</v>
      </c>
      <c r="D37" s="59" t="s">
        <v>185</v>
      </c>
      <c r="E37" s="29">
        <v>3517</v>
      </c>
      <c r="F37" s="59" t="s">
        <v>86</v>
      </c>
    </row>
    <row r="38" spans="1:6" ht="15.75" customHeight="1" x14ac:dyDescent="0.25">
      <c r="A38" s="36">
        <v>6</v>
      </c>
      <c r="B38" s="27">
        <v>46250</v>
      </c>
      <c r="C38" s="59" t="s">
        <v>186</v>
      </c>
      <c r="D38" s="59" t="s">
        <v>187</v>
      </c>
      <c r="E38" s="29">
        <v>3518</v>
      </c>
      <c r="F38" s="59" t="s">
        <v>86</v>
      </c>
    </row>
    <row r="39" spans="1:6" ht="15.75" customHeight="1" x14ac:dyDescent="0.25">
      <c r="A39" s="36">
        <v>7</v>
      </c>
      <c r="B39" s="27">
        <v>46250</v>
      </c>
      <c r="C39" s="59" t="s">
        <v>188</v>
      </c>
      <c r="D39" s="59" t="s">
        <v>189</v>
      </c>
      <c r="E39" s="41">
        <v>3519</v>
      </c>
      <c r="F39" s="59" t="s">
        <v>86</v>
      </c>
    </row>
    <row r="40" spans="1:6" x14ac:dyDescent="0.25">
      <c r="A40" s="36">
        <v>8</v>
      </c>
      <c r="B40" s="27"/>
      <c r="C40" s="44"/>
      <c r="D40" s="44"/>
      <c r="E40" s="40"/>
      <c r="F40" s="40"/>
    </row>
  </sheetData>
  <mergeCells count="1">
    <mergeCell ref="A3:H3"/>
  </mergeCells>
  <dataValidations count="2">
    <dataValidation type="list" allowBlank="1" showInputMessage="1" showErrorMessage="1" sqref="F9:F10" xr:uid="{A4004CBF-D46E-4897-BE76-60B141FA7C43}">
      <formula1>"20,40,45,50,GROUPAGE"</formula1>
    </dataValidation>
    <dataValidation type="list" allowBlank="1" showInputMessage="1" showErrorMessage="1" sqref="F8 F11:F14 F36:F39" xr:uid="{F1DFF2EE-9B0F-4910-97A7-CA3BD8137512}">
      <formula1>"20,40,45,50"</formula1>
      <formula2>0</formula2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F015-6BFF-4E9B-8FDD-D7C653B564B0}">
  <dimension ref="A1:N40"/>
  <sheetViews>
    <sheetView workbookViewId="0">
      <selection sqref="A1:XFD1048576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4" s="8" customFormat="1" ht="24.95" customHeight="1" x14ac:dyDescent="0.25">
      <c r="A1" s="7"/>
      <c r="L1" s="9">
        <f>COUNTIF(C8:C14,"&lt;&gt;")</f>
        <v>0</v>
      </c>
      <c r="M1" s="10" t="s">
        <v>6</v>
      </c>
    </row>
    <row r="2" spans="1:14" s="8" customFormat="1" ht="15.75" x14ac:dyDescent="0.25">
      <c r="A2" s="7"/>
      <c r="J2" s="9">
        <f>COUNTIFS(B19:B22,"&lt;&gt;",C19:C22,"VH")</f>
        <v>0</v>
      </c>
      <c r="K2" s="10" t="s">
        <v>7</v>
      </c>
      <c r="L2" s="9">
        <f>COUNTA(C19:C28)-J2</f>
        <v>0</v>
      </c>
      <c r="M2" s="10" t="s">
        <v>6</v>
      </c>
      <c r="N2" s="11">
        <f>COUNTIF(H19:H24,"VIDE")</f>
        <v>0</v>
      </c>
    </row>
    <row r="3" spans="1:14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4" s="8" customFormat="1" ht="12.75" x14ac:dyDescent="0.25">
      <c r="A4" s="7"/>
    </row>
    <row r="5" spans="1:14" s="8" customFormat="1" ht="15.75" x14ac:dyDescent="0.25">
      <c r="A5" s="7"/>
      <c r="B5" s="12" t="s">
        <v>9</v>
      </c>
      <c r="G5" s="13">
        <v>46251</v>
      </c>
    </row>
    <row r="6" spans="1:14" s="8" customFormat="1" thickBot="1" x14ac:dyDescent="0.3">
      <c r="A6" s="7"/>
      <c r="B6" s="14"/>
    </row>
    <row r="7" spans="1:14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4" s="8" customFormat="1" ht="14.25" x14ac:dyDescent="0.25">
      <c r="A8" s="42">
        <v>2</v>
      </c>
      <c r="B8" s="65"/>
      <c r="C8" s="27"/>
      <c r="D8" s="50"/>
      <c r="E8" s="50"/>
      <c r="F8" s="50"/>
    </row>
    <row r="9" spans="1:14" s="8" customFormat="1" ht="14.25" x14ac:dyDescent="0.25">
      <c r="A9" s="41">
        <v>3</v>
      </c>
      <c r="B9" s="65"/>
      <c r="C9" s="27"/>
      <c r="D9" s="44"/>
      <c r="E9" s="44"/>
      <c r="F9" s="50"/>
    </row>
    <row r="10" spans="1:14" s="8" customFormat="1" ht="14.25" x14ac:dyDescent="0.25">
      <c r="A10" s="42">
        <v>4</v>
      </c>
      <c r="B10" s="51"/>
      <c r="C10" s="27"/>
      <c r="D10" s="50"/>
      <c r="E10" s="50"/>
      <c r="F10" s="50"/>
    </row>
    <row r="11" spans="1:14" s="8" customFormat="1" ht="14.25" x14ac:dyDescent="0.25">
      <c r="A11" s="42">
        <v>5</v>
      </c>
      <c r="B11" s="51"/>
      <c r="C11" s="27"/>
      <c r="D11" s="50"/>
      <c r="E11" s="64"/>
      <c r="F11" s="50"/>
    </row>
    <row r="12" spans="1:14" s="8" customFormat="1" ht="14.25" x14ac:dyDescent="0.25">
      <c r="A12" s="41">
        <v>6</v>
      </c>
      <c r="B12" s="51"/>
      <c r="C12" s="27"/>
      <c r="D12" s="50"/>
      <c r="E12" s="64"/>
      <c r="F12" s="50"/>
      <c r="K12" s="8" t="s">
        <v>42</v>
      </c>
    </row>
    <row r="13" spans="1:14" s="8" customFormat="1" ht="14.25" x14ac:dyDescent="0.25">
      <c r="A13" s="41">
        <v>7</v>
      </c>
      <c r="B13" s="51"/>
      <c r="C13" s="27"/>
      <c r="D13" s="44"/>
      <c r="E13" s="44"/>
      <c r="F13" s="41"/>
    </row>
    <row r="14" spans="1:14" s="8" customFormat="1" ht="14.25" x14ac:dyDescent="0.25">
      <c r="A14" s="42">
        <v>8</v>
      </c>
      <c r="B14" s="41"/>
      <c r="C14" s="27"/>
      <c r="D14" s="44"/>
      <c r="E14" s="44"/>
      <c r="F14" s="41"/>
    </row>
    <row r="15" spans="1:14" ht="15.75" x14ac:dyDescent="0.25">
      <c r="A15" s="7"/>
      <c r="B15" s="25"/>
      <c r="C15" s="8"/>
      <c r="D15" s="8"/>
      <c r="E15" s="8"/>
      <c r="F15" s="8"/>
      <c r="G15" s="25"/>
    </row>
    <row r="16" spans="1:14" ht="15.75" x14ac:dyDescent="0.25">
      <c r="A16" s="7"/>
      <c r="B16" s="12" t="s">
        <v>16</v>
      </c>
      <c r="G16" s="25"/>
    </row>
    <row r="17" spans="1:14" ht="15.75" thickBot="1" x14ac:dyDescent="0.3">
      <c r="A17" s="7"/>
      <c r="B17" s="14"/>
      <c r="C17" s="8"/>
      <c r="D17" s="8"/>
      <c r="E17" s="8"/>
      <c r="F17" s="8"/>
      <c r="G17" s="8"/>
    </row>
    <row r="18" spans="1:14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14" ht="15.75" customHeight="1" x14ac:dyDescent="0.25">
      <c r="A19" s="36">
        <v>1</v>
      </c>
      <c r="B19" s="27"/>
      <c r="C19" s="38"/>
      <c r="D19" s="39"/>
      <c r="E19" s="43"/>
      <c r="F19" s="28"/>
    </row>
    <row r="20" spans="1:14" ht="15.75" customHeight="1" x14ac:dyDescent="0.25">
      <c r="A20" s="36">
        <v>2</v>
      </c>
      <c r="B20" s="27"/>
      <c r="C20" s="38"/>
      <c r="D20" s="41"/>
      <c r="E20" s="41"/>
      <c r="F20" s="29"/>
    </row>
    <row r="21" spans="1:14" ht="15.75" customHeight="1" x14ac:dyDescent="0.25">
      <c r="A21" s="36">
        <v>3</v>
      </c>
      <c r="B21" s="27"/>
      <c r="C21" s="38"/>
      <c r="D21" s="28"/>
      <c r="E21" s="41"/>
      <c r="F21" s="29"/>
      <c r="G21" s="24" t="s">
        <v>42</v>
      </c>
      <c r="J21" s="67"/>
      <c r="K21" s="67"/>
      <c r="L21" s="67"/>
      <c r="M21" s="67"/>
      <c r="N21" s="67"/>
    </row>
    <row r="22" spans="1:14" ht="15.75" customHeight="1" x14ac:dyDescent="0.25">
      <c r="A22" s="36">
        <v>4</v>
      </c>
      <c r="B22" s="27"/>
      <c r="C22" s="38"/>
      <c r="D22" s="28"/>
      <c r="E22" s="41"/>
      <c r="F22" s="29"/>
      <c r="J22" s="67"/>
      <c r="K22" s="68"/>
      <c r="L22" s="67"/>
      <c r="M22" s="67"/>
      <c r="N22" s="67"/>
    </row>
    <row r="23" spans="1:14" ht="15.75" customHeight="1" x14ac:dyDescent="0.25">
      <c r="A23" s="36">
        <v>5</v>
      </c>
      <c r="B23" s="27"/>
      <c r="C23" s="38"/>
      <c r="D23" s="28"/>
      <c r="E23" s="41"/>
      <c r="F23" s="29"/>
    </row>
    <row r="24" spans="1:14" ht="15.75" customHeight="1" x14ac:dyDescent="0.25">
      <c r="A24" s="36">
        <v>6</v>
      </c>
      <c r="B24" s="27"/>
      <c r="C24" s="38"/>
      <c r="D24" s="41"/>
      <c r="E24" s="41"/>
      <c r="F24" s="29"/>
    </row>
    <row r="25" spans="1:14" ht="15.75" customHeight="1" x14ac:dyDescent="0.25">
      <c r="A25" s="36">
        <v>7</v>
      </c>
      <c r="B25" s="27"/>
      <c r="C25" s="38"/>
      <c r="D25" s="44"/>
      <c r="E25" s="41"/>
      <c r="F25" s="29"/>
    </row>
    <row r="26" spans="1:14" ht="15.75" customHeight="1" x14ac:dyDescent="0.25">
      <c r="A26" s="36">
        <v>8</v>
      </c>
      <c r="B26" s="27"/>
      <c r="C26" s="28"/>
      <c r="D26" s="44"/>
      <c r="E26" s="41"/>
      <c r="F26" s="29"/>
    </row>
    <row r="27" spans="1:14" x14ac:dyDescent="0.25">
      <c r="A27" s="36">
        <v>9</v>
      </c>
      <c r="B27" s="27"/>
      <c r="C27" s="41"/>
      <c r="D27" s="44"/>
      <c r="E27" s="41"/>
      <c r="F27" s="29"/>
    </row>
    <row r="28" spans="1:14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14" ht="15.75" x14ac:dyDescent="0.25">
      <c r="A29" s="7"/>
      <c r="B29" s="12"/>
      <c r="C29" s="8"/>
      <c r="D29" s="45"/>
      <c r="E29" s="8"/>
      <c r="F29" s="8"/>
      <c r="G29" s="25"/>
    </row>
    <row r="30" spans="1:14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14" ht="15.75" thickBot="1" x14ac:dyDescent="0.3">
      <c r="A31" s="7"/>
      <c r="B31" s="14"/>
      <c r="C31" s="8"/>
      <c r="D31" s="8"/>
      <c r="E31" s="8"/>
      <c r="F31" s="8"/>
      <c r="G31" s="8"/>
    </row>
    <row r="32" spans="1:14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ht="15.75" customHeight="1" x14ac:dyDescent="0.25">
      <c r="A33" s="41">
        <v>1</v>
      </c>
      <c r="B33" s="27">
        <v>46251</v>
      </c>
      <c r="C33" s="50" t="s">
        <v>238</v>
      </c>
      <c r="D33" s="64" t="s">
        <v>239</v>
      </c>
      <c r="E33" s="29">
        <v>3510</v>
      </c>
      <c r="F33" s="29">
        <v>40</v>
      </c>
    </row>
    <row r="34" spans="1:6" ht="15.75" customHeight="1" x14ac:dyDescent="0.25">
      <c r="A34" s="41">
        <v>2</v>
      </c>
      <c r="B34" s="27"/>
      <c r="C34" s="52"/>
      <c r="D34" s="52"/>
      <c r="E34" s="29"/>
      <c r="F34" s="29"/>
    </row>
    <row r="35" spans="1:6" ht="15.75" customHeight="1" x14ac:dyDescent="0.25">
      <c r="A35" s="41">
        <v>3</v>
      </c>
      <c r="B35" s="27"/>
      <c r="C35" s="52"/>
      <c r="D35" s="52"/>
      <c r="E35" s="29"/>
      <c r="F35" s="29"/>
    </row>
    <row r="36" spans="1:6" ht="15.75" customHeight="1" x14ac:dyDescent="0.25">
      <c r="A36" s="41">
        <v>4</v>
      </c>
      <c r="B36" s="27"/>
      <c r="C36" s="58"/>
      <c r="D36" s="58"/>
      <c r="E36" s="29"/>
      <c r="F36" s="59"/>
    </row>
    <row r="37" spans="1:6" ht="15.75" customHeight="1" x14ac:dyDescent="0.25">
      <c r="A37" s="36">
        <v>5</v>
      </c>
      <c r="B37" s="27"/>
      <c r="C37" s="60"/>
      <c r="D37" s="59"/>
      <c r="E37" s="29"/>
      <c r="F37" s="59"/>
    </row>
    <row r="38" spans="1:6" ht="15.75" customHeight="1" x14ac:dyDescent="0.25">
      <c r="A38" s="36">
        <v>6</v>
      </c>
      <c r="B38" s="27"/>
      <c r="C38" s="59"/>
      <c r="D38" s="59"/>
      <c r="E38" s="29"/>
      <c r="F38" s="59"/>
    </row>
    <row r="39" spans="1:6" ht="15.75" customHeight="1" x14ac:dyDescent="0.25">
      <c r="A39" s="36">
        <v>7</v>
      </c>
      <c r="B39" s="27"/>
      <c r="C39" s="59"/>
      <c r="D39" s="59"/>
      <c r="E39" s="41"/>
      <c r="F39" s="59"/>
    </row>
    <row r="40" spans="1:6" x14ac:dyDescent="0.25">
      <c r="A40" s="36">
        <v>8</v>
      </c>
      <c r="B40" s="27"/>
      <c r="C40" s="44"/>
      <c r="D40" s="44"/>
      <c r="E40" s="40"/>
      <c r="F40" s="40"/>
    </row>
  </sheetData>
  <mergeCells count="1">
    <mergeCell ref="A3:H3"/>
  </mergeCells>
  <dataValidations count="2">
    <dataValidation type="list" allowBlank="1" showInputMessage="1" showErrorMessage="1" sqref="F8 F11:F14 F36:F39" xr:uid="{4927CFF5-915B-44FB-A067-CA49746128B3}">
      <formula1>"20,40,45,50"</formula1>
      <formula2>0</formula2>
    </dataValidation>
    <dataValidation type="list" allowBlank="1" showInputMessage="1" showErrorMessage="1" sqref="F9:F10" xr:uid="{DB76E099-9611-4087-A989-4F8E7B35EA90}">
      <formula1>"20,40,45,50,GROUPAGE"</formula1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2D71-034E-40A9-B886-9ED6E607EFDF}">
  <dimension ref="A1:N40"/>
  <sheetViews>
    <sheetView workbookViewId="0">
      <selection activeCell="K30" sqref="K30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1" s="8" customFormat="1" ht="24.95" customHeight="1" x14ac:dyDescent="0.25">
      <c r="A1" s="7"/>
      <c r="H1" s="9">
        <f>COUNTIF(C8:C14,"&lt;&gt;")</f>
        <v>0</v>
      </c>
      <c r="I1" s="10" t="s">
        <v>6</v>
      </c>
    </row>
    <row r="2" spans="1:11" s="8" customFormat="1" ht="15.75" x14ac:dyDescent="0.25">
      <c r="A2" s="7"/>
      <c r="F2" s="9">
        <f>COUNTIFS(B19:B22,"&lt;&gt;",C19:C22,"VH")</f>
        <v>0</v>
      </c>
      <c r="G2" s="10" t="s">
        <v>7</v>
      </c>
      <c r="H2" s="9">
        <f>COUNTA(C19:C28)-F2</f>
        <v>7</v>
      </c>
      <c r="I2" s="10" t="s">
        <v>6</v>
      </c>
      <c r="J2" s="11">
        <f>COUNTIF(H19:H24,"VIDE")</f>
        <v>0</v>
      </c>
    </row>
    <row r="3" spans="1:11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1" s="8" customFormat="1" ht="12.75" x14ac:dyDescent="0.25">
      <c r="A4" s="7"/>
    </row>
    <row r="5" spans="1:11" s="8" customFormat="1" ht="15.75" x14ac:dyDescent="0.25">
      <c r="A5" s="7"/>
      <c r="B5" s="12" t="s">
        <v>9</v>
      </c>
      <c r="G5" s="13">
        <v>46252</v>
      </c>
    </row>
    <row r="6" spans="1:11" s="8" customFormat="1" thickBot="1" x14ac:dyDescent="0.3">
      <c r="A6" s="7"/>
      <c r="B6" s="14"/>
    </row>
    <row r="7" spans="1:11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1" s="8" customFormat="1" ht="14.25" x14ac:dyDescent="0.25">
      <c r="A8" s="42">
        <v>2</v>
      </c>
      <c r="B8" s="65"/>
      <c r="C8" s="27"/>
      <c r="D8" s="50"/>
      <c r="E8" s="50"/>
      <c r="F8" s="50"/>
    </row>
    <row r="9" spans="1:11" s="8" customFormat="1" ht="14.25" x14ac:dyDescent="0.25">
      <c r="A9" s="41">
        <v>3</v>
      </c>
      <c r="B9" s="65"/>
      <c r="C9" s="27"/>
      <c r="D9" s="44"/>
      <c r="E9" s="44"/>
      <c r="F9" s="50"/>
    </row>
    <row r="10" spans="1:11" s="8" customFormat="1" ht="14.25" x14ac:dyDescent="0.25">
      <c r="A10" s="42">
        <v>4</v>
      </c>
      <c r="B10" s="51"/>
      <c r="C10" s="27"/>
      <c r="D10" s="50"/>
      <c r="E10" s="50"/>
      <c r="F10" s="50"/>
    </row>
    <row r="11" spans="1:11" s="8" customFormat="1" ht="14.25" x14ac:dyDescent="0.25">
      <c r="A11" s="42">
        <v>5</v>
      </c>
      <c r="B11" s="51"/>
      <c r="C11" s="27"/>
      <c r="D11" s="50"/>
      <c r="E11" s="64"/>
      <c r="F11" s="50"/>
    </row>
    <row r="12" spans="1:11" s="8" customFormat="1" ht="14.25" x14ac:dyDescent="0.25">
      <c r="A12" s="41">
        <v>6</v>
      </c>
      <c r="B12" s="51"/>
      <c r="C12" s="27"/>
      <c r="D12" s="50"/>
      <c r="E12" s="64"/>
      <c r="F12" s="50"/>
      <c r="K12" s="8" t="s">
        <v>42</v>
      </c>
    </row>
    <row r="13" spans="1:11" s="8" customFormat="1" ht="14.25" x14ac:dyDescent="0.25">
      <c r="A13" s="41">
        <v>7</v>
      </c>
      <c r="B13" s="51"/>
      <c r="C13" s="27"/>
      <c r="D13" s="44"/>
      <c r="E13" s="44"/>
      <c r="F13" s="41"/>
    </row>
    <row r="14" spans="1:11" s="8" customFormat="1" ht="14.25" x14ac:dyDescent="0.25">
      <c r="A14" s="42">
        <v>8</v>
      </c>
      <c r="B14" s="41"/>
      <c r="C14" s="27"/>
      <c r="D14" s="44"/>
      <c r="E14" s="44"/>
      <c r="F14" s="41"/>
    </row>
    <row r="15" spans="1:11" ht="15.75" x14ac:dyDescent="0.25">
      <c r="A15" s="7"/>
      <c r="B15" s="25"/>
      <c r="C15" s="8"/>
      <c r="D15" s="8"/>
      <c r="E15" s="8"/>
      <c r="F15" s="8"/>
      <c r="G15" s="25"/>
    </row>
    <row r="16" spans="1:11" ht="15.75" x14ac:dyDescent="0.25">
      <c r="A16" s="7"/>
      <c r="B16" s="12" t="s">
        <v>16</v>
      </c>
      <c r="G16" s="25"/>
    </row>
    <row r="17" spans="1:14" ht="15.75" thickBot="1" x14ac:dyDescent="0.3">
      <c r="A17" s="7"/>
      <c r="B17" s="14"/>
      <c r="C17" s="8"/>
      <c r="D17" s="8"/>
      <c r="E17" s="8"/>
      <c r="F17" s="8"/>
      <c r="G17" s="8"/>
    </row>
    <row r="18" spans="1:14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14" ht="15.75" customHeight="1" x14ac:dyDescent="0.25">
      <c r="A19" s="36">
        <v>1</v>
      </c>
      <c r="B19" s="27">
        <v>46252</v>
      </c>
      <c r="C19" s="38" t="s">
        <v>241</v>
      </c>
      <c r="D19" s="53" t="s">
        <v>96</v>
      </c>
      <c r="E19" s="54">
        <v>45022</v>
      </c>
      <c r="F19" s="28">
        <v>20</v>
      </c>
    </row>
    <row r="20" spans="1:14" ht="15.75" customHeight="1" x14ac:dyDescent="0.25">
      <c r="A20" s="36">
        <v>2</v>
      </c>
      <c r="B20" s="27">
        <v>46252</v>
      </c>
      <c r="C20" s="38" t="s">
        <v>244</v>
      </c>
      <c r="D20" s="54" t="s">
        <v>98</v>
      </c>
      <c r="E20" s="54">
        <v>45029</v>
      </c>
      <c r="F20" s="29">
        <v>20</v>
      </c>
    </row>
    <row r="21" spans="1:14" ht="15.75" customHeight="1" x14ac:dyDescent="0.25">
      <c r="A21" s="36">
        <v>3</v>
      </c>
      <c r="B21" s="27">
        <v>46252</v>
      </c>
      <c r="C21" s="38" t="s">
        <v>246</v>
      </c>
      <c r="D21" s="54" t="s">
        <v>99</v>
      </c>
      <c r="E21" s="54">
        <v>45023</v>
      </c>
      <c r="F21" s="29">
        <v>20</v>
      </c>
      <c r="G21" s="24" t="s">
        <v>42</v>
      </c>
      <c r="J21" s="67"/>
      <c r="K21" s="67"/>
      <c r="L21" s="67"/>
      <c r="M21" s="67"/>
      <c r="N21" s="67"/>
    </row>
    <row r="22" spans="1:14" ht="15.75" customHeight="1" x14ac:dyDescent="0.25">
      <c r="A22" s="36">
        <v>4</v>
      </c>
      <c r="B22" s="27">
        <v>46252</v>
      </c>
      <c r="C22" s="38" t="s">
        <v>242</v>
      </c>
      <c r="D22" s="54" t="s">
        <v>100</v>
      </c>
      <c r="E22" s="53">
        <v>45113</v>
      </c>
      <c r="F22" s="29">
        <v>20</v>
      </c>
      <c r="J22" s="67"/>
      <c r="K22" s="68"/>
      <c r="L22" s="67"/>
      <c r="M22" s="67"/>
      <c r="N22" s="67"/>
    </row>
    <row r="23" spans="1:14" ht="15.75" customHeight="1" x14ac:dyDescent="0.25">
      <c r="A23" s="36">
        <v>5</v>
      </c>
      <c r="B23" s="27">
        <v>46252</v>
      </c>
      <c r="C23" s="38" t="s">
        <v>245</v>
      </c>
      <c r="D23" s="41" t="s">
        <v>101</v>
      </c>
      <c r="E23" s="50">
        <v>45063</v>
      </c>
      <c r="F23" s="29">
        <v>20</v>
      </c>
    </row>
    <row r="24" spans="1:14" ht="15.75" customHeight="1" x14ac:dyDescent="0.25">
      <c r="A24" s="36">
        <v>6</v>
      </c>
      <c r="B24" s="27">
        <v>46252</v>
      </c>
      <c r="C24" s="38" t="s">
        <v>243</v>
      </c>
      <c r="D24" s="54" t="s">
        <v>102</v>
      </c>
      <c r="E24" s="53">
        <v>45035</v>
      </c>
      <c r="F24" s="29">
        <v>20</v>
      </c>
    </row>
    <row r="25" spans="1:14" ht="15.75" customHeight="1" x14ac:dyDescent="0.25">
      <c r="A25" s="36">
        <v>7</v>
      </c>
      <c r="B25" s="27">
        <v>46252</v>
      </c>
      <c r="C25" s="38" t="s">
        <v>240</v>
      </c>
      <c r="D25" s="52" t="s">
        <v>103</v>
      </c>
      <c r="E25" s="53">
        <v>45069</v>
      </c>
      <c r="F25" s="29">
        <v>20</v>
      </c>
    </row>
    <row r="26" spans="1:14" ht="15.75" customHeight="1" x14ac:dyDescent="0.25">
      <c r="A26" s="36">
        <v>8</v>
      </c>
      <c r="B26" s="27"/>
      <c r="C26" s="28"/>
      <c r="D26" s="44"/>
      <c r="E26" s="41"/>
      <c r="F26" s="29"/>
    </row>
    <row r="27" spans="1:14" x14ac:dyDescent="0.25">
      <c r="A27" s="36">
        <v>9</v>
      </c>
      <c r="B27" s="27"/>
      <c r="C27" s="41"/>
      <c r="D27" s="44"/>
      <c r="E27" s="41"/>
      <c r="F27" s="29"/>
    </row>
    <row r="28" spans="1:14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14" ht="15.75" x14ac:dyDescent="0.25">
      <c r="A29" s="7"/>
      <c r="B29" s="12"/>
      <c r="C29" s="8"/>
      <c r="D29" s="45"/>
      <c r="E29" s="8"/>
      <c r="F29" s="8"/>
      <c r="G29" s="25"/>
    </row>
    <row r="30" spans="1:14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14" ht="15.75" thickBot="1" x14ac:dyDescent="0.3">
      <c r="A31" s="7"/>
      <c r="B31" s="14"/>
      <c r="C31" s="8"/>
      <c r="D31" s="8"/>
      <c r="E31" s="8"/>
      <c r="F31" s="8"/>
      <c r="G31" s="8"/>
    </row>
    <row r="32" spans="1:14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ht="15.75" customHeight="1" x14ac:dyDescent="0.25">
      <c r="A33" s="41">
        <v>1</v>
      </c>
      <c r="B33" s="27">
        <v>46252</v>
      </c>
      <c r="C33" s="50" t="s">
        <v>238</v>
      </c>
      <c r="D33" s="64" t="s">
        <v>239</v>
      </c>
      <c r="E33" s="29">
        <v>3510</v>
      </c>
      <c r="F33" s="29">
        <v>40</v>
      </c>
    </row>
    <row r="34" spans="1:6" ht="15.75" customHeight="1" x14ac:dyDescent="0.25">
      <c r="A34" s="41">
        <v>2</v>
      </c>
      <c r="B34" s="27"/>
      <c r="C34" s="52"/>
      <c r="D34" s="52"/>
      <c r="E34" s="29"/>
      <c r="F34" s="29"/>
    </row>
    <row r="35" spans="1:6" ht="15.75" customHeight="1" x14ac:dyDescent="0.25">
      <c r="A35" s="41">
        <v>3</v>
      </c>
      <c r="B35" s="27"/>
      <c r="C35" s="52"/>
      <c r="D35" s="52"/>
      <c r="E35" s="29"/>
      <c r="F35" s="29"/>
    </row>
    <row r="36" spans="1:6" ht="15.75" customHeight="1" x14ac:dyDescent="0.25">
      <c r="A36" s="41">
        <v>4</v>
      </c>
      <c r="B36" s="27"/>
      <c r="C36" s="58"/>
      <c r="D36" s="58"/>
      <c r="E36" s="29"/>
      <c r="F36" s="59"/>
    </row>
    <row r="37" spans="1:6" ht="15.75" customHeight="1" x14ac:dyDescent="0.25">
      <c r="A37" s="36">
        <v>5</v>
      </c>
      <c r="B37" s="27"/>
      <c r="C37" s="60"/>
      <c r="D37" s="59"/>
      <c r="E37" s="29"/>
      <c r="F37" s="59"/>
    </row>
    <row r="38" spans="1:6" ht="15.75" customHeight="1" x14ac:dyDescent="0.25">
      <c r="A38" s="36">
        <v>6</v>
      </c>
      <c r="B38" s="27"/>
      <c r="C38" s="59"/>
      <c r="D38" s="59"/>
      <c r="E38" s="29"/>
      <c r="F38" s="59"/>
    </row>
    <row r="39" spans="1:6" ht="15.75" customHeight="1" x14ac:dyDescent="0.25">
      <c r="A39" s="36">
        <v>7</v>
      </c>
      <c r="B39" s="27"/>
      <c r="C39" s="59"/>
      <c r="D39" s="59"/>
      <c r="E39" s="41"/>
      <c r="F39" s="59"/>
    </row>
    <row r="40" spans="1:6" x14ac:dyDescent="0.25">
      <c r="A40" s="36">
        <v>8</v>
      </c>
      <c r="B40" s="27"/>
      <c r="C40" s="44"/>
      <c r="D40" s="44"/>
      <c r="E40" s="40"/>
      <c r="F40" s="40"/>
    </row>
  </sheetData>
  <mergeCells count="1">
    <mergeCell ref="A3:H3"/>
  </mergeCells>
  <dataValidations count="2">
    <dataValidation type="list" allowBlank="1" showInputMessage="1" showErrorMessage="1" sqref="F9:F10" xr:uid="{ACC5E037-A2C0-4A11-9BA7-E44773680D64}">
      <formula1>"20,40,45,50,GROUPAGE"</formula1>
    </dataValidation>
    <dataValidation type="list" allowBlank="1" showInputMessage="1" showErrorMessage="1" sqref="F8 F11:F14 F36:F39" xr:uid="{59045BBE-9353-47F8-A200-F91EF79F386C}">
      <formula1>"20,40,45,50"</formula1>
      <formula2>0</formula2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E964-A868-4917-85D1-08A2F01084AC}">
  <dimension ref="A1:S40"/>
  <sheetViews>
    <sheetView workbookViewId="0">
      <selection activeCell="F1" sqref="F1:J2"/>
    </sheetView>
  </sheetViews>
  <sheetFormatPr baseColWidth="10" defaultRowHeight="15" x14ac:dyDescent="0.25"/>
  <cols>
    <col min="1" max="1" width="3.140625" style="24" bestFit="1" customWidth="1"/>
    <col min="2" max="2" width="13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3.85546875" style="24" bestFit="1" customWidth="1"/>
    <col min="7" max="7" width="12.140625" style="24" bestFit="1" customWidth="1"/>
    <col min="8" max="16384" width="11.42578125" style="24"/>
  </cols>
  <sheetData>
    <row r="1" spans="1:11" s="8" customFormat="1" ht="24.95" customHeight="1" x14ac:dyDescent="0.25">
      <c r="A1" s="7"/>
      <c r="H1" s="9">
        <f>COUNTIF(C8:C14,"&lt;&gt;")</f>
        <v>5</v>
      </c>
      <c r="I1" s="10" t="s">
        <v>6</v>
      </c>
    </row>
    <row r="2" spans="1:11" s="8" customFormat="1" ht="15.75" x14ac:dyDescent="0.25">
      <c r="A2" s="7"/>
      <c r="F2" s="9">
        <f>COUNTIFS(B19:B22,"&lt;&gt;",C19:C22,"VH")</f>
        <v>0</v>
      </c>
      <c r="G2" s="10" t="s">
        <v>7</v>
      </c>
      <c r="H2" s="9">
        <f>COUNTA(C19:C28)-F2</f>
        <v>8</v>
      </c>
      <c r="I2" s="10" t="s">
        <v>6</v>
      </c>
      <c r="J2" s="11">
        <f>COUNTIF(H19:H24,"VIDE")</f>
        <v>0</v>
      </c>
    </row>
    <row r="3" spans="1:11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1" s="8" customFormat="1" ht="12.75" x14ac:dyDescent="0.25">
      <c r="A4" s="7"/>
    </row>
    <row r="5" spans="1:11" s="8" customFormat="1" ht="15.75" x14ac:dyDescent="0.25">
      <c r="A5" s="7"/>
      <c r="B5" s="12" t="s">
        <v>9</v>
      </c>
      <c r="G5" s="13">
        <v>46253</v>
      </c>
    </row>
    <row r="6" spans="1:11" s="8" customFormat="1" thickBot="1" x14ac:dyDescent="0.3">
      <c r="A6" s="7"/>
      <c r="B6" s="14"/>
    </row>
    <row r="7" spans="1:11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1" s="8" customFormat="1" ht="14.25" x14ac:dyDescent="0.25">
      <c r="A8" s="42">
        <v>2</v>
      </c>
      <c r="B8" s="71" t="s">
        <v>257</v>
      </c>
      <c r="C8" s="27">
        <v>46253</v>
      </c>
      <c r="D8" s="44" t="s">
        <v>247</v>
      </c>
      <c r="E8" s="44" t="s">
        <v>248</v>
      </c>
      <c r="F8" s="50" t="s">
        <v>86</v>
      </c>
    </row>
    <row r="9" spans="1:11" s="8" customFormat="1" ht="14.25" x14ac:dyDescent="0.25">
      <c r="A9" s="41">
        <v>3</v>
      </c>
      <c r="B9" s="71"/>
      <c r="C9" s="27">
        <v>46253</v>
      </c>
      <c r="D9" s="50" t="s">
        <v>249</v>
      </c>
      <c r="E9" s="50" t="s">
        <v>250</v>
      </c>
      <c r="F9" s="50" t="s">
        <v>86</v>
      </c>
    </row>
    <row r="10" spans="1:11" s="8" customFormat="1" ht="14.25" x14ac:dyDescent="0.25">
      <c r="A10" s="42">
        <v>4</v>
      </c>
      <c r="B10" s="51" t="s">
        <v>258</v>
      </c>
      <c r="C10" s="27">
        <v>46253</v>
      </c>
      <c r="D10" s="50" t="s">
        <v>251</v>
      </c>
      <c r="E10" s="50" t="s">
        <v>252</v>
      </c>
      <c r="F10" s="50" t="s">
        <v>95</v>
      </c>
    </row>
    <row r="11" spans="1:11" s="8" customFormat="1" ht="14.25" x14ac:dyDescent="0.25">
      <c r="A11" s="42">
        <v>5</v>
      </c>
      <c r="B11" s="51" t="s">
        <v>259</v>
      </c>
      <c r="C11" s="27">
        <v>46253</v>
      </c>
      <c r="D11" s="50" t="s">
        <v>253</v>
      </c>
      <c r="E11" s="50" t="s">
        <v>254</v>
      </c>
      <c r="F11" s="50" t="s">
        <v>97</v>
      </c>
    </row>
    <row r="12" spans="1:11" s="8" customFormat="1" ht="14.25" x14ac:dyDescent="0.25">
      <c r="A12" s="41">
        <v>6</v>
      </c>
      <c r="B12" s="51" t="s">
        <v>260</v>
      </c>
      <c r="C12" s="27">
        <v>46253</v>
      </c>
      <c r="D12" s="50" t="s">
        <v>255</v>
      </c>
      <c r="E12" s="50" t="s">
        <v>256</v>
      </c>
      <c r="F12" s="50">
        <v>40</v>
      </c>
      <c r="K12" s="8" t="s">
        <v>42</v>
      </c>
    </row>
    <row r="13" spans="1:11" s="8" customFormat="1" ht="14.25" x14ac:dyDescent="0.25">
      <c r="A13" s="41">
        <v>7</v>
      </c>
      <c r="B13" s="51"/>
      <c r="C13" s="27"/>
      <c r="D13" s="44"/>
      <c r="E13" s="44"/>
      <c r="F13" s="41"/>
    </row>
    <row r="14" spans="1:11" s="8" customFormat="1" ht="14.25" x14ac:dyDescent="0.25">
      <c r="A14" s="42">
        <v>8</v>
      </c>
      <c r="B14" s="41"/>
      <c r="C14" s="27"/>
      <c r="D14" s="44"/>
      <c r="E14" s="44"/>
      <c r="F14" s="41"/>
    </row>
    <row r="15" spans="1:11" ht="15.75" x14ac:dyDescent="0.25">
      <c r="A15" s="7"/>
      <c r="B15" s="25"/>
      <c r="C15" s="8"/>
      <c r="D15" s="8"/>
      <c r="E15" s="8"/>
      <c r="F15" s="8"/>
      <c r="G15" s="25"/>
    </row>
    <row r="16" spans="1:11" ht="15.75" x14ac:dyDescent="0.25">
      <c r="A16" s="7"/>
      <c r="B16" s="12" t="s">
        <v>16</v>
      </c>
      <c r="G16" s="25"/>
    </row>
    <row r="17" spans="1:19" ht="15.75" thickBot="1" x14ac:dyDescent="0.3">
      <c r="A17" s="7"/>
      <c r="B17" s="14"/>
      <c r="C17" s="8"/>
      <c r="D17" s="8"/>
      <c r="E17" s="8"/>
      <c r="F17" s="8"/>
      <c r="G17" s="8"/>
    </row>
    <row r="18" spans="1:19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19" ht="15.75" customHeight="1" x14ac:dyDescent="0.25">
      <c r="A19" s="36">
        <v>1</v>
      </c>
      <c r="B19" s="27">
        <v>46253</v>
      </c>
      <c r="C19" s="38" t="s">
        <v>261</v>
      </c>
      <c r="D19" s="50" t="s">
        <v>228</v>
      </c>
      <c r="E19" s="50">
        <v>3958</v>
      </c>
      <c r="F19" s="50" t="s">
        <v>97</v>
      </c>
    </row>
    <row r="20" spans="1:19" ht="15.75" customHeight="1" x14ac:dyDescent="0.25">
      <c r="A20" s="36">
        <v>2</v>
      </c>
      <c r="B20" s="27">
        <v>46253</v>
      </c>
      <c r="C20" s="38" t="s">
        <v>262</v>
      </c>
      <c r="D20" s="41" t="s">
        <v>238</v>
      </c>
      <c r="E20" s="41">
        <v>3510</v>
      </c>
      <c r="F20" s="29">
        <v>40</v>
      </c>
    </row>
    <row r="21" spans="1:19" ht="15.75" customHeight="1" x14ac:dyDescent="0.25">
      <c r="A21" s="36">
        <v>3</v>
      </c>
      <c r="B21" s="27">
        <v>46253</v>
      </c>
      <c r="C21" s="38" t="s">
        <v>266</v>
      </c>
      <c r="D21" s="44" t="s">
        <v>182</v>
      </c>
      <c r="E21" s="29">
        <v>3516</v>
      </c>
      <c r="F21" s="29">
        <v>40</v>
      </c>
      <c r="G21" s="24" t="s">
        <v>42</v>
      </c>
      <c r="J21" s="67"/>
      <c r="K21" s="67"/>
      <c r="L21" s="67"/>
      <c r="M21" s="67"/>
      <c r="N21" s="67"/>
    </row>
    <row r="22" spans="1:19" ht="15.75" customHeight="1" x14ac:dyDescent="0.25">
      <c r="A22" s="36">
        <v>4</v>
      </c>
      <c r="B22" s="27">
        <v>46253</v>
      </c>
      <c r="C22" s="38" t="s">
        <v>265</v>
      </c>
      <c r="D22" s="50" t="s">
        <v>184</v>
      </c>
      <c r="E22" s="29">
        <v>3517</v>
      </c>
      <c r="F22" s="29">
        <v>40</v>
      </c>
      <c r="J22" s="67"/>
      <c r="K22" s="68"/>
      <c r="L22" s="67"/>
      <c r="M22" s="67"/>
      <c r="N22" s="67"/>
    </row>
    <row r="23" spans="1:19" ht="15.75" customHeight="1" x14ac:dyDescent="0.25">
      <c r="A23" s="36">
        <v>5</v>
      </c>
      <c r="B23" s="27">
        <v>46253</v>
      </c>
      <c r="C23" s="38" t="s">
        <v>264</v>
      </c>
      <c r="D23" s="50" t="s">
        <v>186</v>
      </c>
      <c r="E23" s="29">
        <v>3518</v>
      </c>
      <c r="F23" s="29">
        <v>40</v>
      </c>
    </row>
    <row r="24" spans="1:19" ht="15.75" customHeight="1" x14ac:dyDescent="0.25">
      <c r="A24" s="36">
        <v>6</v>
      </c>
      <c r="B24" s="27">
        <v>46253</v>
      </c>
      <c r="C24" s="38" t="s">
        <v>263</v>
      </c>
      <c r="D24" s="50" t="s">
        <v>188</v>
      </c>
      <c r="E24" s="41">
        <v>3519</v>
      </c>
      <c r="F24" s="29">
        <v>40</v>
      </c>
      <c r="M24" s="67"/>
      <c r="O24" s="67"/>
      <c r="P24" s="67"/>
      <c r="Q24"/>
      <c r="R24"/>
      <c r="S24"/>
    </row>
    <row r="25" spans="1:19" ht="15.75" customHeight="1" x14ac:dyDescent="0.25">
      <c r="A25" s="36">
        <v>7</v>
      </c>
      <c r="B25" s="27">
        <v>46253</v>
      </c>
      <c r="C25" s="38" t="s">
        <v>268</v>
      </c>
      <c r="D25" s="43" t="s">
        <v>121</v>
      </c>
      <c r="E25" s="50">
        <v>3511</v>
      </c>
      <c r="F25" s="29">
        <v>45</v>
      </c>
      <c r="M25" s="67"/>
      <c r="N25" s="68"/>
      <c r="O25" s="67"/>
      <c r="P25" s="67"/>
      <c r="R25" s="67"/>
      <c r="S25" s="67"/>
    </row>
    <row r="26" spans="1:19" ht="15.75" customHeight="1" x14ac:dyDescent="0.25">
      <c r="A26" s="36">
        <v>8</v>
      </c>
      <c r="B26" s="27">
        <v>46253</v>
      </c>
      <c r="C26" s="28" t="s">
        <v>267</v>
      </c>
      <c r="D26" s="39" t="s">
        <v>123</v>
      </c>
      <c r="E26" s="29">
        <v>3512</v>
      </c>
      <c r="F26" s="29">
        <v>45</v>
      </c>
      <c r="L26" s="67"/>
      <c r="M26" s="68"/>
      <c r="N26" s="67"/>
      <c r="O26" s="67"/>
      <c r="Q26"/>
      <c r="R26"/>
    </row>
    <row r="27" spans="1:19" x14ac:dyDescent="0.25">
      <c r="A27" s="36">
        <v>9</v>
      </c>
      <c r="B27" s="27"/>
      <c r="C27" s="41"/>
      <c r="D27" s="44"/>
      <c r="E27" s="41"/>
      <c r="F27" s="29"/>
    </row>
    <row r="28" spans="1:19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19" ht="15.75" x14ac:dyDescent="0.25">
      <c r="A29" s="7"/>
      <c r="B29" s="12"/>
      <c r="C29" s="8"/>
      <c r="D29" s="45"/>
      <c r="E29" s="8"/>
      <c r="F29" s="8"/>
      <c r="G29" s="25"/>
    </row>
    <row r="30" spans="1:19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19" ht="15.75" thickBot="1" x14ac:dyDescent="0.3">
      <c r="A31" s="7"/>
      <c r="B31" s="14"/>
      <c r="C31" s="8"/>
      <c r="D31" s="8"/>
      <c r="E31" s="8"/>
      <c r="F31" s="8"/>
      <c r="G31" s="8"/>
    </row>
    <row r="32" spans="1:19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ht="15.75" customHeight="1" x14ac:dyDescent="0.25">
      <c r="A33" s="41">
        <v>1</v>
      </c>
      <c r="B33" s="27">
        <v>46253</v>
      </c>
      <c r="C33" s="39" t="s">
        <v>137</v>
      </c>
      <c r="D33" s="28" t="s">
        <v>138</v>
      </c>
      <c r="E33" s="38">
        <v>3506</v>
      </c>
      <c r="F33" s="28">
        <v>40</v>
      </c>
    </row>
    <row r="34" spans="1:6" ht="15.75" customHeight="1" x14ac:dyDescent="0.25">
      <c r="A34" s="41">
        <v>2</v>
      </c>
      <c r="B34" s="27">
        <v>46253</v>
      </c>
      <c r="C34" s="39" t="s">
        <v>139</v>
      </c>
      <c r="D34" s="28" t="s">
        <v>140</v>
      </c>
      <c r="E34" s="38">
        <v>3505</v>
      </c>
      <c r="F34" s="28">
        <v>40</v>
      </c>
    </row>
    <row r="35" spans="1:6" ht="15.75" customHeight="1" x14ac:dyDescent="0.25">
      <c r="A35" s="41">
        <v>3</v>
      </c>
      <c r="B35" s="27">
        <v>46253</v>
      </c>
      <c r="C35" s="44" t="s">
        <v>133</v>
      </c>
      <c r="D35" s="39" t="s">
        <v>134</v>
      </c>
      <c r="E35" s="28">
        <v>3509</v>
      </c>
      <c r="F35" s="38">
        <v>40</v>
      </c>
    </row>
    <row r="36" spans="1:6" ht="15.75" customHeight="1" x14ac:dyDescent="0.25">
      <c r="A36" s="41">
        <v>4</v>
      </c>
      <c r="B36" s="27">
        <v>46253</v>
      </c>
      <c r="C36" s="44" t="s">
        <v>135</v>
      </c>
      <c r="D36" s="39" t="s">
        <v>136</v>
      </c>
      <c r="E36" s="28">
        <v>3508</v>
      </c>
      <c r="F36" s="50">
        <v>40</v>
      </c>
    </row>
    <row r="37" spans="1:6" ht="15.75" customHeight="1" x14ac:dyDescent="0.25">
      <c r="A37" s="36">
        <v>5</v>
      </c>
      <c r="B37" s="27">
        <v>46253</v>
      </c>
      <c r="C37" s="50" t="s">
        <v>131</v>
      </c>
      <c r="D37" s="39" t="s">
        <v>132</v>
      </c>
      <c r="E37" s="28">
        <v>3507</v>
      </c>
      <c r="F37" s="50">
        <v>40</v>
      </c>
    </row>
    <row r="38" spans="1:6" ht="15.75" customHeight="1" x14ac:dyDescent="0.25">
      <c r="A38" s="36">
        <v>6</v>
      </c>
      <c r="B38" s="69"/>
      <c r="C38" s="50"/>
      <c r="D38" s="50"/>
      <c r="E38" s="38"/>
      <c r="F38" s="50"/>
    </row>
    <row r="39" spans="1:6" ht="15.75" customHeight="1" x14ac:dyDescent="0.25">
      <c r="A39" s="36">
        <v>7</v>
      </c>
      <c r="B39" s="27"/>
      <c r="C39" s="59"/>
      <c r="D39" s="59"/>
      <c r="E39" s="41"/>
      <c r="F39" s="59"/>
    </row>
    <row r="40" spans="1:6" x14ac:dyDescent="0.25">
      <c r="A40" s="36">
        <v>8</v>
      </c>
      <c r="B40" s="27"/>
      <c r="C40" s="44"/>
      <c r="D40" s="44"/>
      <c r="E40" s="40"/>
      <c r="F40" s="40"/>
    </row>
  </sheetData>
  <mergeCells count="2">
    <mergeCell ref="A3:H3"/>
    <mergeCell ref="B8:B9"/>
  </mergeCells>
  <dataValidations count="1">
    <dataValidation type="list" allowBlank="1" showInputMessage="1" showErrorMessage="1" sqref="F8:F14 F36:F39 F19" xr:uid="{7BC0F096-037C-46D4-82EE-AA4D89FADB78}">
      <formula1>"20,40,45,50"</formula1>
      <formula2>0</formula2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6B22-942E-4FE6-B0CD-F6BABABBED57}">
  <dimension ref="A1:S40"/>
  <sheetViews>
    <sheetView workbookViewId="0">
      <selection activeCell="F1" sqref="F1:J2"/>
    </sheetView>
  </sheetViews>
  <sheetFormatPr baseColWidth="10" defaultRowHeight="15" x14ac:dyDescent="0.25"/>
  <cols>
    <col min="1" max="1" width="3.140625" style="24" bestFit="1" customWidth="1"/>
    <col min="2" max="2" width="14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4" style="24" bestFit="1" customWidth="1"/>
    <col min="7" max="7" width="12.140625" style="24" bestFit="1" customWidth="1"/>
    <col min="8" max="16384" width="11.42578125" style="24"/>
  </cols>
  <sheetData>
    <row r="1" spans="1:11" s="8" customFormat="1" ht="24.95" customHeight="1" x14ac:dyDescent="0.25">
      <c r="A1" s="7"/>
      <c r="H1" s="9">
        <f>COUNTIF(C8:C14,"&lt;&gt;")</f>
        <v>0</v>
      </c>
      <c r="I1" s="10" t="s">
        <v>6</v>
      </c>
    </row>
    <row r="2" spans="1:11" s="8" customFormat="1" ht="15.75" x14ac:dyDescent="0.25">
      <c r="A2" s="7"/>
      <c r="F2" s="9">
        <f>COUNTIFS(B19:B22,"&lt;&gt;",C19:C22,"VH")</f>
        <v>0</v>
      </c>
      <c r="G2" s="10" t="s">
        <v>7</v>
      </c>
      <c r="H2" s="9">
        <f>COUNTA(C19:C28)-F2</f>
        <v>4</v>
      </c>
      <c r="I2" s="10" t="s">
        <v>6</v>
      </c>
      <c r="J2" s="11">
        <f>COUNTIF(H19:H24,"VIDE")</f>
        <v>0</v>
      </c>
    </row>
    <row r="3" spans="1:11" s="8" customFormat="1" ht="25.5" x14ac:dyDescent="0.25">
      <c r="A3" s="70" t="s">
        <v>8</v>
      </c>
      <c r="B3" s="70"/>
      <c r="C3" s="70"/>
      <c r="D3" s="70"/>
      <c r="E3" s="70"/>
      <c r="F3" s="70"/>
      <c r="G3" s="70"/>
      <c r="H3" s="70"/>
    </row>
    <row r="4" spans="1:11" s="8" customFormat="1" ht="12.75" x14ac:dyDescent="0.25">
      <c r="A4" s="7"/>
    </row>
    <row r="5" spans="1:11" s="8" customFormat="1" ht="15.75" x14ac:dyDescent="0.25">
      <c r="A5" s="7"/>
      <c r="B5" s="12" t="s">
        <v>9</v>
      </c>
      <c r="G5" s="13">
        <v>46254</v>
      </c>
    </row>
    <row r="6" spans="1:11" s="8" customFormat="1" thickBot="1" x14ac:dyDescent="0.3">
      <c r="A6" s="7"/>
      <c r="B6" s="14"/>
    </row>
    <row r="7" spans="1:11" s="8" customFormat="1" ht="14.25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</row>
    <row r="8" spans="1:11" s="8" customFormat="1" ht="14.25" x14ac:dyDescent="0.25">
      <c r="A8" s="42">
        <v>2</v>
      </c>
      <c r="B8" s="71"/>
      <c r="C8" s="27"/>
      <c r="D8" s="44"/>
      <c r="E8" s="44"/>
      <c r="F8" s="50"/>
    </row>
    <row r="9" spans="1:11" s="8" customFormat="1" ht="14.25" x14ac:dyDescent="0.25">
      <c r="A9" s="41">
        <v>3</v>
      </c>
      <c r="B9" s="71"/>
      <c r="C9" s="27"/>
      <c r="D9" s="50"/>
      <c r="E9" s="50"/>
      <c r="F9" s="50"/>
    </row>
    <row r="10" spans="1:11" s="8" customFormat="1" ht="14.25" x14ac:dyDescent="0.25">
      <c r="A10" s="42">
        <v>4</v>
      </c>
      <c r="B10" s="51"/>
      <c r="C10" s="27"/>
      <c r="D10" s="50"/>
      <c r="E10" s="50"/>
      <c r="F10" s="50"/>
    </row>
    <row r="11" spans="1:11" s="8" customFormat="1" ht="14.25" x14ac:dyDescent="0.25">
      <c r="A11" s="42">
        <v>5</v>
      </c>
      <c r="B11" s="51"/>
      <c r="C11" s="27"/>
      <c r="D11" s="50"/>
      <c r="E11" s="50"/>
      <c r="F11" s="50"/>
    </row>
    <row r="12" spans="1:11" s="8" customFormat="1" ht="14.25" x14ac:dyDescent="0.25">
      <c r="A12" s="41">
        <v>6</v>
      </c>
      <c r="B12" s="51"/>
      <c r="C12" s="27"/>
      <c r="D12" s="50"/>
      <c r="E12" s="50"/>
      <c r="F12" s="50"/>
      <c r="K12" s="8" t="s">
        <v>42</v>
      </c>
    </row>
    <row r="13" spans="1:11" s="8" customFormat="1" ht="14.25" x14ac:dyDescent="0.25">
      <c r="A13" s="41">
        <v>7</v>
      </c>
      <c r="B13" s="51"/>
      <c r="C13" s="27"/>
      <c r="D13" s="44"/>
      <c r="E13" s="44"/>
      <c r="F13" s="41"/>
    </row>
    <row r="14" spans="1:11" s="8" customFormat="1" ht="14.25" x14ac:dyDescent="0.25">
      <c r="A14" s="42">
        <v>8</v>
      </c>
      <c r="B14" s="41"/>
      <c r="C14" s="27"/>
      <c r="D14" s="44"/>
      <c r="E14" s="44"/>
      <c r="F14" s="41"/>
    </row>
    <row r="15" spans="1:11" ht="15.75" x14ac:dyDescent="0.25">
      <c r="A15" s="7"/>
      <c r="B15" s="25"/>
      <c r="C15" s="8"/>
      <c r="D15" s="8"/>
      <c r="E15" s="8"/>
      <c r="F15" s="8"/>
      <c r="G15" s="25"/>
    </row>
    <row r="16" spans="1:11" ht="15.75" x14ac:dyDescent="0.25">
      <c r="A16" s="7"/>
      <c r="B16" s="12" t="s">
        <v>16</v>
      </c>
      <c r="G16" s="25"/>
    </row>
    <row r="17" spans="1:19" ht="15.75" thickBot="1" x14ac:dyDescent="0.3">
      <c r="A17" s="7"/>
      <c r="B17" s="14"/>
      <c r="C17" s="8"/>
      <c r="D17" s="8"/>
      <c r="E17" s="8"/>
      <c r="F17" s="8"/>
      <c r="G17" s="8"/>
    </row>
    <row r="18" spans="1:19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19" ht="15.75" customHeight="1" x14ac:dyDescent="0.25">
      <c r="A19" s="36">
        <v>1</v>
      </c>
      <c r="B19" s="69">
        <v>46254</v>
      </c>
      <c r="C19" s="38" t="s">
        <v>273</v>
      </c>
      <c r="D19" s="41" t="s">
        <v>197</v>
      </c>
      <c r="E19" s="50">
        <v>3959</v>
      </c>
      <c r="F19" s="50">
        <v>40</v>
      </c>
    </row>
    <row r="20" spans="1:19" ht="15.75" customHeight="1" x14ac:dyDescent="0.25">
      <c r="A20" s="36">
        <v>2</v>
      </c>
      <c r="B20" s="69">
        <v>46254</v>
      </c>
      <c r="C20" s="38" t="s">
        <v>270</v>
      </c>
      <c r="D20" s="44" t="s">
        <v>131</v>
      </c>
      <c r="E20" s="44" t="s">
        <v>132</v>
      </c>
      <c r="F20" s="50">
        <v>40</v>
      </c>
    </row>
    <row r="21" spans="1:19" ht="15.75" customHeight="1" x14ac:dyDescent="0.25">
      <c r="A21" s="36">
        <v>3</v>
      </c>
      <c r="B21" s="69">
        <v>46254</v>
      </c>
      <c r="C21" s="38" t="s">
        <v>271</v>
      </c>
      <c r="D21" s="44" t="s">
        <v>133</v>
      </c>
      <c r="E21" s="44" t="s">
        <v>134</v>
      </c>
      <c r="F21" s="50">
        <v>40</v>
      </c>
      <c r="G21" s="24" t="s">
        <v>42</v>
      </c>
      <c r="J21" s="67"/>
      <c r="K21" s="67"/>
      <c r="L21" s="67"/>
      <c r="M21" s="67"/>
      <c r="N21" s="67"/>
    </row>
    <row r="22" spans="1:19" ht="15.75" customHeight="1" x14ac:dyDescent="0.25">
      <c r="A22" s="36">
        <v>4</v>
      </c>
      <c r="B22" s="69">
        <v>46254</v>
      </c>
      <c r="C22" s="38" t="s">
        <v>272</v>
      </c>
      <c r="D22" s="44" t="s">
        <v>135</v>
      </c>
      <c r="E22" s="44" t="s">
        <v>136</v>
      </c>
      <c r="F22" s="50">
        <v>40</v>
      </c>
      <c r="J22" s="67"/>
      <c r="K22" s="68"/>
      <c r="L22" s="67"/>
      <c r="M22" s="67"/>
      <c r="N22" s="67"/>
    </row>
    <row r="23" spans="1:19" ht="15.75" customHeight="1" x14ac:dyDescent="0.25">
      <c r="A23" s="36">
        <v>5</v>
      </c>
      <c r="B23" s="69"/>
      <c r="C23" s="38"/>
      <c r="D23" s="50"/>
      <c r="E23" s="38"/>
      <c r="F23" s="38"/>
    </row>
    <row r="24" spans="1:19" ht="15.75" customHeight="1" x14ac:dyDescent="0.25">
      <c r="A24" s="36">
        <v>6</v>
      </c>
      <c r="B24" s="27"/>
      <c r="C24" s="38"/>
      <c r="D24" s="50"/>
      <c r="E24" s="41"/>
      <c r="F24" s="29"/>
      <c r="M24" s="67"/>
      <c r="O24" s="67"/>
      <c r="P24" s="67"/>
      <c r="Q24"/>
      <c r="R24"/>
      <c r="S24"/>
    </row>
    <row r="25" spans="1:19" ht="15.75" customHeight="1" x14ac:dyDescent="0.25">
      <c r="A25" s="36">
        <v>7</v>
      </c>
      <c r="B25" s="27"/>
      <c r="C25" s="38"/>
      <c r="D25" s="43"/>
      <c r="E25" s="50"/>
      <c r="F25" s="29"/>
      <c r="M25" s="67"/>
      <c r="N25" s="68"/>
      <c r="O25" s="67"/>
      <c r="P25" s="67"/>
      <c r="R25" s="67"/>
      <c r="S25" s="67"/>
    </row>
    <row r="26" spans="1:19" ht="15.75" customHeight="1" x14ac:dyDescent="0.25">
      <c r="A26" s="36">
        <v>8</v>
      </c>
      <c r="B26" s="27"/>
      <c r="C26" s="28"/>
      <c r="D26" s="39"/>
      <c r="E26" s="29"/>
      <c r="F26" s="29"/>
      <c r="L26" s="67"/>
      <c r="M26" s="68"/>
      <c r="N26" s="67"/>
      <c r="O26" s="67"/>
      <c r="Q26"/>
      <c r="R26"/>
    </row>
    <row r="27" spans="1:19" x14ac:dyDescent="0.25">
      <c r="A27" s="36">
        <v>9</v>
      </c>
      <c r="B27" s="27"/>
      <c r="C27" s="41"/>
      <c r="D27" s="44"/>
      <c r="E27" s="41"/>
      <c r="F27" s="29"/>
    </row>
    <row r="28" spans="1:19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19" ht="15.75" x14ac:dyDescent="0.25">
      <c r="A29" s="7"/>
      <c r="B29" s="12"/>
      <c r="C29" s="8"/>
      <c r="D29" s="45"/>
      <c r="E29" s="8"/>
      <c r="F29" s="8"/>
      <c r="G29" s="25"/>
    </row>
    <row r="30" spans="1:19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19" ht="15.75" thickBot="1" x14ac:dyDescent="0.3">
      <c r="A31" s="7"/>
      <c r="B31" s="14"/>
      <c r="C31" s="8"/>
      <c r="D31" s="8"/>
      <c r="E31" s="8"/>
      <c r="F31" s="8"/>
      <c r="G31" s="8"/>
    </row>
    <row r="32" spans="1:19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ht="15.75" customHeight="1" x14ac:dyDescent="0.25">
      <c r="A33" s="41">
        <v>1</v>
      </c>
      <c r="B33" s="27">
        <v>46253</v>
      </c>
      <c r="C33" s="39" t="s">
        <v>269</v>
      </c>
      <c r="D33" s="64" t="s">
        <v>274</v>
      </c>
      <c r="E33" s="38">
        <v>3504</v>
      </c>
      <c r="F33" s="28">
        <v>20</v>
      </c>
    </row>
    <row r="34" spans="1:6" ht="15.75" customHeight="1" x14ac:dyDescent="0.25">
      <c r="A34" s="41">
        <v>2</v>
      </c>
      <c r="B34" s="27"/>
      <c r="C34" s="39"/>
      <c r="D34" s="28"/>
      <c r="E34" s="38"/>
      <c r="F34" s="28"/>
    </row>
    <row r="35" spans="1:6" ht="15.75" customHeight="1" x14ac:dyDescent="0.25">
      <c r="A35" s="41">
        <v>3</v>
      </c>
      <c r="B35" s="27"/>
      <c r="C35" s="44"/>
      <c r="D35" s="39"/>
      <c r="E35" s="28"/>
      <c r="F35" s="38"/>
    </row>
    <row r="36" spans="1:6" ht="15.75" customHeight="1" x14ac:dyDescent="0.25">
      <c r="A36" s="41">
        <v>4</v>
      </c>
      <c r="B36" s="27"/>
      <c r="C36" s="44"/>
      <c r="D36" s="39"/>
      <c r="E36" s="28"/>
      <c r="F36" s="50"/>
    </row>
    <row r="37" spans="1:6" ht="15.75" customHeight="1" x14ac:dyDescent="0.25">
      <c r="A37" s="36">
        <v>5</v>
      </c>
      <c r="B37" s="27"/>
      <c r="C37" s="50"/>
      <c r="D37" s="39"/>
      <c r="E37" s="28"/>
      <c r="F37" s="50"/>
    </row>
    <row r="38" spans="1:6" ht="15.75" customHeight="1" x14ac:dyDescent="0.25">
      <c r="A38" s="36">
        <v>6</v>
      </c>
      <c r="B38" s="69"/>
      <c r="C38" s="50"/>
      <c r="D38" s="50"/>
      <c r="E38" s="38"/>
      <c r="F38" s="50"/>
    </row>
    <row r="39" spans="1:6" ht="15.75" customHeight="1" x14ac:dyDescent="0.25">
      <c r="A39" s="36">
        <v>7</v>
      </c>
      <c r="B39" s="27"/>
      <c r="C39" s="59"/>
      <c r="D39" s="59"/>
      <c r="E39" s="41"/>
      <c r="F39" s="59"/>
    </row>
    <row r="40" spans="1:6" x14ac:dyDescent="0.25">
      <c r="A40" s="36">
        <v>8</v>
      </c>
      <c r="B40" s="27"/>
      <c r="C40" s="44"/>
      <c r="D40" s="44"/>
      <c r="E40" s="40"/>
      <c r="F40" s="40"/>
    </row>
  </sheetData>
  <mergeCells count="2">
    <mergeCell ref="A3:H3"/>
    <mergeCell ref="B8:B9"/>
  </mergeCells>
  <phoneticPr fontId="13" type="noConversion"/>
  <dataValidations count="1">
    <dataValidation type="list" allowBlank="1" showInputMessage="1" showErrorMessage="1" sqref="F8:F14 F36:F39 F19:F22" xr:uid="{B3C966D0-8377-48F4-BC74-CB6D2549356E}">
      <formula1>"20,40,45,50"</formula1>
      <formula2>0</formula2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D9A8-3757-4456-8DC3-1F82E70D5470}">
  <dimension ref="A1:J46"/>
  <sheetViews>
    <sheetView workbookViewId="0">
      <selection activeCell="H2" sqref="H2"/>
    </sheetView>
  </sheetViews>
  <sheetFormatPr baseColWidth="10" defaultRowHeight="15" x14ac:dyDescent="0.25"/>
  <cols>
    <col min="1" max="1" width="3.140625" style="24" bestFit="1" customWidth="1"/>
    <col min="2" max="2" width="14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4" style="24" bestFit="1" customWidth="1"/>
    <col min="7" max="7" width="12.140625" style="24" bestFit="1" customWidth="1"/>
    <col min="8" max="10" width="11.42578125" style="24"/>
  </cols>
  <sheetData>
    <row r="1" spans="1:10" ht="15.75" x14ac:dyDescent="0.25">
      <c r="A1" s="7"/>
      <c r="B1" s="8"/>
      <c r="C1" s="8"/>
      <c r="D1" s="8"/>
      <c r="E1" s="8"/>
      <c r="F1" s="8"/>
      <c r="G1" s="8"/>
      <c r="H1" s="9">
        <f>COUNTIF(C8:C14,"&lt;&gt;")</f>
        <v>0</v>
      </c>
      <c r="I1" s="10" t="s">
        <v>6</v>
      </c>
      <c r="J1" s="8"/>
    </row>
    <row r="2" spans="1:10" ht="15.75" x14ac:dyDescent="0.25">
      <c r="A2" s="7"/>
      <c r="B2" s="8"/>
      <c r="C2" s="8"/>
      <c r="D2" s="8"/>
      <c r="E2" s="8"/>
      <c r="F2" s="9">
        <f>COUNTIFS(B19:B22,"&lt;&gt;",C19:C22,"VH")</f>
        <v>0</v>
      </c>
      <c r="G2" s="10" t="s">
        <v>7</v>
      </c>
      <c r="H2" s="9">
        <f>COUNTA(C19:C28)-F2</f>
        <v>2</v>
      </c>
      <c r="I2" s="10" t="s">
        <v>6</v>
      </c>
      <c r="J2" s="11">
        <f>COUNTIF(H19:H24,"VIDE")</f>
        <v>0</v>
      </c>
    </row>
    <row r="3" spans="1:10" ht="25.5" x14ac:dyDescent="0.25">
      <c r="A3" s="70" t="s">
        <v>8</v>
      </c>
      <c r="B3" s="70"/>
      <c r="C3" s="70"/>
      <c r="D3" s="70"/>
      <c r="E3" s="70"/>
      <c r="F3" s="70"/>
      <c r="G3" s="70"/>
      <c r="H3" s="70"/>
      <c r="I3" s="8"/>
      <c r="J3" s="8"/>
    </row>
    <row r="4" spans="1:10" x14ac:dyDescent="0.25">
      <c r="A4" s="7"/>
      <c r="B4" s="8"/>
      <c r="C4" s="8"/>
      <c r="D4" s="8"/>
      <c r="E4" s="8"/>
      <c r="F4" s="8"/>
      <c r="G4" s="8"/>
      <c r="H4" s="8"/>
      <c r="I4" s="8"/>
      <c r="J4" s="8"/>
    </row>
    <row r="5" spans="1:10" ht="15.75" x14ac:dyDescent="0.25">
      <c r="A5" s="7"/>
      <c r="B5" s="12" t="s">
        <v>9</v>
      </c>
      <c r="C5" s="8"/>
      <c r="D5" s="8"/>
      <c r="E5" s="8"/>
      <c r="F5" s="8"/>
      <c r="G5" s="13">
        <v>46257</v>
      </c>
      <c r="H5" s="8"/>
      <c r="I5" s="8"/>
      <c r="J5" s="8"/>
    </row>
    <row r="6" spans="1:10" ht="15.75" thickBot="1" x14ac:dyDescent="0.3">
      <c r="A6" s="7"/>
      <c r="B6" s="14"/>
      <c r="C6" s="8"/>
      <c r="D6" s="8"/>
      <c r="E6" s="8"/>
      <c r="F6" s="8"/>
      <c r="G6" s="8"/>
      <c r="H6" s="8"/>
      <c r="I6" s="8"/>
      <c r="J6" s="8"/>
    </row>
    <row r="7" spans="1:10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  <c r="G7" s="8"/>
      <c r="H7" s="8"/>
      <c r="I7" s="8"/>
      <c r="J7" s="8"/>
    </row>
    <row r="8" spans="1:10" x14ac:dyDescent="0.25">
      <c r="A8" s="42">
        <v>2</v>
      </c>
      <c r="B8" s="71"/>
      <c r="C8" s="27"/>
      <c r="D8" s="44"/>
      <c r="E8" s="44"/>
      <c r="F8" s="50"/>
      <c r="G8" s="8"/>
      <c r="H8" s="8"/>
      <c r="I8" s="8"/>
      <c r="J8" s="8"/>
    </row>
    <row r="9" spans="1:10" x14ac:dyDescent="0.25">
      <c r="A9" s="41">
        <v>3</v>
      </c>
      <c r="B9" s="71"/>
      <c r="C9" s="27"/>
      <c r="D9" s="50"/>
      <c r="E9" s="50"/>
      <c r="F9" s="50"/>
      <c r="G9" s="8"/>
      <c r="H9" s="8"/>
      <c r="I9" s="8"/>
      <c r="J9" s="8"/>
    </row>
    <row r="10" spans="1:10" x14ac:dyDescent="0.25">
      <c r="A10" s="42">
        <v>4</v>
      </c>
      <c r="B10" s="51"/>
      <c r="C10" s="27"/>
      <c r="D10" s="50"/>
      <c r="E10" s="50"/>
      <c r="F10" s="50"/>
      <c r="G10" s="8"/>
      <c r="H10" s="8"/>
      <c r="I10" s="8"/>
      <c r="J10" s="8"/>
    </row>
    <row r="11" spans="1:10" x14ac:dyDescent="0.25">
      <c r="A11" s="42">
        <v>5</v>
      </c>
      <c r="B11" s="51"/>
      <c r="C11" s="27"/>
      <c r="D11" s="50"/>
      <c r="E11" s="50"/>
      <c r="F11" s="50"/>
      <c r="G11" s="8"/>
      <c r="H11" s="8"/>
      <c r="I11" s="8"/>
      <c r="J11" s="8"/>
    </row>
    <row r="12" spans="1:10" x14ac:dyDescent="0.25">
      <c r="A12" s="41">
        <v>6</v>
      </c>
      <c r="B12" s="51"/>
      <c r="C12" s="27"/>
      <c r="D12" s="50"/>
      <c r="E12" s="50"/>
      <c r="F12" s="50"/>
      <c r="G12" s="8"/>
      <c r="H12" s="8"/>
      <c r="I12" s="8"/>
      <c r="J12" s="8"/>
    </row>
    <row r="13" spans="1:10" x14ac:dyDescent="0.25">
      <c r="A13" s="41">
        <v>7</v>
      </c>
      <c r="B13" s="51"/>
      <c r="C13" s="27"/>
      <c r="D13" s="44"/>
      <c r="E13" s="44"/>
      <c r="F13" s="41"/>
      <c r="G13" s="8"/>
      <c r="H13" s="8"/>
      <c r="I13" s="8"/>
      <c r="J13" s="8"/>
    </row>
    <row r="14" spans="1:10" x14ac:dyDescent="0.25">
      <c r="A14" s="42">
        <v>8</v>
      </c>
      <c r="B14" s="41"/>
      <c r="C14" s="27"/>
      <c r="D14" s="44"/>
      <c r="E14" s="44"/>
      <c r="F14" s="41"/>
      <c r="G14" s="8"/>
      <c r="H14" s="8"/>
      <c r="I14" s="8"/>
      <c r="J14" s="8"/>
    </row>
    <row r="15" spans="1:10" ht="15.75" x14ac:dyDescent="0.25">
      <c r="A15" s="7"/>
      <c r="B15" s="25"/>
      <c r="C15" s="8"/>
      <c r="D15" s="8"/>
      <c r="E15" s="8"/>
      <c r="F15" s="8"/>
      <c r="G15" s="25"/>
    </row>
    <row r="16" spans="1:10" ht="15.75" x14ac:dyDescent="0.25">
      <c r="A16" s="7"/>
      <c r="B16" s="12" t="s">
        <v>16</v>
      </c>
      <c r="G16" s="25"/>
    </row>
    <row r="17" spans="1:10" ht="15.75" thickBot="1" x14ac:dyDescent="0.3">
      <c r="A17" s="7"/>
      <c r="B17" s="14"/>
      <c r="C17" s="8"/>
      <c r="D17" s="8"/>
      <c r="E17" s="8"/>
      <c r="F17" s="8"/>
      <c r="G17" s="8"/>
    </row>
    <row r="18" spans="1:10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10" x14ac:dyDescent="0.25">
      <c r="A19" s="36">
        <v>1</v>
      </c>
      <c r="B19" s="69">
        <v>46257</v>
      </c>
      <c r="C19" s="28" t="s">
        <v>291</v>
      </c>
      <c r="D19" s="28" t="s">
        <v>217</v>
      </c>
      <c r="E19" s="50">
        <v>3960</v>
      </c>
      <c r="F19" s="50">
        <v>45</v>
      </c>
    </row>
    <row r="20" spans="1:10" x14ac:dyDescent="0.25">
      <c r="A20" s="36">
        <v>2</v>
      </c>
      <c r="B20" s="69">
        <v>46257</v>
      </c>
      <c r="C20" s="38" t="s">
        <v>292</v>
      </c>
      <c r="D20" s="28" t="s">
        <v>139</v>
      </c>
      <c r="E20" s="44">
        <v>3905</v>
      </c>
      <c r="F20" s="50">
        <v>40</v>
      </c>
    </row>
    <row r="21" spans="1:10" x14ac:dyDescent="0.25">
      <c r="A21" s="36">
        <v>3</v>
      </c>
      <c r="B21" s="69">
        <v>46257</v>
      </c>
      <c r="C21" s="38"/>
      <c r="D21" s="28" t="s">
        <v>137</v>
      </c>
      <c r="E21" s="44">
        <v>3906</v>
      </c>
      <c r="F21" s="50">
        <v>40</v>
      </c>
      <c r="G21" s="24" t="s">
        <v>42</v>
      </c>
      <c r="J21" s="67"/>
    </row>
    <row r="22" spans="1:10" x14ac:dyDescent="0.25">
      <c r="A22" s="36">
        <v>4</v>
      </c>
      <c r="B22" s="69"/>
      <c r="C22" s="38"/>
      <c r="D22" s="44"/>
      <c r="E22" s="44"/>
      <c r="F22" s="50"/>
      <c r="J22" s="67"/>
    </row>
    <row r="23" spans="1:10" x14ac:dyDescent="0.25">
      <c r="A23" s="36">
        <v>5</v>
      </c>
      <c r="B23" s="69"/>
      <c r="C23" s="38"/>
      <c r="D23" s="50"/>
      <c r="E23" s="38"/>
      <c r="F23" s="38"/>
    </row>
    <row r="24" spans="1:10" x14ac:dyDescent="0.25">
      <c r="A24" s="36">
        <v>6</v>
      </c>
      <c r="B24" s="27"/>
      <c r="C24" s="38"/>
      <c r="D24" s="50"/>
      <c r="E24" s="41"/>
      <c r="F24" s="29"/>
    </row>
    <row r="25" spans="1:10" x14ac:dyDescent="0.25">
      <c r="A25" s="36">
        <v>7</v>
      </c>
      <c r="B25" s="27"/>
      <c r="C25" s="38"/>
      <c r="D25" s="43"/>
      <c r="E25" s="50"/>
      <c r="F25" s="29"/>
    </row>
    <row r="26" spans="1:10" x14ac:dyDescent="0.25">
      <c r="A26" s="36">
        <v>8</v>
      </c>
      <c r="B26" s="27"/>
      <c r="C26" s="28"/>
      <c r="D26" s="39"/>
      <c r="E26" s="29"/>
      <c r="F26" s="29"/>
    </row>
    <row r="27" spans="1:10" x14ac:dyDescent="0.25">
      <c r="A27" s="36">
        <v>9</v>
      </c>
      <c r="B27" s="27"/>
      <c r="C27" s="41"/>
      <c r="D27" s="44"/>
      <c r="E27" s="41"/>
      <c r="F27" s="29"/>
    </row>
    <row r="28" spans="1:10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10" ht="15.75" x14ac:dyDescent="0.25">
      <c r="A29" s="7"/>
      <c r="B29" s="12"/>
      <c r="C29" s="8"/>
      <c r="D29" s="45"/>
      <c r="E29" s="8"/>
      <c r="F29" s="8"/>
      <c r="G29" s="25"/>
    </row>
    <row r="30" spans="1:10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10" ht="15.75" thickBot="1" x14ac:dyDescent="0.3">
      <c r="A31" s="7"/>
      <c r="B31" s="14"/>
      <c r="C31" s="8"/>
      <c r="D31" s="8"/>
      <c r="E31" s="8"/>
      <c r="F31" s="8"/>
      <c r="G31" s="8"/>
    </row>
    <row r="32" spans="1:10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x14ac:dyDescent="0.25">
      <c r="A33" s="41">
        <v>1</v>
      </c>
      <c r="B33" s="27">
        <v>46257</v>
      </c>
      <c r="C33" s="84" t="s">
        <v>275</v>
      </c>
      <c r="D33" s="44">
        <v>403430</v>
      </c>
      <c r="E33" s="38">
        <v>3561</v>
      </c>
      <c r="F33" s="28">
        <v>20</v>
      </c>
    </row>
    <row r="34" spans="1:6" x14ac:dyDescent="0.25">
      <c r="A34" s="41">
        <v>2</v>
      </c>
      <c r="B34" s="27">
        <v>46257</v>
      </c>
      <c r="C34" s="84" t="s">
        <v>276</v>
      </c>
      <c r="D34" s="44">
        <v>403420</v>
      </c>
      <c r="E34" s="38">
        <v>3562</v>
      </c>
      <c r="F34" s="28">
        <v>20</v>
      </c>
    </row>
    <row r="35" spans="1:6" x14ac:dyDescent="0.25">
      <c r="A35" s="41">
        <v>3</v>
      </c>
      <c r="B35" s="27">
        <v>46257</v>
      </c>
      <c r="C35" s="44" t="s">
        <v>277</v>
      </c>
      <c r="D35" s="44">
        <v>207502</v>
      </c>
      <c r="E35" s="38">
        <v>3564</v>
      </c>
      <c r="F35" s="28">
        <v>20</v>
      </c>
    </row>
    <row r="36" spans="1:6" x14ac:dyDescent="0.25">
      <c r="A36" s="41">
        <v>4</v>
      </c>
      <c r="B36" s="27">
        <v>46257</v>
      </c>
      <c r="C36" s="44" t="s">
        <v>278</v>
      </c>
      <c r="D36" s="44" t="s">
        <v>279</v>
      </c>
      <c r="E36" s="38">
        <v>3563</v>
      </c>
      <c r="F36" s="28">
        <v>20</v>
      </c>
    </row>
    <row r="37" spans="1:6" x14ac:dyDescent="0.25">
      <c r="A37" s="41">
        <v>5</v>
      </c>
      <c r="B37" s="27">
        <v>46257</v>
      </c>
      <c r="C37" s="44" t="s">
        <v>280</v>
      </c>
      <c r="D37" s="44">
        <v>482341</v>
      </c>
      <c r="E37" s="38">
        <v>3565</v>
      </c>
      <c r="F37" s="28">
        <v>20</v>
      </c>
    </row>
    <row r="38" spans="1:6" x14ac:dyDescent="0.25">
      <c r="A38" s="41">
        <v>6</v>
      </c>
      <c r="B38" s="27">
        <v>46257</v>
      </c>
      <c r="C38" s="44" t="s">
        <v>281</v>
      </c>
      <c r="D38" s="44">
        <v>482345</v>
      </c>
      <c r="E38" s="38">
        <v>3566</v>
      </c>
      <c r="F38" s="28">
        <v>20</v>
      </c>
    </row>
    <row r="39" spans="1:6" x14ac:dyDescent="0.25">
      <c r="A39" s="41">
        <v>7</v>
      </c>
      <c r="B39" s="27">
        <v>46257</v>
      </c>
      <c r="C39" s="44" t="s">
        <v>282</v>
      </c>
      <c r="D39" s="44">
        <v>403418</v>
      </c>
      <c r="E39" s="38">
        <v>3567</v>
      </c>
      <c r="F39" s="28">
        <v>20</v>
      </c>
    </row>
    <row r="40" spans="1:6" x14ac:dyDescent="0.25">
      <c r="A40" s="41">
        <v>8</v>
      </c>
      <c r="B40" s="27">
        <v>46257</v>
      </c>
      <c r="C40" s="44" t="s">
        <v>289</v>
      </c>
      <c r="D40" s="44"/>
      <c r="E40" s="38">
        <v>3568</v>
      </c>
      <c r="F40" s="28">
        <v>20</v>
      </c>
    </row>
    <row r="41" spans="1:6" x14ac:dyDescent="0.25">
      <c r="A41" s="41">
        <v>9</v>
      </c>
      <c r="B41" s="27">
        <v>46257</v>
      </c>
      <c r="C41" s="44" t="s">
        <v>283</v>
      </c>
      <c r="D41" s="44">
        <v>534715</v>
      </c>
      <c r="E41" s="38">
        <v>3569</v>
      </c>
      <c r="F41" s="28">
        <v>20</v>
      </c>
    </row>
    <row r="42" spans="1:6" x14ac:dyDescent="0.25">
      <c r="A42" s="41">
        <v>10</v>
      </c>
      <c r="B42" s="27">
        <v>46257</v>
      </c>
      <c r="C42" s="44" t="s">
        <v>284</v>
      </c>
      <c r="D42" s="44">
        <v>482343</v>
      </c>
      <c r="E42" s="38">
        <v>3570</v>
      </c>
      <c r="F42" s="28">
        <v>20</v>
      </c>
    </row>
    <row r="43" spans="1:6" x14ac:dyDescent="0.25">
      <c r="A43" s="41">
        <v>11</v>
      </c>
      <c r="B43" s="27">
        <v>46257</v>
      </c>
      <c r="C43" s="44" t="s">
        <v>285</v>
      </c>
      <c r="D43" s="44">
        <v>403415</v>
      </c>
      <c r="E43" s="38">
        <v>3503</v>
      </c>
      <c r="F43" s="28">
        <v>20</v>
      </c>
    </row>
    <row r="44" spans="1:6" x14ac:dyDescent="0.25">
      <c r="A44" s="41">
        <v>12</v>
      </c>
      <c r="B44" s="27">
        <v>46257</v>
      </c>
      <c r="C44" s="44" t="s">
        <v>286</v>
      </c>
      <c r="D44" s="44">
        <v>403425</v>
      </c>
      <c r="E44" s="38">
        <v>3502</v>
      </c>
      <c r="F44" s="28">
        <v>20</v>
      </c>
    </row>
    <row r="45" spans="1:6" x14ac:dyDescent="0.25">
      <c r="A45" s="41">
        <v>13</v>
      </c>
      <c r="B45" s="27">
        <v>46257</v>
      </c>
      <c r="C45" s="44" t="s">
        <v>287</v>
      </c>
      <c r="D45" s="44">
        <v>482350</v>
      </c>
      <c r="E45" s="38">
        <v>3501</v>
      </c>
      <c r="F45" s="28">
        <v>20</v>
      </c>
    </row>
    <row r="46" spans="1:6" x14ac:dyDescent="0.25">
      <c r="A46" s="41">
        <v>14</v>
      </c>
      <c r="B46" s="27">
        <v>46257</v>
      </c>
      <c r="C46" s="44" t="s">
        <v>288</v>
      </c>
      <c r="D46" s="44">
        <v>2681587</v>
      </c>
      <c r="E46" s="38">
        <v>3580</v>
      </c>
      <c r="F46" s="28">
        <v>20</v>
      </c>
    </row>
  </sheetData>
  <mergeCells count="2">
    <mergeCell ref="A3:H3"/>
    <mergeCell ref="B8:B9"/>
  </mergeCells>
  <phoneticPr fontId="13" type="noConversion"/>
  <dataValidations count="1">
    <dataValidation type="list" allowBlank="1" showInputMessage="1" showErrorMessage="1" sqref="F8:F14 F19:F22" xr:uid="{2017016A-DB0F-4C7A-A34F-906C9B5FB086}">
      <formula1>"20,40,45,50"</formula1>
      <formula2>0</formula2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01C3-9DDA-4373-8DF5-84DACD1F525B}">
  <dimension ref="A1:J46"/>
  <sheetViews>
    <sheetView tabSelected="1" workbookViewId="0">
      <selection activeCell="L29" sqref="L29"/>
    </sheetView>
  </sheetViews>
  <sheetFormatPr baseColWidth="10" defaultRowHeight="15" x14ac:dyDescent="0.25"/>
  <cols>
    <col min="1" max="1" width="3.140625" style="24" bestFit="1" customWidth="1"/>
    <col min="2" max="2" width="14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4" style="24" bestFit="1" customWidth="1"/>
    <col min="7" max="7" width="12.140625" style="24" bestFit="1" customWidth="1"/>
    <col min="8" max="10" width="11.42578125" style="24"/>
  </cols>
  <sheetData>
    <row r="1" spans="1:10" ht="15.75" x14ac:dyDescent="0.25">
      <c r="A1" s="7"/>
      <c r="B1" s="8"/>
      <c r="C1" s="8"/>
      <c r="D1" s="8"/>
      <c r="E1" s="8"/>
      <c r="F1" s="8"/>
      <c r="G1" s="8"/>
      <c r="H1" s="9">
        <f>COUNTIF(C8:C14,"&lt;&gt;")</f>
        <v>3</v>
      </c>
      <c r="I1" s="10" t="s">
        <v>6</v>
      </c>
      <c r="J1" s="8"/>
    </row>
    <row r="2" spans="1:10" ht="15.75" x14ac:dyDescent="0.25">
      <c r="A2" s="7"/>
      <c r="B2" s="8"/>
      <c r="C2" s="8"/>
      <c r="D2" s="8"/>
      <c r="E2" s="8"/>
      <c r="F2" s="9">
        <f>COUNTIFS(B19:B22,"&lt;&gt;",C19:C22,"VH")</f>
        <v>0</v>
      </c>
      <c r="G2" s="10" t="s">
        <v>7</v>
      </c>
      <c r="H2" s="9">
        <f>COUNTA(C19:C28)-F2</f>
        <v>1</v>
      </c>
      <c r="I2" s="10" t="s">
        <v>6</v>
      </c>
      <c r="J2" s="11">
        <f>COUNTIF(H19:H24,"VIDE")</f>
        <v>0</v>
      </c>
    </row>
    <row r="3" spans="1:10" ht="25.5" x14ac:dyDescent="0.25">
      <c r="A3" s="70" t="s">
        <v>8</v>
      </c>
      <c r="B3" s="70"/>
      <c r="C3" s="70"/>
      <c r="D3" s="70"/>
      <c r="E3" s="70"/>
      <c r="F3" s="70"/>
      <c r="G3" s="70"/>
      <c r="H3" s="70"/>
      <c r="I3" s="8"/>
      <c r="J3" s="8"/>
    </row>
    <row r="4" spans="1:10" x14ac:dyDescent="0.25">
      <c r="A4" s="7"/>
      <c r="B4" s="8"/>
      <c r="C4" s="8"/>
      <c r="D4" s="8"/>
      <c r="E4" s="8"/>
      <c r="F4" s="8"/>
      <c r="G4" s="8"/>
      <c r="H4" s="8"/>
      <c r="I4" s="8"/>
      <c r="J4" s="8"/>
    </row>
    <row r="5" spans="1:10" ht="15.75" x14ac:dyDescent="0.25">
      <c r="A5" s="7"/>
      <c r="B5" s="12" t="s">
        <v>9</v>
      </c>
      <c r="C5" s="8"/>
      <c r="D5" s="8"/>
      <c r="E5" s="8"/>
      <c r="F5" s="8"/>
      <c r="G5" s="13">
        <v>46258</v>
      </c>
      <c r="H5" s="8"/>
      <c r="I5" s="8"/>
      <c r="J5" s="8"/>
    </row>
    <row r="6" spans="1:10" ht="15.75" thickBot="1" x14ac:dyDescent="0.3">
      <c r="A6" s="7"/>
      <c r="B6" s="14"/>
      <c r="C6" s="8"/>
      <c r="D6" s="8"/>
      <c r="E6" s="8"/>
      <c r="F6" s="8"/>
      <c r="G6" s="8"/>
      <c r="H6" s="8"/>
      <c r="I6" s="8"/>
      <c r="J6" s="8"/>
    </row>
    <row r="7" spans="1:10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  <c r="G7" s="8"/>
      <c r="H7" s="8"/>
      <c r="I7" s="8"/>
      <c r="J7" s="8"/>
    </row>
    <row r="8" spans="1:10" x14ac:dyDescent="0.25">
      <c r="A8" s="42">
        <v>2</v>
      </c>
      <c r="B8" s="41" t="s">
        <v>303</v>
      </c>
      <c r="C8" s="86" t="s">
        <v>306</v>
      </c>
      <c r="D8" s="44" t="s">
        <v>297</v>
      </c>
      <c r="E8" s="44" t="s">
        <v>298</v>
      </c>
      <c r="F8" s="50">
        <v>40</v>
      </c>
      <c r="G8" s="8"/>
      <c r="H8" s="8"/>
      <c r="I8" s="8"/>
      <c r="J8" s="8"/>
    </row>
    <row r="9" spans="1:10" x14ac:dyDescent="0.25">
      <c r="A9" s="41">
        <v>3</v>
      </c>
      <c r="B9" s="51" t="s">
        <v>304</v>
      </c>
      <c r="C9" s="86" t="s">
        <v>306</v>
      </c>
      <c r="D9" s="50" t="s">
        <v>299</v>
      </c>
      <c r="E9" s="50" t="s">
        <v>300</v>
      </c>
      <c r="F9" s="50">
        <v>40</v>
      </c>
      <c r="G9" s="8"/>
      <c r="H9" s="8"/>
      <c r="I9" s="8"/>
      <c r="J9" s="8"/>
    </row>
    <row r="10" spans="1:10" x14ac:dyDescent="0.25">
      <c r="A10" s="42">
        <v>4</v>
      </c>
      <c r="B10" s="51" t="s">
        <v>305</v>
      </c>
      <c r="C10" s="86" t="s">
        <v>306</v>
      </c>
      <c r="D10" s="50" t="s">
        <v>301</v>
      </c>
      <c r="E10" s="50" t="s">
        <v>302</v>
      </c>
      <c r="F10" s="50">
        <v>40</v>
      </c>
      <c r="G10" s="8"/>
      <c r="H10" s="8"/>
      <c r="I10" s="8"/>
      <c r="J10" s="8"/>
    </row>
    <row r="11" spans="1:10" x14ac:dyDescent="0.25">
      <c r="A11" s="42">
        <v>5</v>
      </c>
      <c r="B11" s="51"/>
      <c r="C11" s="27"/>
      <c r="D11" s="50"/>
      <c r="E11" s="50"/>
      <c r="F11" s="50"/>
      <c r="G11" s="8"/>
      <c r="H11" s="8"/>
      <c r="I11" s="8"/>
      <c r="J11" s="8"/>
    </row>
    <row r="12" spans="1:10" x14ac:dyDescent="0.25">
      <c r="A12" s="41">
        <v>6</v>
      </c>
      <c r="B12" s="51"/>
      <c r="C12" s="27"/>
      <c r="D12" s="50"/>
      <c r="E12" s="50"/>
      <c r="F12" s="50"/>
      <c r="G12" s="8"/>
      <c r="H12" s="8"/>
      <c r="I12" s="8"/>
      <c r="J12" s="8"/>
    </row>
    <row r="13" spans="1:10" x14ac:dyDescent="0.25">
      <c r="A13" s="41">
        <v>7</v>
      </c>
      <c r="B13" s="51"/>
      <c r="C13" s="27"/>
      <c r="D13" s="44"/>
      <c r="E13" s="44"/>
      <c r="F13" s="41"/>
      <c r="G13" s="8"/>
      <c r="H13" s="8"/>
      <c r="I13" s="8"/>
      <c r="J13" s="8"/>
    </row>
    <row r="14" spans="1:10" x14ac:dyDescent="0.25">
      <c r="A14" s="42">
        <v>8</v>
      </c>
      <c r="B14" s="41"/>
      <c r="C14" s="27"/>
      <c r="D14" s="44"/>
      <c r="E14" s="44"/>
      <c r="F14" s="41"/>
      <c r="G14" s="8"/>
      <c r="H14" s="8"/>
      <c r="I14" s="8"/>
      <c r="J14" s="8"/>
    </row>
    <row r="15" spans="1:10" ht="15.75" x14ac:dyDescent="0.25">
      <c r="A15" s="7"/>
      <c r="B15" s="25"/>
      <c r="C15" s="8"/>
      <c r="D15" s="8"/>
      <c r="E15" s="8"/>
      <c r="F15" s="8"/>
      <c r="G15" s="25"/>
    </row>
    <row r="16" spans="1:10" ht="15.75" x14ac:dyDescent="0.25">
      <c r="A16" s="7"/>
      <c r="B16" s="12" t="s">
        <v>16</v>
      </c>
      <c r="G16" s="25"/>
    </row>
    <row r="17" spans="1:10" ht="15.75" thickBot="1" x14ac:dyDescent="0.3">
      <c r="A17" s="7"/>
      <c r="B17" s="14"/>
      <c r="C17" s="8"/>
      <c r="D17" s="8"/>
      <c r="E17" s="8"/>
      <c r="F17" s="8"/>
      <c r="G17" s="8"/>
    </row>
    <row r="18" spans="1:10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10" x14ac:dyDescent="0.25">
      <c r="A19" s="36">
        <v>1</v>
      </c>
      <c r="B19" s="86" t="s">
        <v>306</v>
      </c>
      <c r="C19" s="28" t="s">
        <v>307</v>
      </c>
      <c r="D19" s="28" t="s">
        <v>269</v>
      </c>
      <c r="E19" s="50">
        <v>3504</v>
      </c>
      <c r="F19" s="50">
        <v>20</v>
      </c>
    </row>
    <row r="20" spans="1:10" x14ac:dyDescent="0.25">
      <c r="A20" s="36">
        <v>2</v>
      </c>
      <c r="B20" s="69"/>
      <c r="C20" s="38"/>
      <c r="D20" s="28"/>
      <c r="E20" s="44"/>
      <c r="F20" s="50"/>
    </row>
    <row r="21" spans="1:10" x14ac:dyDescent="0.25">
      <c r="A21" s="36">
        <v>3</v>
      </c>
      <c r="B21" s="69"/>
      <c r="C21" s="38"/>
      <c r="D21" s="28"/>
      <c r="E21" s="44"/>
      <c r="F21" s="50"/>
      <c r="G21" s="24" t="s">
        <v>42</v>
      </c>
      <c r="J21" s="67"/>
    </row>
    <row r="22" spans="1:10" x14ac:dyDescent="0.25">
      <c r="A22" s="36">
        <v>4</v>
      </c>
      <c r="B22" s="69"/>
      <c r="C22" s="38"/>
      <c r="D22" s="44"/>
      <c r="E22" s="44"/>
      <c r="F22" s="50"/>
      <c r="J22" s="67"/>
    </row>
    <row r="23" spans="1:10" x14ac:dyDescent="0.25">
      <c r="A23" s="36">
        <v>5</v>
      </c>
      <c r="B23" s="69"/>
      <c r="C23" s="38"/>
      <c r="D23" s="50"/>
      <c r="E23" s="38"/>
      <c r="F23" s="38"/>
    </row>
    <row r="24" spans="1:10" x14ac:dyDescent="0.25">
      <c r="A24" s="36">
        <v>6</v>
      </c>
      <c r="B24" s="27"/>
      <c r="C24" s="38"/>
      <c r="D24" s="50"/>
      <c r="E24" s="41"/>
      <c r="F24" s="29"/>
    </row>
    <row r="25" spans="1:10" x14ac:dyDescent="0.25">
      <c r="A25" s="36">
        <v>7</v>
      </c>
      <c r="B25" s="27"/>
      <c r="C25" s="38"/>
      <c r="D25" s="43"/>
      <c r="E25" s="50"/>
      <c r="F25" s="29"/>
    </row>
    <row r="26" spans="1:10" x14ac:dyDescent="0.25">
      <c r="A26" s="36">
        <v>8</v>
      </c>
      <c r="B26" s="27"/>
      <c r="C26" s="28"/>
      <c r="D26" s="39"/>
      <c r="E26" s="29"/>
      <c r="F26" s="29"/>
    </row>
    <row r="27" spans="1:10" x14ac:dyDescent="0.25">
      <c r="A27" s="36">
        <v>9</v>
      </c>
      <c r="B27" s="27"/>
      <c r="C27" s="41"/>
      <c r="D27" s="44"/>
      <c r="E27" s="41"/>
      <c r="F27" s="29"/>
    </row>
    <row r="28" spans="1:10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10" ht="15.75" x14ac:dyDescent="0.25">
      <c r="A29" s="7"/>
      <c r="B29" s="12"/>
      <c r="C29" s="8"/>
      <c r="D29" s="45"/>
      <c r="E29" s="8"/>
      <c r="F29" s="8"/>
      <c r="G29" s="25"/>
    </row>
    <row r="30" spans="1:10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10" ht="15.75" thickBot="1" x14ac:dyDescent="0.3">
      <c r="A31" s="7"/>
      <c r="B31" s="14"/>
      <c r="C31" s="8"/>
      <c r="D31" s="8"/>
      <c r="E31" s="8"/>
      <c r="F31" s="8"/>
      <c r="G31" s="8"/>
    </row>
    <row r="32" spans="1:10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x14ac:dyDescent="0.25">
      <c r="A33" s="41">
        <v>1</v>
      </c>
      <c r="B33" s="69">
        <v>46258</v>
      </c>
      <c r="C33" s="28" t="s">
        <v>293</v>
      </c>
      <c r="D33" s="28" t="s">
        <v>294</v>
      </c>
      <c r="E33" s="38">
        <v>3579</v>
      </c>
      <c r="F33" s="28">
        <v>40</v>
      </c>
    </row>
    <row r="34" spans="1:6" x14ac:dyDescent="0.25">
      <c r="A34" s="41">
        <v>2</v>
      </c>
      <c r="B34" s="69">
        <v>46258</v>
      </c>
      <c r="C34" s="39" t="s">
        <v>295</v>
      </c>
      <c r="D34" s="39" t="s">
        <v>296</v>
      </c>
      <c r="E34" s="28">
        <v>3571</v>
      </c>
      <c r="F34" s="28">
        <v>40</v>
      </c>
    </row>
    <row r="35" spans="1:6" x14ac:dyDescent="0.25">
      <c r="A35" s="41">
        <v>3</v>
      </c>
      <c r="B35" s="27"/>
      <c r="C35" s="44"/>
      <c r="D35" s="44"/>
      <c r="E35" s="38"/>
      <c r="F35" s="28"/>
    </row>
    <row r="36" spans="1:6" x14ac:dyDescent="0.25">
      <c r="A36" s="41">
        <v>4</v>
      </c>
      <c r="B36" s="27"/>
      <c r="C36" s="44"/>
      <c r="D36" s="44"/>
      <c r="E36" s="38"/>
      <c r="F36" s="28"/>
    </row>
    <row r="37" spans="1:6" x14ac:dyDescent="0.25">
      <c r="A37" s="41">
        <v>5</v>
      </c>
      <c r="B37" s="27"/>
      <c r="C37" s="44"/>
      <c r="D37" s="44"/>
      <c r="E37" s="38"/>
      <c r="F37" s="28"/>
    </row>
    <row r="38" spans="1:6" x14ac:dyDescent="0.25">
      <c r="A38" s="41">
        <v>6</v>
      </c>
      <c r="B38" s="27"/>
      <c r="C38" s="44"/>
      <c r="D38" s="44"/>
      <c r="E38" s="38"/>
      <c r="F38" s="28"/>
    </row>
    <row r="39" spans="1:6" x14ac:dyDescent="0.25">
      <c r="A39" s="41">
        <v>7</v>
      </c>
      <c r="B39" s="27"/>
      <c r="C39" s="44"/>
      <c r="D39" s="44"/>
      <c r="E39" s="38"/>
      <c r="F39" s="28"/>
    </row>
    <row r="40" spans="1:6" x14ac:dyDescent="0.25">
      <c r="A40" s="41">
        <v>8</v>
      </c>
      <c r="B40" s="27"/>
      <c r="C40" s="44"/>
      <c r="D40" s="44"/>
      <c r="E40" s="38"/>
      <c r="F40" s="28"/>
    </row>
    <row r="41" spans="1:6" x14ac:dyDescent="0.25">
      <c r="A41" s="41">
        <v>9</v>
      </c>
      <c r="B41" s="27"/>
      <c r="C41" s="44"/>
      <c r="D41" s="44"/>
      <c r="E41" s="38"/>
      <c r="F41" s="28"/>
    </row>
    <row r="42" spans="1:6" x14ac:dyDescent="0.25">
      <c r="A42" s="41">
        <v>10</v>
      </c>
      <c r="B42" s="27"/>
      <c r="C42" s="44"/>
      <c r="D42" s="44"/>
      <c r="E42" s="38"/>
      <c r="F42" s="28"/>
    </row>
    <row r="43" spans="1:6" x14ac:dyDescent="0.25">
      <c r="A43" s="41">
        <v>11</v>
      </c>
      <c r="B43" s="27"/>
      <c r="C43" s="44"/>
      <c r="D43" s="44"/>
      <c r="E43" s="38"/>
      <c r="F43" s="28"/>
    </row>
    <row r="44" spans="1:6" x14ac:dyDescent="0.25">
      <c r="A44" s="41">
        <v>12</v>
      </c>
      <c r="B44" s="27"/>
      <c r="C44" s="44"/>
      <c r="D44" s="44"/>
      <c r="E44" s="38"/>
      <c r="F44" s="28"/>
    </row>
    <row r="45" spans="1:6" x14ac:dyDescent="0.25">
      <c r="A45" s="41">
        <v>13</v>
      </c>
      <c r="B45" s="27"/>
      <c r="C45" s="44"/>
      <c r="D45" s="44"/>
      <c r="E45" s="38"/>
      <c r="F45" s="28"/>
    </row>
    <row r="46" spans="1:6" x14ac:dyDescent="0.25">
      <c r="A46" s="41">
        <v>14</v>
      </c>
      <c r="B46" s="27"/>
      <c r="C46" s="44"/>
      <c r="D46" s="44"/>
      <c r="E46" s="38"/>
      <c r="F46" s="28"/>
    </row>
  </sheetData>
  <mergeCells count="1">
    <mergeCell ref="A3:H3"/>
  </mergeCells>
  <dataValidations count="1">
    <dataValidation type="list" allowBlank="1" showInputMessage="1" showErrorMessage="1" sqref="F8:F14 F19:F22" xr:uid="{02F85F5D-B26B-4375-AF91-582762076C6C}">
      <formula1>"20,40,45,50"</formula1>
      <formula2>0</formula2>
    </dataValidation>
  </dataValidations>
  <pageMargins left="0.31496062992125984" right="0.31496062992125984" top="0.74803149606299213" bottom="0.74803149606299213" header="0.31496062992125984" footer="0.31496062992125984"/>
  <pageSetup paperSize="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27BC-4D25-4C59-8A03-CFE4A5FAB74B}">
  <dimension ref="A1:J46"/>
  <sheetViews>
    <sheetView topLeftCell="A6" workbookViewId="0">
      <selection activeCell="F8" sqref="A8:F13"/>
    </sheetView>
  </sheetViews>
  <sheetFormatPr baseColWidth="10" defaultRowHeight="15" x14ac:dyDescent="0.25"/>
  <cols>
    <col min="1" max="1" width="3.140625" style="24" bestFit="1" customWidth="1"/>
    <col min="2" max="2" width="14.7109375" style="24" bestFit="1" customWidth="1"/>
    <col min="3" max="3" width="19.28515625" style="24" customWidth="1"/>
    <col min="4" max="4" width="19.140625" style="24" customWidth="1"/>
    <col min="5" max="5" width="14.28515625" style="24" customWidth="1"/>
    <col min="6" max="6" width="14" style="24" bestFit="1" customWidth="1"/>
    <col min="7" max="7" width="12.140625" style="24" bestFit="1" customWidth="1"/>
    <col min="8" max="10" width="11.42578125" style="24"/>
  </cols>
  <sheetData>
    <row r="1" spans="1:10" ht="15.75" x14ac:dyDescent="0.25">
      <c r="A1" s="7"/>
      <c r="B1" s="8"/>
      <c r="C1" s="8"/>
      <c r="D1" s="8"/>
      <c r="E1" s="8"/>
      <c r="F1" s="8"/>
      <c r="G1" s="8"/>
      <c r="H1" s="9">
        <f>COUNTIF(C8:C14,"&lt;&gt;")</f>
        <v>3</v>
      </c>
      <c r="I1" s="10" t="s">
        <v>6</v>
      </c>
      <c r="J1" s="8"/>
    </row>
    <row r="2" spans="1:10" ht="15.75" x14ac:dyDescent="0.25">
      <c r="A2" s="7"/>
      <c r="B2" s="8"/>
      <c r="C2" s="8"/>
      <c r="D2" s="8"/>
      <c r="E2" s="8"/>
      <c r="F2" s="9">
        <f>COUNTIFS(B19:B22,"&lt;&gt;",C19:C22,"VH")</f>
        <v>0</v>
      </c>
      <c r="G2" s="10" t="s">
        <v>7</v>
      </c>
      <c r="H2" s="9">
        <f>COUNTA(C19:C28)-F2</f>
        <v>0</v>
      </c>
      <c r="I2" s="10" t="s">
        <v>6</v>
      </c>
      <c r="J2" s="11">
        <f>COUNTIF(H19:H24,"VIDE")</f>
        <v>0</v>
      </c>
    </row>
    <row r="3" spans="1:10" ht="25.5" x14ac:dyDescent="0.25">
      <c r="A3" s="70" t="s">
        <v>8</v>
      </c>
      <c r="B3" s="70"/>
      <c r="C3" s="70"/>
      <c r="D3" s="70"/>
      <c r="E3" s="70"/>
      <c r="F3" s="70"/>
      <c r="G3" s="70"/>
      <c r="H3" s="70"/>
      <c r="I3" s="8"/>
      <c r="J3" s="8"/>
    </row>
    <row r="4" spans="1:10" x14ac:dyDescent="0.25">
      <c r="A4" s="7"/>
      <c r="B4" s="8"/>
      <c r="C4" s="8"/>
      <c r="D4" s="8"/>
      <c r="E4" s="8"/>
      <c r="F4" s="8"/>
      <c r="G4" s="8"/>
      <c r="H4" s="8"/>
      <c r="I4" s="8"/>
      <c r="J4" s="8"/>
    </row>
    <row r="5" spans="1:10" ht="15.75" x14ac:dyDescent="0.25">
      <c r="A5" s="7"/>
      <c r="B5" s="12" t="s">
        <v>9</v>
      </c>
      <c r="C5" s="8"/>
      <c r="D5" s="8"/>
      <c r="E5" s="8"/>
      <c r="F5" s="8"/>
      <c r="G5" s="13">
        <v>46260</v>
      </c>
      <c r="H5" s="8"/>
      <c r="I5" s="8"/>
      <c r="J5" s="8"/>
    </row>
    <row r="6" spans="1:10" ht="15.75" thickBot="1" x14ac:dyDescent="0.3">
      <c r="A6" s="7"/>
      <c r="B6" s="14"/>
      <c r="C6" s="8"/>
      <c r="D6" s="8"/>
      <c r="E6" s="8"/>
      <c r="F6" s="8"/>
      <c r="G6" s="8"/>
      <c r="H6" s="8"/>
      <c r="I6" s="8"/>
      <c r="J6" s="8"/>
    </row>
    <row r="7" spans="1:10" x14ac:dyDescent="0.2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7" t="s">
        <v>15</v>
      </c>
      <c r="G7" s="8"/>
      <c r="H7" s="8"/>
      <c r="I7" s="8"/>
      <c r="J7" s="8"/>
    </row>
    <row r="8" spans="1:10" x14ac:dyDescent="0.25">
      <c r="A8" s="42">
        <v>2</v>
      </c>
      <c r="B8" s="87" t="s">
        <v>313</v>
      </c>
      <c r="C8" s="88" t="s">
        <v>314</v>
      </c>
      <c r="D8" s="89" t="s">
        <v>308</v>
      </c>
      <c r="E8" s="89" t="s">
        <v>309</v>
      </c>
      <c r="F8" s="90">
        <v>20</v>
      </c>
      <c r="G8" s="8"/>
      <c r="H8" s="8"/>
      <c r="I8" s="8"/>
      <c r="J8" s="8"/>
    </row>
    <row r="9" spans="1:10" x14ac:dyDescent="0.25">
      <c r="A9" s="41">
        <v>3</v>
      </c>
      <c r="B9" s="91" t="s">
        <v>313</v>
      </c>
      <c r="C9" s="88" t="s">
        <v>314</v>
      </c>
      <c r="D9" s="92" t="s">
        <v>310</v>
      </c>
      <c r="E9" s="90" t="s">
        <v>311</v>
      </c>
      <c r="F9" s="90" t="s">
        <v>109</v>
      </c>
      <c r="G9" s="8"/>
      <c r="H9" s="8"/>
      <c r="I9" s="8"/>
      <c r="J9" s="8"/>
    </row>
    <row r="10" spans="1:10" x14ac:dyDescent="0.25">
      <c r="A10" s="42">
        <v>4</v>
      </c>
      <c r="B10" s="91" t="s">
        <v>313</v>
      </c>
      <c r="C10" s="88" t="s">
        <v>314</v>
      </c>
      <c r="D10" s="90" t="s">
        <v>312</v>
      </c>
      <c r="E10" s="90" t="s">
        <v>311</v>
      </c>
      <c r="F10" s="90" t="s">
        <v>109</v>
      </c>
      <c r="G10" s="8"/>
      <c r="H10" s="8"/>
      <c r="I10" s="8"/>
      <c r="J10" s="8"/>
    </row>
    <row r="11" spans="1:10" x14ac:dyDescent="0.25">
      <c r="A11" s="42">
        <v>5</v>
      </c>
      <c r="B11" s="51"/>
      <c r="C11" s="27"/>
      <c r="D11" s="50"/>
      <c r="E11" s="50"/>
      <c r="F11" s="50"/>
      <c r="G11" s="8"/>
      <c r="H11" s="8"/>
      <c r="I11" s="8"/>
      <c r="J11" s="8"/>
    </row>
    <row r="12" spans="1:10" x14ac:dyDescent="0.25">
      <c r="A12" s="41">
        <v>6</v>
      </c>
      <c r="B12" s="51"/>
      <c r="C12" s="27"/>
      <c r="D12" s="50"/>
      <c r="E12" s="50"/>
      <c r="F12" s="50"/>
      <c r="G12" s="8"/>
      <c r="H12" s="8"/>
      <c r="I12" s="8"/>
      <c r="J12" s="8"/>
    </row>
    <row r="13" spans="1:10" x14ac:dyDescent="0.25">
      <c r="A13" s="41">
        <v>7</v>
      </c>
      <c r="B13" s="51"/>
      <c r="C13" s="27"/>
      <c r="D13" s="44"/>
      <c r="E13" s="44"/>
      <c r="F13" s="41"/>
      <c r="G13" s="8"/>
      <c r="H13" s="8"/>
      <c r="I13" s="8"/>
      <c r="J13" s="8"/>
    </row>
    <row r="14" spans="1:10" x14ac:dyDescent="0.25">
      <c r="A14" s="42">
        <v>8</v>
      </c>
      <c r="B14" s="41"/>
      <c r="C14" s="27"/>
      <c r="D14" s="44"/>
      <c r="E14" s="44"/>
      <c r="F14" s="41"/>
      <c r="G14" s="8"/>
      <c r="H14" s="8"/>
      <c r="I14" s="8"/>
      <c r="J14" s="8"/>
    </row>
    <row r="15" spans="1:10" ht="15.75" x14ac:dyDescent="0.25">
      <c r="A15" s="7"/>
      <c r="B15" s="25"/>
      <c r="C15" s="8"/>
      <c r="D15" s="8"/>
      <c r="E15" s="8"/>
      <c r="F15" s="8"/>
      <c r="G15" s="25"/>
    </row>
    <row r="16" spans="1:10" ht="15.75" x14ac:dyDescent="0.25">
      <c r="A16" s="7"/>
      <c r="B16" s="12" t="s">
        <v>16</v>
      </c>
      <c r="G16" s="25"/>
    </row>
    <row r="17" spans="1:10" ht="15.75" thickBot="1" x14ac:dyDescent="0.3">
      <c r="A17" s="7"/>
      <c r="B17" s="14"/>
      <c r="C17" s="8"/>
      <c r="D17" s="8"/>
      <c r="E17" s="8"/>
      <c r="F17" s="8"/>
      <c r="G17" s="8"/>
    </row>
    <row r="18" spans="1:10" x14ac:dyDescent="0.25">
      <c r="A18" s="15" t="s">
        <v>10</v>
      </c>
      <c r="B18" s="16" t="s">
        <v>17</v>
      </c>
      <c r="C18" s="16" t="s">
        <v>18</v>
      </c>
      <c r="D18" s="16" t="s">
        <v>13</v>
      </c>
      <c r="E18" s="16" t="s">
        <v>14</v>
      </c>
      <c r="F18" s="17" t="s">
        <v>15</v>
      </c>
    </row>
    <row r="19" spans="1:10" x14ac:dyDescent="0.25">
      <c r="A19" s="36">
        <v>1</v>
      </c>
      <c r="B19" s="86"/>
      <c r="C19" s="28"/>
      <c r="D19" s="28"/>
      <c r="E19" s="50"/>
      <c r="F19" s="50"/>
    </row>
    <row r="20" spans="1:10" x14ac:dyDescent="0.25">
      <c r="A20" s="36">
        <v>2</v>
      </c>
      <c r="B20" s="69"/>
      <c r="C20" s="38"/>
      <c r="D20" s="28"/>
      <c r="E20" s="44"/>
      <c r="F20" s="50"/>
    </row>
    <row r="21" spans="1:10" x14ac:dyDescent="0.25">
      <c r="A21" s="36">
        <v>3</v>
      </c>
      <c r="B21" s="69"/>
      <c r="C21" s="38"/>
      <c r="D21" s="28"/>
      <c r="E21" s="44"/>
      <c r="F21" s="50"/>
      <c r="G21" s="24" t="s">
        <v>42</v>
      </c>
      <c r="J21" s="67"/>
    </row>
    <row r="22" spans="1:10" x14ac:dyDescent="0.25">
      <c r="A22" s="36">
        <v>4</v>
      </c>
      <c r="B22" s="69"/>
      <c r="C22" s="38"/>
      <c r="D22" s="44"/>
      <c r="E22" s="44"/>
      <c r="F22" s="50"/>
      <c r="J22" s="67"/>
    </row>
    <row r="23" spans="1:10" x14ac:dyDescent="0.25">
      <c r="A23" s="36">
        <v>5</v>
      </c>
      <c r="B23" s="69"/>
      <c r="C23" s="38"/>
      <c r="D23" s="50"/>
      <c r="E23" s="38"/>
      <c r="F23" s="38"/>
    </row>
    <row r="24" spans="1:10" x14ac:dyDescent="0.25">
      <c r="A24" s="36">
        <v>6</v>
      </c>
      <c r="B24" s="27"/>
      <c r="C24" s="38"/>
      <c r="D24" s="50"/>
      <c r="E24" s="41"/>
      <c r="F24" s="29"/>
    </row>
    <row r="25" spans="1:10" x14ac:dyDescent="0.25">
      <c r="A25" s="36">
        <v>7</v>
      </c>
      <c r="B25" s="27"/>
      <c r="C25" s="38"/>
      <c r="D25" s="43"/>
      <c r="E25" s="50"/>
      <c r="F25" s="29"/>
    </row>
    <row r="26" spans="1:10" x14ac:dyDescent="0.25">
      <c r="A26" s="36">
        <v>8</v>
      </c>
      <c r="B26" s="27"/>
      <c r="C26" s="28"/>
      <c r="D26" s="39"/>
      <c r="E26" s="29"/>
      <c r="F26" s="29"/>
    </row>
    <row r="27" spans="1:10" x14ac:dyDescent="0.25">
      <c r="A27" s="36">
        <v>9</v>
      </c>
      <c r="B27" s="27"/>
      <c r="C27" s="41"/>
      <c r="D27" s="44"/>
      <c r="E27" s="41"/>
      <c r="F27" s="29"/>
    </row>
    <row r="28" spans="1:10" ht="15.75" x14ac:dyDescent="0.25">
      <c r="A28" s="36">
        <v>10</v>
      </c>
      <c r="B28" s="27"/>
      <c r="C28" s="41"/>
      <c r="D28" s="44"/>
      <c r="E28" s="41"/>
      <c r="F28" s="29"/>
      <c r="G28" s="25"/>
    </row>
    <row r="29" spans="1:10" ht="15.75" x14ac:dyDescent="0.25">
      <c r="A29" s="7"/>
      <c r="B29" s="12"/>
      <c r="C29" s="8"/>
      <c r="D29" s="45"/>
      <c r="E29" s="8"/>
      <c r="F29" s="8"/>
      <c r="G29" s="25"/>
    </row>
    <row r="30" spans="1:10" ht="15.75" x14ac:dyDescent="0.25">
      <c r="A30" s="7"/>
      <c r="B30" s="12" t="s">
        <v>19</v>
      </c>
      <c r="C30" s="8"/>
      <c r="D30" s="45"/>
      <c r="E30" s="8"/>
      <c r="F30" s="8"/>
      <c r="G30" s="25"/>
    </row>
    <row r="31" spans="1:10" ht="15.75" thickBot="1" x14ac:dyDescent="0.3">
      <c r="A31" s="7"/>
      <c r="B31" s="14"/>
      <c r="C31" s="8"/>
      <c r="D31" s="8"/>
      <c r="E31" s="8"/>
      <c r="F31" s="8"/>
      <c r="G31" s="8"/>
    </row>
    <row r="32" spans="1:10" x14ac:dyDescent="0.25">
      <c r="A32" s="15" t="s">
        <v>10</v>
      </c>
      <c r="B32" s="16" t="s">
        <v>20</v>
      </c>
      <c r="C32" s="16" t="s">
        <v>13</v>
      </c>
      <c r="D32" s="16" t="s">
        <v>21</v>
      </c>
      <c r="E32" s="16" t="s">
        <v>22</v>
      </c>
      <c r="F32" s="17" t="s">
        <v>15</v>
      </c>
    </row>
    <row r="33" spans="1:6" x14ac:dyDescent="0.25">
      <c r="A33" s="41">
        <v>1</v>
      </c>
      <c r="B33" s="69"/>
      <c r="C33" s="28"/>
      <c r="D33" s="28"/>
      <c r="E33" s="38"/>
      <c r="F33" s="28"/>
    </row>
    <row r="34" spans="1:6" x14ac:dyDescent="0.25">
      <c r="A34" s="41">
        <v>2</v>
      </c>
      <c r="B34" s="69"/>
      <c r="C34" s="39"/>
      <c r="D34" s="39"/>
      <c r="E34" s="28"/>
      <c r="F34" s="28"/>
    </row>
    <row r="35" spans="1:6" x14ac:dyDescent="0.25">
      <c r="A35" s="41">
        <v>3</v>
      </c>
      <c r="B35" s="27"/>
      <c r="C35" s="44"/>
      <c r="D35" s="44"/>
      <c r="E35" s="38"/>
      <c r="F35" s="28"/>
    </row>
    <row r="36" spans="1:6" x14ac:dyDescent="0.25">
      <c r="A36" s="41">
        <v>4</v>
      </c>
      <c r="B36" s="27"/>
      <c r="C36" s="44"/>
      <c r="D36" s="44"/>
      <c r="E36" s="38"/>
      <c r="F36" s="28"/>
    </row>
    <row r="37" spans="1:6" x14ac:dyDescent="0.25">
      <c r="A37" s="41">
        <v>5</v>
      </c>
      <c r="B37" s="27"/>
      <c r="C37" s="44"/>
      <c r="D37" s="44"/>
      <c r="E37" s="38"/>
      <c r="F37" s="28"/>
    </row>
    <row r="38" spans="1:6" x14ac:dyDescent="0.25">
      <c r="A38" s="41">
        <v>6</v>
      </c>
      <c r="B38" s="27"/>
      <c r="C38" s="44"/>
      <c r="D38" s="44"/>
      <c r="E38" s="38"/>
      <c r="F38" s="28"/>
    </row>
    <row r="39" spans="1:6" x14ac:dyDescent="0.25">
      <c r="A39" s="41">
        <v>7</v>
      </c>
      <c r="B39" s="27"/>
      <c r="C39" s="44"/>
      <c r="D39" s="44"/>
      <c r="E39" s="38"/>
      <c r="F39" s="28"/>
    </row>
    <row r="40" spans="1:6" x14ac:dyDescent="0.25">
      <c r="A40" s="41">
        <v>8</v>
      </c>
      <c r="B40" s="27"/>
      <c r="C40" s="44"/>
      <c r="D40" s="44"/>
      <c r="E40" s="38"/>
      <c r="F40" s="28"/>
    </row>
    <row r="41" spans="1:6" x14ac:dyDescent="0.25">
      <c r="A41" s="41">
        <v>9</v>
      </c>
      <c r="B41" s="27"/>
      <c r="C41" s="44"/>
      <c r="D41" s="44"/>
      <c r="E41" s="38"/>
      <c r="F41" s="28"/>
    </row>
    <row r="42" spans="1:6" x14ac:dyDescent="0.25">
      <c r="A42" s="41">
        <v>10</v>
      </c>
      <c r="B42" s="27"/>
      <c r="C42" s="44"/>
      <c r="D42" s="44"/>
      <c r="E42" s="38"/>
      <c r="F42" s="28"/>
    </row>
    <row r="43" spans="1:6" x14ac:dyDescent="0.25">
      <c r="A43" s="41">
        <v>11</v>
      </c>
      <c r="B43" s="27"/>
      <c r="C43" s="44"/>
      <c r="D43" s="44"/>
      <c r="E43" s="38"/>
      <c r="F43" s="28"/>
    </row>
    <row r="44" spans="1:6" x14ac:dyDescent="0.25">
      <c r="A44" s="41">
        <v>12</v>
      </c>
      <c r="B44" s="27"/>
      <c r="C44" s="44"/>
      <c r="D44" s="44"/>
      <c r="E44" s="38"/>
      <c r="F44" s="28"/>
    </row>
    <row r="45" spans="1:6" x14ac:dyDescent="0.25">
      <c r="A45" s="41">
        <v>13</v>
      </c>
      <c r="B45" s="27"/>
      <c r="C45" s="44"/>
      <c r="D45" s="44"/>
      <c r="E45" s="38"/>
      <c r="F45" s="28"/>
    </row>
    <row r="46" spans="1:6" x14ac:dyDescent="0.25">
      <c r="A46" s="41">
        <v>14</v>
      </c>
      <c r="B46" s="27"/>
      <c r="C46" s="44"/>
      <c r="D46" s="44"/>
      <c r="E46" s="38"/>
      <c r="F46" s="28"/>
    </row>
  </sheetData>
  <mergeCells count="1">
    <mergeCell ref="A3:H3"/>
  </mergeCells>
  <dataValidations count="1">
    <dataValidation type="list" allowBlank="1" showInputMessage="1" showErrorMessage="1" sqref="F19:F22 F8:F14" xr:uid="{A9697C81-F16A-45F6-BFB9-47582A4526B1}">
      <formula1>"20,40,45,50"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DASHBOARD</vt:lpstr>
      <vt:lpstr>02-08</vt:lpstr>
      <vt:lpstr>03-08</vt:lpstr>
      <vt:lpstr>04-08</vt:lpstr>
      <vt:lpstr>05-08</vt:lpstr>
      <vt:lpstr>06-08</vt:lpstr>
      <vt:lpstr>09-08</vt:lpstr>
      <vt:lpstr>10-08</vt:lpstr>
      <vt:lpstr>11-08</vt:lpstr>
      <vt:lpstr>12-08</vt:lpstr>
      <vt:lpstr>13-08</vt:lpstr>
      <vt:lpstr>16-08</vt:lpstr>
      <vt:lpstr>17-08</vt:lpstr>
      <vt:lpstr>18-08</vt:lpstr>
      <vt:lpstr>19-08</vt:lpstr>
      <vt:lpstr>20-08</vt:lpstr>
      <vt:lpstr>23-08</vt:lpstr>
      <vt:lpstr>24-08</vt:lpstr>
      <vt:lpstr>26-08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2026-08-24T15:44:33Z</cp:lastPrinted>
  <dcterms:created xsi:type="dcterms:W3CDTF">2026-07-30T12:57:26Z</dcterms:created>
  <dcterms:modified xsi:type="dcterms:W3CDTF">2026-08-26T12:53:26Z</dcterms:modified>
</cp:coreProperties>
</file>