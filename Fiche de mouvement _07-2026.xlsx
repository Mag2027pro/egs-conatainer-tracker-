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Samir\"/>
    </mc:Choice>
  </mc:AlternateContent>
  <xr:revisionPtr revIDLastSave="0" documentId="13_ncr:1_{E44BAECB-6AA8-4D02-8160-1988B41F521D}" xr6:coauthVersionLast="47" xr6:coauthVersionMax="47" xr10:uidLastSave="{00000000-0000-0000-0000-000000000000}"/>
  <bookViews>
    <workbookView xWindow="-120" yWindow="-120" windowWidth="29040" windowHeight="15720" tabRatio="509" xr2:uid="{FE659353-D65C-4A77-864C-3A0EB9713BA8}"/>
  </bookViews>
  <sheets>
    <sheet name="DASHBOARD" sheetId="1" r:id="rId1"/>
    <sheet name="01-07" sheetId="2" r:id="rId2"/>
    <sheet name="03-07" sheetId="3" r:id="rId3"/>
    <sheet name="06-07" sheetId="4" r:id="rId4"/>
    <sheet name="07-07" sheetId="5" r:id="rId5"/>
    <sheet name="08-07" sheetId="6" r:id="rId6"/>
    <sheet name="09-07" sheetId="7" r:id="rId7"/>
    <sheet name="12-07" sheetId="8" r:id="rId8"/>
    <sheet name="13-07" sheetId="9" r:id="rId9"/>
    <sheet name="14-07" sheetId="10" r:id="rId10"/>
    <sheet name="15-07" sheetId="11" r:id="rId11"/>
    <sheet name="16-07" sheetId="12" r:id="rId12"/>
    <sheet name="19-07" sheetId="13" r:id="rId13"/>
    <sheet name="20-07" sheetId="14" r:id="rId14"/>
    <sheet name="21-07" sheetId="15" r:id="rId15"/>
    <sheet name="22-07" sheetId="16" r:id="rId16"/>
    <sheet name="23-07" sheetId="17" r:id="rId17"/>
    <sheet name="26-07" sheetId="18" r:id="rId18"/>
    <sheet name="27-07" sheetId="19" r:id="rId19"/>
    <sheet name="28-07" sheetId="20" r:id="rId20"/>
    <sheet name="29-07" sheetId="21" r:id="rId21"/>
    <sheet name="30-07" sheetId="2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2" l="1"/>
  <c r="H2" i="18"/>
  <c r="H2" i="16"/>
  <c r="F2" i="11"/>
  <c r="H2" i="11" s="1"/>
  <c r="H2" i="7"/>
  <c r="H2" i="6"/>
  <c r="C20" i="1"/>
  <c r="C19" i="1"/>
  <c r="C18" i="1"/>
  <c r="B22" i="1"/>
  <c r="B21" i="1"/>
  <c r="B20" i="1"/>
  <c r="B19" i="1"/>
  <c r="D19" i="1" s="1"/>
  <c r="B18" i="1"/>
  <c r="C22" i="1"/>
  <c r="D22" i="1" s="1"/>
  <c r="C21" i="1"/>
  <c r="D21" i="1"/>
  <c r="D18" i="1"/>
  <c r="D20" i="1"/>
  <c r="J2" i="22"/>
  <c r="F2" i="22"/>
  <c r="H1" i="22"/>
  <c r="H2" i="21" l="1"/>
  <c r="J2" i="21"/>
  <c r="F2" i="21"/>
  <c r="H1" i="21"/>
  <c r="J2" i="20" l="1"/>
  <c r="H2" i="20"/>
  <c r="F2" i="20"/>
  <c r="H1" i="20"/>
  <c r="H2" i="19"/>
  <c r="J2" i="19" l="1"/>
  <c r="F2" i="19"/>
  <c r="H1" i="19"/>
  <c r="J2" i="18"/>
  <c r="J2" i="17"/>
  <c r="F2" i="18"/>
  <c r="H1" i="18"/>
  <c r="H2" i="17"/>
  <c r="F2" i="16" l="1"/>
  <c r="C17" i="1"/>
  <c r="F2" i="17"/>
  <c r="H1" i="17"/>
  <c r="B17" i="1" s="1"/>
  <c r="F2" i="15"/>
  <c r="H2" i="15" s="1"/>
  <c r="J2" i="16"/>
  <c r="H1" i="16"/>
  <c r="B16" i="1" s="1"/>
  <c r="J2" i="15"/>
  <c r="H1" i="15"/>
  <c r="B15" i="1" s="1"/>
  <c r="B13" i="1"/>
  <c r="J2" i="14"/>
  <c r="F2" i="14"/>
  <c r="H2" i="14" s="1"/>
  <c r="C14" i="1" s="1"/>
  <c r="H1" i="14"/>
  <c r="B14" i="1" s="1"/>
  <c r="D17" i="1" l="1"/>
  <c r="C16" i="1"/>
  <c r="D16" i="1" s="1"/>
  <c r="C15" i="1"/>
  <c r="D15" i="1" s="1"/>
  <c r="D14" i="1"/>
  <c r="J2" i="13" l="1"/>
  <c r="F2" i="13"/>
  <c r="H1" i="13"/>
  <c r="J2" i="12"/>
  <c r="F2" i="12"/>
  <c r="H2" i="12" s="1"/>
  <c r="C12" i="1" s="1"/>
  <c r="H1" i="12"/>
  <c r="B12" i="1" s="1"/>
  <c r="D12" i="1" s="1"/>
  <c r="H2" i="13" l="1"/>
  <c r="C13" i="1"/>
  <c r="D13" i="1" s="1"/>
  <c r="C11" i="1"/>
  <c r="J2" i="11" l="1"/>
  <c r="H1" i="11"/>
  <c r="B11" i="1" s="1"/>
  <c r="D11" i="1" s="1"/>
  <c r="J2" i="10"/>
  <c r="F2" i="10"/>
  <c r="H2" i="10" s="1"/>
  <c r="C10" i="1" s="1"/>
  <c r="H1" i="10"/>
  <c r="B10" i="1" s="1"/>
  <c r="B8" i="1"/>
  <c r="H1" i="9"/>
  <c r="B9" i="1" s="1"/>
  <c r="F2" i="7"/>
  <c r="C7" i="1" s="1"/>
  <c r="H1" i="7"/>
  <c r="B7" i="1" s="1"/>
  <c r="H1" i="8"/>
  <c r="D10" i="1" l="1"/>
  <c r="D7" i="1"/>
  <c r="J2" i="9" l="1"/>
  <c r="F2" i="9"/>
  <c r="H2" i="9" l="1"/>
  <c r="C9" i="1" s="1"/>
  <c r="D9" i="1" s="1"/>
  <c r="J2" i="8"/>
  <c r="F2" i="8"/>
  <c r="H2" i="8" s="1"/>
  <c r="C8" i="1" s="1"/>
  <c r="D8" i="1" s="1"/>
  <c r="J2" i="7" l="1"/>
  <c r="F2" i="6" l="1"/>
  <c r="F2" i="5"/>
  <c r="J2" i="6" l="1"/>
  <c r="C6" i="1"/>
  <c r="H1" i="6"/>
  <c r="B6" i="1" s="1"/>
  <c r="H1" i="5"/>
  <c r="B5" i="1" s="1"/>
  <c r="D6" i="1" l="1"/>
  <c r="J2" i="5"/>
  <c r="H2" i="5"/>
  <c r="C5" i="1" s="1"/>
  <c r="D5" i="1" s="1"/>
  <c r="J2" i="4" l="1"/>
  <c r="F2" i="4"/>
  <c r="H1" i="4"/>
  <c r="B4" i="1" s="1"/>
  <c r="H1" i="3"/>
  <c r="B3" i="1" s="1"/>
  <c r="J2" i="3"/>
  <c r="F2" i="3"/>
  <c r="H2" i="3" s="1"/>
  <c r="C3" i="1" s="1"/>
  <c r="J2" i="2"/>
  <c r="H2" i="4" l="1"/>
  <c r="C4" i="1" s="1"/>
  <c r="D4" i="1" s="1"/>
  <c r="D3" i="1"/>
  <c r="F2" i="2"/>
  <c r="H2" i="2" s="1"/>
  <c r="C2" i="1" s="1"/>
  <c r="C24" i="1" s="1"/>
  <c r="H1" i="2"/>
  <c r="B2" i="1" s="1"/>
  <c r="B24" i="1" s="1"/>
  <c r="D2" i="1" l="1"/>
  <c r="D24" i="1" l="1"/>
</calcChain>
</file>

<file path=xl/sharedStrings.xml><?xml version="1.0" encoding="utf-8"?>
<sst xmlns="http://schemas.openxmlformats.org/spreadsheetml/2006/main" count="1523" uniqueCount="675">
  <si>
    <t>Date</t>
  </si>
  <si>
    <t>TC Réceptionnés</t>
  </si>
  <si>
    <t>TC Sortis</t>
  </si>
  <si>
    <t>Total Mouvements</t>
  </si>
  <si>
    <t>TC Sortis
VIDE</t>
  </si>
  <si>
    <t>Total</t>
  </si>
  <si>
    <t>VIDE</t>
  </si>
  <si>
    <t>VH</t>
  </si>
  <si>
    <t>TC</t>
  </si>
  <si>
    <t>FICHE DE MOUVEMENT</t>
  </si>
  <si>
    <t>RECEPTION</t>
  </si>
  <si>
    <t xml:space="preserve">N° </t>
  </si>
  <si>
    <t>N° CRN</t>
  </si>
  <si>
    <t>Date R</t>
  </si>
  <si>
    <t>N° Conteneur</t>
  </si>
  <si>
    <t>N° Scellé</t>
  </si>
  <si>
    <t>Vol</t>
  </si>
  <si>
    <t>SORTIE</t>
  </si>
  <si>
    <t>Date S</t>
  </si>
  <si>
    <t>IMM</t>
  </si>
  <si>
    <t>VISITE</t>
  </si>
  <si>
    <t>Date V</t>
  </si>
  <si>
    <t>AN° Scellé</t>
  </si>
  <si>
    <t>NO° Scellé</t>
  </si>
  <si>
    <t>CAXU903878 /3</t>
  </si>
  <si>
    <t>CAXU965894 /8</t>
  </si>
  <si>
    <t>CHSU809431 /6</t>
  </si>
  <si>
    <t>FSCU987305 /7</t>
  </si>
  <si>
    <t>GATU852786 /7</t>
  </si>
  <si>
    <t>GCNU464217 /2</t>
  </si>
  <si>
    <t>GLDU063183 /5</t>
  </si>
  <si>
    <t>HLXU624229 /8</t>
  </si>
  <si>
    <t>HPCU401944 /2</t>
  </si>
  <si>
    <t>INKU228395 /6</t>
  </si>
  <si>
    <t>MOTU040902 /0</t>
  </si>
  <si>
    <t>NYKU553573 /0</t>
  </si>
  <si>
    <t>SVWU501049 /0</t>
  </si>
  <si>
    <t>SVWU644047 /5</t>
  </si>
  <si>
    <t>TCKU965219 /2</t>
  </si>
  <si>
    <t>TCKU965488 /9</t>
  </si>
  <si>
    <t>TCLU512420 /8</t>
  </si>
  <si>
    <t>TCNU901453 /0</t>
  </si>
  <si>
    <t>TCNU933139 /2</t>
  </si>
  <si>
    <t>TGHU609641 /3</t>
  </si>
  <si>
    <t>TGHU623035 /3</t>
  </si>
  <si>
    <t>TGHU845285 /3</t>
  </si>
  <si>
    <t>TGHU857904 /6</t>
  </si>
  <si>
    <t>TOPU503238 /9</t>
  </si>
  <si>
    <t>TRLU667802 /9</t>
  </si>
  <si>
    <t>WEDU801919 /7</t>
  </si>
  <si>
    <t>YMLU816005 /6</t>
  </si>
  <si>
    <t>LB0266422</t>
  </si>
  <si>
    <t>LB0266431</t>
  </si>
  <si>
    <t>LB0266299</t>
  </si>
  <si>
    <t>LB0266490</t>
  </si>
  <si>
    <t>LB0266438</t>
  </si>
  <si>
    <t>LB0266485</t>
  </si>
  <si>
    <t>LB0266421</t>
  </si>
  <si>
    <t>LB0266478</t>
  </si>
  <si>
    <t>LB0266437</t>
  </si>
  <si>
    <t>LB0266297</t>
  </si>
  <si>
    <t>LB0266295</t>
  </si>
  <si>
    <t>LB0266423</t>
  </si>
  <si>
    <t>LB0266433</t>
  </si>
  <si>
    <t>LB0266489</t>
  </si>
  <si>
    <t>LB0266482</t>
  </si>
  <si>
    <t>LB0266436</t>
  </si>
  <si>
    <t>LB0266481</t>
  </si>
  <si>
    <t>LB0266488</t>
  </si>
  <si>
    <t>LB0266296</t>
  </si>
  <si>
    <t>LB0266484</t>
  </si>
  <si>
    <t>LB0266483</t>
  </si>
  <si>
    <t>LB0266439</t>
  </si>
  <si>
    <t>LB0266435</t>
  </si>
  <si>
    <t>LB0266348</t>
  </si>
  <si>
    <t>LB0266475</t>
  </si>
  <si>
    <t>LB0266434</t>
  </si>
  <si>
    <t>LB0266432</t>
  </si>
  <si>
    <t>CMAU877794 /3</t>
  </si>
  <si>
    <t>TCKU 997977 /6</t>
  </si>
  <si>
    <t>TDRU461667 /6</t>
  </si>
  <si>
    <t>MRSU345476 /5</t>
  </si>
  <si>
    <t>ML-CN3700789</t>
  </si>
  <si>
    <t>TGBU754937 /0</t>
  </si>
  <si>
    <t>MSMU666679 /4</t>
  </si>
  <si>
    <t>MSDU854545 /5</t>
  </si>
  <si>
    <t>MSNU557983 /1</t>
  </si>
  <si>
    <t>00529-508-31</t>
  </si>
  <si>
    <t>00528-510-31</t>
  </si>
  <si>
    <t>FFAU670430 /8</t>
  </si>
  <si>
    <t>010724-585-34</t>
  </si>
  <si>
    <t>00176-504-31</t>
  </si>
  <si>
    <t>00738-589-31</t>
  </si>
  <si>
    <t>CAIU560903 /3</t>
  </si>
  <si>
    <t xml:space="preserve">F118292 </t>
  </si>
  <si>
    <t xml:space="preserve">SEGU737247 /8 </t>
  </si>
  <si>
    <t>F118251</t>
  </si>
  <si>
    <t>SEGU737263 /1</t>
  </si>
  <si>
    <t>F118296</t>
  </si>
  <si>
    <t>SEGU737305 /2</t>
  </si>
  <si>
    <t>F118291</t>
  </si>
  <si>
    <t>TCLU707021 /9</t>
  </si>
  <si>
    <t xml:space="preserve">F118286 </t>
  </si>
  <si>
    <t>TCLU713118 /7</t>
  </si>
  <si>
    <t xml:space="preserve">F118262 </t>
  </si>
  <si>
    <t>TEXU154116 /4</t>
  </si>
  <si>
    <t xml:space="preserve">F118290 </t>
  </si>
  <si>
    <t>TEXU157181 /0</t>
  </si>
  <si>
    <t xml:space="preserve">F118263 </t>
  </si>
  <si>
    <t>TLLU126525 /3</t>
  </si>
  <si>
    <t>F118269</t>
  </si>
  <si>
    <t>TRIU053365 /6</t>
  </si>
  <si>
    <t>F118281</t>
  </si>
  <si>
    <t>00161ICS0131</t>
  </si>
  <si>
    <t>ECMU266869 /7</t>
  </si>
  <si>
    <t>MSBU803451 /9</t>
  </si>
  <si>
    <t>MSNU733963 /4</t>
  </si>
  <si>
    <t xml:space="preserve">TRHU593641 /3 </t>
  </si>
  <si>
    <t>UETU615930 /5</t>
  </si>
  <si>
    <t>SEKU600313 /0</t>
  </si>
  <si>
    <t>CAAU865822 /9</t>
  </si>
  <si>
    <t>CAAU999511 /6</t>
  </si>
  <si>
    <t>FFAU293917 /7</t>
  </si>
  <si>
    <t>MEDU938762 /9</t>
  </si>
  <si>
    <t xml:space="preserve">MSBU701831 /8 </t>
  </si>
  <si>
    <t>MSDU582015 /2</t>
  </si>
  <si>
    <t xml:space="preserve">MSDU643345 /6 </t>
  </si>
  <si>
    <t>MSDU879402 /0</t>
  </si>
  <si>
    <t>MSMU449068 /5</t>
  </si>
  <si>
    <t>MSMU526705 /9</t>
  </si>
  <si>
    <t>MSMU828891 /8</t>
  </si>
  <si>
    <t>MSNU549749 /8</t>
  </si>
  <si>
    <t>MSNU806904 /5</t>
  </si>
  <si>
    <t>MSNU958094 /9</t>
  </si>
  <si>
    <t>TIIU412362 /5</t>
  </si>
  <si>
    <t>CSGU699239 /4</t>
  </si>
  <si>
    <t xml:space="preserve">CSGU700576 /7 </t>
  </si>
  <si>
    <t>ARKU8399710</t>
  </si>
  <si>
    <t>TCNU3495125</t>
  </si>
  <si>
    <t xml:space="preserve">M9738944 </t>
  </si>
  <si>
    <t>FJ25951744</t>
  </si>
  <si>
    <t>FJ25951745</t>
  </si>
  <si>
    <t>FJ25951753</t>
  </si>
  <si>
    <t>FJ25951748</t>
  </si>
  <si>
    <t xml:space="preserve"> FJ25951749</t>
  </si>
  <si>
    <t>FJ25951750</t>
  </si>
  <si>
    <t>FJ25951751</t>
  </si>
  <si>
    <t xml:space="preserve"> FJ25951752 </t>
  </si>
  <si>
    <t>FJ25951746</t>
  </si>
  <si>
    <t>FJ25951754</t>
  </si>
  <si>
    <t>FJ25947780</t>
  </si>
  <si>
    <t>FJ25951755</t>
  </si>
  <si>
    <t>FJ25951756</t>
  </si>
  <si>
    <t>B2463499</t>
  </si>
  <si>
    <t>B2463310</t>
  </si>
  <si>
    <t>00515ICS0081</t>
  </si>
  <si>
    <t>0105ICS0004</t>
  </si>
  <si>
    <t>00547ICS0093 /4</t>
  </si>
  <si>
    <t>00105ICS0019</t>
  </si>
  <si>
    <t>0104ICS0023</t>
  </si>
  <si>
    <t xml:space="preserve">00104ICS0005 </t>
  </si>
  <si>
    <t>FJ25951757</t>
  </si>
  <si>
    <t>FJ25951747</t>
  </si>
  <si>
    <t>FFAU305208 /4</t>
  </si>
  <si>
    <t>CV</t>
  </si>
  <si>
    <t>HB368401</t>
  </si>
  <si>
    <t>00070-505-31</t>
  </si>
  <si>
    <t>00172-516-31</t>
  </si>
  <si>
    <t>MSMU625103 /6</t>
  </si>
  <si>
    <t>26/0056887</t>
  </si>
  <si>
    <t xml:space="preserve">Scelle </t>
  </si>
  <si>
    <t xml:space="preserve"> </t>
  </si>
  <si>
    <t>00037-517-31</t>
  </si>
  <si>
    <t>DFSU723583 /9</t>
  </si>
  <si>
    <t>FCIU409524 /1</t>
  </si>
  <si>
    <t>CAJU522157 /1</t>
  </si>
  <si>
    <t>SEKU444471 /1</t>
  </si>
  <si>
    <t>ML-CN6393039</t>
  </si>
  <si>
    <t>MRSU536454 /7</t>
  </si>
  <si>
    <t>MRSU687466 /9</t>
  </si>
  <si>
    <t>CN3899476</t>
  </si>
  <si>
    <t>CN6337817</t>
  </si>
  <si>
    <t>ECMU809626 /4</t>
  </si>
  <si>
    <t>TDRU909110 /6</t>
  </si>
  <si>
    <t>00394-517-31</t>
  </si>
  <si>
    <t>00378-516-31</t>
  </si>
  <si>
    <t>00425-505-31</t>
  </si>
  <si>
    <t>00554-514-31</t>
  </si>
  <si>
    <t>TEMU565544 /9</t>
  </si>
  <si>
    <t>SEGU323855 /8</t>
  </si>
  <si>
    <t>TEMU068508 /1</t>
  </si>
  <si>
    <t>CMAU011596 /1</t>
  </si>
  <si>
    <t>00067-515-31</t>
  </si>
  <si>
    <t>00701-509-31</t>
  </si>
  <si>
    <t>00108-515-31</t>
  </si>
  <si>
    <t>00133-515-31</t>
  </si>
  <si>
    <t>TEMU252340 /7</t>
  </si>
  <si>
    <t>CRSU145321 /9</t>
  </si>
  <si>
    <t>00385-516-31</t>
  </si>
  <si>
    <t>CMAU230176 /0</t>
  </si>
  <si>
    <t>0068-515-31</t>
  </si>
  <si>
    <t xml:space="preserve">TEMU359990 /0 </t>
  </si>
  <si>
    <t>FX46306546</t>
  </si>
  <si>
    <t>CMAU368040 /0</t>
  </si>
  <si>
    <t>A039495</t>
  </si>
  <si>
    <t>ECMU493389 /2</t>
  </si>
  <si>
    <t>A039482</t>
  </si>
  <si>
    <t>ECMU523561 /7</t>
  </si>
  <si>
    <t>A039416</t>
  </si>
  <si>
    <t>SEGU440329 /8</t>
  </si>
  <si>
    <t>A039403</t>
  </si>
  <si>
    <t>SEKU609420 /6</t>
  </si>
  <si>
    <t>A039368</t>
  </si>
  <si>
    <t xml:space="preserve">TCNU351908 /4 </t>
  </si>
  <si>
    <t>A039485</t>
  </si>
  <si>
    <t xml:space="preserve">TGBU415699 /6 </t>
  </si>
  <si>
    <t>A039450</t>
  </si>
  <si>
    <t>TLLU462879 /5</t>
  </si>
  <si>
    <t>A039458</t>
  </si>
  <si>
    <t>TXGU442737 /0</t>
  </si>
  <si>
    <t>A039391</t>
  </si>
  <si>
    <t>TXGU846880 /3</t>
  </si>
  <si>
    <t>ECMU815877 /2</t>
  </si>
  <si>
    <t xml:space="preserve">J0211640 </t>
  </si>
  <si>
    <t>WTLU500362 /4</t>
  </si>
  <si>
    <t>W17501</t>
  </si>
  <si>
    <t xml:space="preserve">CMAU229574 /9 </t>
  </si>
  <si>
    <t>M7399417</t>
  </si>
  <si>
    <t xml:space="preserve">CMAU238193 /4 </t>
  </si>
  <si>
    <t>M7399419</t>
  </si>
  <si>
    <t>ECMU294199 /1</t>
  </si>
  <si>
    <t>M7399384</t>
  </si>
  <si>
    <t>ECMU295618 /4</t>
  </si>
  <si>
    <t>M7399466</t>
  </si>
  <si>
    <t xml:space="preserve">TEMU032969 /2 </t>
  </si>
  <si>
    <t>M7349446</t>
  </si>
  <si>
    <t xml:space="preserve">ECMU741339 /0 </t>
  </si>
  <si>
    <t>L7840355</t>
  </si>
  <si>
    <t>00111ICS0059</t>
  </si>
  <si>
    <t xml:space="preserve">00174ICS0069 </t>
  </si>
  <si>
    <t>00174ICS0282</t>
  </si>
  <si>
    <t xml:space="preserve">00111ICS0004 </t>
  </si>
  <si>
    <t xml:space="preserve">00174ICS0248 </t>
  </si>
  <si>
    <t>00174ICS0150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</si>
  <si>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</si>
  <si>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MSMU408797 /8</t>
  </si>
  <si>
    <t>FX43172413</t>
  </si>
  <si>
    <t>ECMU282389 /6</t>
  </si>
  <si>
    <t>MAGU252239 /6</t>
  </si>
  <si>
    <t>SEGU186240 /0</t>
  </si>
  <si>
    <t>SEGU189868 /1</t>
  </si>
  <si>
    <t>00108-516-31</t>
  </si>
  <si>
    <t>00303-517-31</t>
  </si>
  <si>
    <t>MRSU426341 /8</t>
  </si>
  <si>
    <t>TCNU262349 /5</t>
  </si>
  <si>
    <t>ML-CN3700782</t>
  </si>
  <si>
    <t>GROUPAGE</t>
  </si>
  <si>
    <t>Depotage</t>
  </si>
  <si>
    <t>00020-507-31</t>
  </si>
  <si>
    <t>00217-507-31</t>
  </si>
  <si>
    <t>LB37-TX608457</t>
  </si>
  <si>
    <t>LB37-TX608458</t>
  </si>
  <si>
    <t>LB37-TX608459</t>
  </si>
  <si>
    <t>LB37-TX608460</t>
  </si>
  <si>
    <t>APHU738346 /4</t>
  </si>
  <si>
    <t>M8314725</t>
  </si>
  <si>
    <t>APZU445159 /4</t>
  </si>
  <si>
    <t>M8098826</t>
  </si>
  <si>
    <t>BMOU643970 /7</t>
  </si>
  <si>
    <t>M8803623</t>
  </si>
  <si>
    <t>CAAU835917 /2</t>
  </si>
  <si>
    <t>M8801870</t>
  </si>
  <si>
    <t>CMAU360083 /1</t>
  </si>
  <si>
    <t>M8803451</t>
  </si>
  <si>
    <t>CMAU654785 /4</t>
  </si>
  <si>
    <t>M8096110</t>
  </si>
  <si>
    <t>FSCU714396 /0</t>
  </si>
  <si>
    <t>M8096204</t>
  </si>
  <si>
    <t>GAOU683187 /2</t>
  </si>
  <si>
    <t>M8096072</t>
  </si>
  <si>
    <t>GESU657116 /7</t>
  </si>
  <si>
    <t>M8801715</t>
  </si>
  <si>
    <t>HPCU472969 /7</t>
  </si>
  <si>
    <t>M8096170</t>
  </si>
  <si>
    <t>SEGU400772 /2</t>
  </si>
  <si>
    <t>M8096063</t>
  </si>
  <si>
    <t>SEGU538785 /9</t>
  </si>
  <si>
    <t>M8314744</t>
  </si>
  <si>
    <t>TCKU411038 /9</t>
  </si>
  <si>
    <t>M8098945</t>
  </si>
  <si>
    <t>TCLU151445 /0</t>
  </si>
  <si>
    <t>M8801677</t>
  </si>
  <si>
    <t>TCLU429361 /0</t>
  </si>
  <si>
    <t>M8098857</t>
  </si>
  <si>
    <t>TCLU978302 /9</t>
  </si>
  <si>
    <t>M8096156</t>
  </si>
  <si>
    <t>TCNU469131 /2</t>
  </si>
  <si>
    <t>M8798566</t>
  </si>
  <si>
    <t>TCNU613965 /8</t>
  </si>
  <si>
    <t>M8314642</t>
  </si>
  <si>
    <t>TRHU720519 /3</t>
  </si>
  <si>
    <t>M8803420</t>
  </si>
  <si>
    <t>TRHU826611 /0</t>
  </si>
  <si>
    <t>M8801885</t>
  </si>
  <si>
    <t>CMAU596402 /5</t>
  </si>
  <si>
    <t>M8096127</t>
  </si>
  <si>
    <t>MAGU572975 /1</t>
  </si>
  <si>
    <t>MSBU531205 /1</t>
  </si>
  <si>
    <t>MSBU642243 /0</t>
  </si>
  <si>
    <t>MSMU709369 /7</t>
  </si>
  <si>
    <t>FJ27472011</t>
  </si>
  <si>
    <t>MSNU770695 /6</t>
  </si>
  <si>
    <t>FJ27188416</t>
  </si>
  <si>
    <t>pb tc ferme</t>
  </si>
  <si>
    <t>00361-515-31</t>
  </si>
  <si>
    <t>000574-511-05</t>
  </si>
  <si>
    <t>04157-584-16</t>
  </si>
  <si>
    <t>16513-509-14</t>
  </si>
  <si>
    <t>003409-582-46</t>
  </si>
  <si>
    <t>01076-505-45</t>
  </si>
  <si>
    <t>006898-590-02</t>
  </si>
  <si>
    <t>5000002-513-48</t>
  </si>
  <si>
    <t>000009-500-31</t>
  </si>
  <si>
    <t>0002007-587-31</t>
  </si>
  <si>
    <t>00724-509-31</t>
  </si>
  <si>
    <t>021452-509-02</t>
  </si>
  <si>
    <t>000989-588-16</t>
  </si>
  <si>
    <t>01076-595-45</t>
  </si>
  <si>
    <t>LFV2-S6541882</t>
  </si>
  <si>
    <t>LSVF-SN010691</t>
  </si>
  <si>
    <t>LSVF-SN010762</t>
  </si>
  <si>
    <t>LSVF-SN010696</t>
  </si>
  <si>
    <t>LSVF-SN010694</t>
  </si>
  <si>
    <t>AUDI</t>
  </si>
  <si>
    <t>POLO</t>
  </si>
  <si>
    <t>500067-515-31</t>
  </si>
  <si>
    <t>04157-584-46</t>
  </si>
  <si>
    <t>500002-513-48</t>
  </si>
  <si>
    <t>GELLY COOL</t>
  </si>
  <si>
    <t>0347</t>
  </si>
  <si>
    <t>0348</t>
  </si>
  <si>
    <t>0541</t>
  </si>
  <si>
    <t>0350</t>
  </si>
  <si>
    <t>NN° Scellé</t>
  </si>
  <si>
    <t>LMGH-T3258192</t>
  </si>
  <si>
    <t>LMGH-T3258195</t>
  </si>
  <si>
    <t>LMGH-T3246827</t>
  </si>
  <si>
    <t>LMGH-T3246900</t>
  </si>
  <si>
    <t>GAC GS3</t>
  </si>
  <si>
    <t>00054-511-31</t>
  </si>
  <si>
    <t>MSNU928137 /8</t>
  </si>
  <si>
    <t xml:space="preserve">FX47338080 </t>
  </si>
  <si>
    <t>MSDU836912 /4</t>
  </si>
  <si>
    <t xml:space="preserve">FX44278929 </t>
  </si>
  <si>
    <t>MSBU107698 /1</t>
  </si>
  <si>
    <t>FX44302566</t>
  </si>
  <si>
    <t>MSBU404538 /8</t>
  </si>
  <si>
    <t>FX44302565</t>
  </si>
  <si>
    <t>MRKU581407 /1</t>
  </si>
  <si>
    <t xml:space="preserve">CN3706927 </t>
  </si>
  <si>
    <t xml:space="preserve">MRSU455055 /2 </t>
  </si>
  <si>
    <t>CN6250820</t>
  </si>
  <si>
    <t>TCNU857774 /0</t>
  </si>
  <si>
    <t>CN6455438</t>
  </si>
  <si>
    <t>MRSU675991 /6</t>
  </si>
  <si>
    <t>CN3708599</t>
  </si>
  <si>
    <t xml:space="preserve">MSNU759748 /0 </t>
  </si>
  <si>
    <t>FX47336575</t>
  </si>
  <si>
    <t>MSMU424809 /6</t>
  </si>
  <si>
    <t>FX39706315</t>
  </si>
  <si>
    <t>MSMU765166 /0</t>
  </si>
  <si>
    <t>FX39706314</t>
  </si>
  <si>
    <t>MSNU605673 /2</t>
  </si>
  <si>
    <t>FX39706313</t>
  </si>
  <si>
    <t>MSNU891808 /1</t>
  </si>
  <si>
    <t>FX39706312</t>
  </si>
  <si>
    <t>TXGU534053 /1</t>
  </si>
  <si>
    <t>FX39706316</t>
  </si>
  <si>
    <t>UETU757271 /4</t>
  </si>
  <si>
    <t>FX39706311</t>
  </si>
  <si>
    <t xml:space="preserve">00115ICS0048 </t>
  </si>
  <si>
    <t>00115ICS0149</t>
  </si>
  <si>
    <t xml:space="preserve">00115ICS0153 </t>
  </si>
  <si>
    <t xml:space="preserve">0059ICS0029 </t>
  </si>
  <si>
    <t xml:space="preserve">0059ICS0061 </t>
  </si>
  <si>
    <t xml:space="preserve">0059ICS0070 </t>
  </si>
  <si>
    <t xml:space="preserve">0059ICS0078 </t>
  </si>
  <si>
    <t>00115ICS0015</t>
  </si>
  <si>
    <t>00115ICS0006</t>
  </si>
  <si>
    <t>1/2</t>
  </si>
  <si>
    <t>2/2</t>
  </si>
  <si>
    <t>CMAU5808193</t>
  </si>
  <si>
    <t>K1730386</t>
  </si>
  <si>
    <t>SEKU6752544</t>
  </si>
  <si>
    <t xml:space="preserve">00547ICS0002 </t>
  </si>
  <si>
    <t xml:space="preserve">00116ICS0011 </t>
  </si>
  <si>
    <t>MRSU723163 /0</t>
  </si>
  <si>
    <t>ML-CN2470218</t>
  </si>
  <si>
    <t>TGHU692335 /8</t>
  </si>
  <si>
    <t>ML-CN3206831</t>
  </si>
  <si>
    <t>MRKU355546 /0</t>
  </si>
  <si>
    <t>ML-CN7825456</t>
  </si>
  <si>
    <t>MRSU331904 /5</t>
  </si>
  <si>
    <t>ML-CN7825573</t>
  </si>
  <si>
    <t xml:space="preserve">FFAU519002 /0 </t>
  </si>
  <si>
    <t>MSMU840453 /5</t>
  </si>
  <si>
    <t>LG00460566</t>
  </si>
  <si>
    <t>MSNU803360 /7</t>
  </si>
  <si>
    <t>LG00460591</t>
  </si>
  <si>
    <t>TCLU798602 /7</t>
  </si>
  <si>
    <t>ML-CN4068822</t>
  </si>
  <si>
    <t>MRKU503755 /7</t>
  </si>
  <si>
    <t>ML-CN6216316</t>
  </si>
  <si>
    <t>MRKU660441 /8</t>
  </si>
  <si>
    <t>ML-CN4852480</t>
  </si>
  <si>
    <t>MRKU719113 /4</t>
  </si>
  <si>
    <t>ML-CN4852491</t>
  </si>
  <si>
    <t>00132-525-31</t>
  </si>
  <si>
    <t>00066-520-31</t>
  </si>
  <si>
    <t>TCLU1710788</t>
  </si>
  <si>
    <t>FFAU186123 /8</t>
  </si>
  <si>
    <t>00371-511-31</t>
  </si>
  <si>
    <t>00014-594-31</t>
  </si>
  <si>
    <t>INKU631078 /8</t>
  </si>
  <si>
    <t>CN4478941</t>
  </si>
  <si>
    <t>00375-595-31</t>
  </si>
  <si>
    <t>00327-510-31</t>
  </si>
  <si>
    <t>LLV2-T0220609</t>
  </si>
  <si>
    <t>LLV2-T0222940</t>
  </si>
  <si>
    <t>LB37-TX609455</t>
  </si>
  <si>
    <t>LIVAN</t>
  </si>
  <si>
    <t>LLV2-T0220629</t>
  </si>
  <si>
    <t>LLV2-T0215832</t>
  </si>
  <si>
    <t>LLV2-T0215818</t>
  </si>
  <si>
    <t>LLV2-T0216534</t>
  </si>
  <si>
    <t>LLV2-T0215836</t>
  </si>
  <si>
    <t>GELLY BOY</t>
  </si>
  <si>
    <t>LMG-T3241474</t>
  </si>
  <si>
    <t>LMG-T3241501</t>
  </si>
  <si>
    <t>LMG-T3241545</t>
  </si>
  <si>
    <t>MSDU459782 /5</t>
  </si>
  <si>
    <t>3739580</t>
  </si>
  <si>
    <t>40</t>
  </si>
  <si>
    <t>MSBU403770 /0</t>
  </si>
  <si>
    <t>KN099983</t>
  </si>
  <si>
    <t>MSDU407254 /4</t>
  </si>
  <si>
    <t>DD0032</t>
  </si>
  <si>
    <t>TGHU509513 /5</t>
  </si>
  <si>
    <t>DD0031</t>
  </si>
  <si>
    <t>BMOU595766 /1</t>
  </si>
  <si>
    <t>FX44664381</t>
  </si>
  <si>
    <t>TEXU157949 /4</t>
  </si>
  <si>
    <t>B2122952</t>
  </si>
  <si>
    <t>TEXU158364 /2</t>
  </si>
  <si>
    <t>B2122970</t>
  </si>
  <si>
    <t>TRLU694920 /2</t>
  </si>
  <si>
    <t>083381</t>
  </si>
  <si>
    <t>00117ICS0081</t>
  </si>
  <si>
    <t>00117ICS0036</t>
  </si>
  <si>
    <t>00117ICS0005</t>
  </si>
  <si>
    <t>MRSU542442 /0</t>
  </si>
  <si>
    <t>ML-CN6393033</t>
  </si>
  <si>
    <t>00117ICS0087</t>
  </si>
  <si>
    <t>005400-594-28</t>
  </si>
  <si>
    <t>00358-511-31</t>
  </si>
  <si>
    <t>0009-509-31</t>
  </si>
  <si>
    <t>02055-584-31</t>
  </si>
  <si>
    <t>01402-590-31</t>
  </si>
  <si>
    <t>00470-514-31</t>
  </si>
  <si>
    <t>00109-513-13</t>
  </si>
  <si>
    <t>TCLU197143 /6</t>
  </si>
  <si>
    <t>TRLU948903 /4</t>
  </si>
  <si>
    <t>L7956894</t>
  </si>
  <si>
    <t>TGCU546808 /2</t>
  </si>
  <si>
    <t>L7859611</t>
  </si>
  <si>
    <t>CMAU225333 /7</t>
  </si>
  <si>
    <t>001577</t>
  </si>
  <si>
    <t>CMAU265891 /0</t>
  </si>
  <si>
    <t>005369</t>
  </si>
  <si>
    <t>CMAU326542 /0</t>
  </si>
  <si>
    <t>SEKU160562 /2</t>
  </si>
  <si>
    <t>TCLU734251 /2</t>
  </si>
  <si>
    <t>TLLU313561 /8</t>
  </si>
  <si>
    <t>005370</t>
  </si>
  <si>
    <t>APZU482800 /8</t>
  </si>
  <si>
    <t>AG565794</t>
  </si>
  <si>
    <t>TEMU319824 /0</t>
  </si>
  <si>
    <t>AG565795</t>
  </si>
  <si>
    <t>0566ICS0027</t>
  </si>
  <si>
    <t>0186ICS0126</t>
  </si>
  <si>
    <t>0186ICS0028</t>
  </si>
  <si>
    <t>0566ICS0050</t>
  </si>
  <si>
    <t>00168</t>
  </si>
  <si>
    <t>00183</t>
  </si>
  <si>
    <t>00163</t>
  </si>
  <si>
    <t>HASU148037 /0</t>
  </si>
  <si>
    <t>TCLU717677 /2</t>
  </si>
  <si>
    <t>PP1345143</t>
  </si>
  <si>
    <t>PP1345144</t>
  </si>
  <si>
    <t>LSV-SN012280</t>
  </si>
  <si>
    <t xml:space="preserve">SKODA </t>
  </si>
  <si>
    <t>LSV-SN012164</t>
  </si>
  <si>
    <t>LAVIDA</t>
  </si>
  <si>
    <t>LSV-SN216847</t>
  </si>
  <si>
    <t>LSV-SN213121</t>
  </si>
  <si>
    <t>LSV-SN213111</t>
  </si>
  <si>
    <t>00181-509-22</t>
  </si>
  <si>
    <t>00121-517-31</t>
  </si>
  <si>
    <t>00122-517-31</t>
  </si>
  <si>
    <t>00118-517-31</t>
  </si>
  <si>
    <t>MEDU801919 /7</t>
  </si>
  <si>
    <t>MRSU455055 /2</t>
  </si>
  <si>
    <t>FJ27816923</t>
  </si>
  <si>
    <t>CAIU763401 /4</t>
  </si>
  <si>
    <t>TCNU364693 /6</t>
  </si>
  <si>
    <t>0361693</t>
  </si>
  <si>
    <t>CMAU285639 /3</t>
  </si>
  <si>
    <t>B84818</t>
  </si>
  <si>
    <t>MRKU753756 /7</t>
  </si>
  <si>
    <t>MRKU772089 /7</t>
  </si>
  <si>
    <t>MRKU905919 /5</t>
  </si>
  <si>
    <t>MRSU023326 /7</t>
  </si>
  <si>
    <t>MSKU704341 /6</t>
  </si>
  <si>
    <t>MSKU730475 /7</t>
  </si>
  <si>
    <t>TCLU768371 /4</t>
  </si>
  <si>
    <t>25H1461534</t>
  </si>
  <si>
    <t>00577ICS0004</t>
  </si>
  <si>
    <t>00577ICS0025</t>
  </si>
  <si>
    <t>0064ICS0007</t>
  </si>
  <si>
    <t>ML-IN2987561</t>
  </si>
  <si>
    <t>ML-IN2987565</t>
  </si>
  <si>
    <t>ML-IN2987562</t>
  </si>
  <si>
    <t>ML-IN2987566</t>
  </si>
  <si>
    <t>ML-IN2987564</t>
  </si>
  <si>
    <t>ML-IN2987563</t>
  </si>
  <si>
    <t>08601-503-27</t>
  </si>
  <si>
    <t>10640-504-27</t>
  </si>
  <si>
    <t>09889-512-27</t>
  </si>
  <si>
    <t>00073-506-27</t>
  </si>
  <si>
    <t>20469-511-27</t>
  </si>
  <si>
    <t>23089-511-27</t>
  </si>
  <si>
    <t>03198-508-27</t>
  </si>
  <si>
    <t>000740-589-35</t>
  </si>
  <si>
    <t>00332-513-31</t>
  </si>
  <si>
    <t>01450-590-31</t>
  </si>
  <si>
    <t>02053-587-31</t>
  </si>
  <si>
    <t>00125-523-31</t>
  </si>
  <si>
    <t>00001-512-20</t>
  </si>
  <si>
    <t>00123-51631</t>
  </si>
  <si>
    <t>00125-524-31</t>
  </si>
  <si>
    <t>00523-592-31</t>
  </si>
  <si>
    <t>00235-509-31</t>
  </si>
  <si>
    <t>ARKU839971 /0</t>
  </si>
  <si>
    <t>TCNU349512 /5</t>
  </si>
  <si>
    <t>00161-509-31</t>
  </si>
  <si>
    <t>FFAU519002 /0</t>
  </si>
  <si>
    <t>00297-511-31</t>
  </si>
  <si>
    <t>00025-509-22</t>
  </si>
  <si>
    <t>GAXU903878 /3</t>
  </si>
  <si>
    <t>00440-504-31</t>
  </si>
  <si>
    <t>00115-517-31</t>
  </si>
  <si>
    <t>00068-515-31</t>
  </si>
  <si>
    <t>MEDU957207 /8</t>
  </si>
  <si>
    <t>FX47781171</t>
  </si>
  <si>
    <t>45</t>
  </si>
  <si>
    <t>FTAU146218 /0</t>
  </si>
  <si>
    <t>FX46512162</t>
  </si>
  <si>
    <t>20</t>
  </si>
  <si>
    <t>HPCU235131 /3</t>
  </si>
  <si>
    <t>FX46521110</t>
  </si>
  <si>
    <t>MEDU594756 /1</t>
  </si>
  <si>
    <t>FX46518036</t>
  </si>
  <si>
    <t>MSDU122196 /3</t>
  </si>
  <si>
    <t>FX46518049</t>
  </si>
  <si>
    <t>MSDU159519 /8</t>
  </si>
  <si>
    <t>FX46516991</t>
  </si>
  <si>
    <t>MSDU220311 /5</t>
  </si>
  <si>
    <t>FX46519272</t>
  </si>
  <si>
    <t>MSMU363561 /3</t>
  </si>
  <si>
    <t>FX46519273</t>
  </si>
  <si>
    <t>TCKU294842 /8</t>
  </si>
  <si>
    <t>FX46512125</t>
  </si>
  <si>
    <t>CAAU584007 /6</t>
  </si>
  <si>
    <t>FJ27554603</t>
  </si>
  <si>
    <t>00125ICS0300</t>
  </si>
  <si>
    <t>00125ICS0153</t>
  </si>
  <si>
    <t>00125ICS0131</t>
  </si>
  <si>
    <t>000363-515-31</t>
  </si>
  <si>
    <t>000108-515-31</t>
  </si>
  <si>
    <t>000701-509-31</t>
  </si>
  <si>
    <t>00364-515-31</t>
  </si>
  <si>
    <t>FFAU372824 /5</t>
  </si>
  <si>
    <t>MSBU733842 /0</t>
  </si>
  <si>
    <t>00332-516-31</t>
  </si>
  <si>
    <t>00140-525-31</t>
  </si>
  <si>
    <t>5000016-525-31</t>
  </si>
  <si>
    <t>00296-515-31</t>
  </si>
  <si>
    <t>5000017-525-31</t>
  </si>
  <si>
    <t>00141-525-31</t>
  </si>
  <si>
    <t>500018-525-31</t>
  </si>
  <si>
    <t>00124-523-31</t>
  </si>
  <si>
    <t>KOCU444962 /9</t>
  </si>
  <si>
    <t>25H1283786</t>
  </si>
  <si>
    <t>MSBU679925 /8</t>
  </si>
  <si>
    <t>FJ27192156</t>
  </si>
  <si>
    <t>MEDU744845 /3</t>
  </si>
  <si>
    <t>FX46376357</t>
  </si>
  <si>
    <t>00096-511-31</t>
  </si>
  <si>
    <t>SEKU675254 /4</t>
  </si>
  <si>
    <t>TCLU171078 /8</t>
  </si>
  <si>
    <t>00258-518-31</t>
  </si>
  <si>
    <t>CN3706927</t>
  </si>
  <si>
    <t>CAAU623335 /4</t>
  </si>
  <si>
    <t>M5176915</t>
  </si>
  <si>
    <t>ECMU512820 /2</t>
  </si>
  <si>
    <t>R9410054</t>
  </si>
  <si>
    <t>TLLU468314 /9</t>
  </si>
  <si>
    <t>M8351211</t>
  </si>
  <si>
    <t>MSNU191236 /9</t>
  </si>
  <si>
    <t>SK360769</t>
  </si>
  <si>
    <t>MSMU834901 /6</t>
  </si>
  <si>
    <t>B2506030</t>
  </si>
  <si>
    <t>TRHU875969 /3</t>
  </si>
  <si>
    <t>549293</t>
  </si>
  <si>
    <t>BMOU661509 /3</t>
  </si>
  <si>
    <t>M9771663</t>
  </si>
  <si>
    <t>CMAU897134 /7</t>
  </si>
  <si>
    <t>M8704971</t>
  </si>
  <si>
    <t>TLLU480817 /0</t>
  </si>
  <si>
    <t>M8693387</t>
  </si>
  <si>
    <t>CAIU873171 /8</t>
  </si>
  <si>
    <t>1072594</t>
  </si>
  <si>
    <t>MEDU733219 /1</t>
  </si>
  <si>
    <t>1072595</t>
  </si>
  <si>
    <t>TTNU102467 /0</t>
  </si>
  <si>
    <t>3602841</t>
  </si>
  <si>
    <t>TRHU194179 /3</t>
  </si>
  <si>
    <t>4250703</t>
  </si>
  <si>
    <t>00603ICS0002</t>
  </si>
  <si>
    <t>00603ICS0039</t>
  </si>
  <si>
    <t>00132ICS0057</t>
  </si>
  <si>
    <t>00132ICS0031</t>
  </si>
  <si>
    <t>00138ICS0012</t>
  </si>
  <si>
    <t>00603ICS0150</t>
  </si>
  <si>
    <t>00132ICS0019</t>
  </si>
  <si>
    <t>00603ICS0136</t>
  </si>
  <si>
    <t>00132ICS0079</t>
  </si>
  <si>
    <t>00603ICS0107</t>
  </si>
  <si>
    <t>00416-512-31</t>
  </si>
  <si>
    <t>APZU440364 /1</t>
  </si>
  <si>
    <t>WFHU415155 /5</t>
  </si>
  <si>
    <t>MSMU922668 /0</t>
  </si>
  <si>
    <t>02175-588-31</t>
  </si>
  <si>
    <t>00758-589-31</t>
  </si>
  <si>
    <t>00375-588-31</t>
  </si>
  <si>
    <t>00325-510-31</t>
  </si>
  <si>
    <t>00161-510-31</t>
  </si>
  <si>
    <t>00519ICS0018/1</t>
  </si>
  <si>
    <t>SUDU866062 /7</t>
  </si>
  <si>
    <t>CN6284860</t>
  </si>
  <si>
    <t xml:space="preserve">CAXU980455 /4 </t>
  </si>
  <si>
    <t>LB0263348</t>
  </si>
  <si>
    <t>HPCU401947 /9</t>
  </si>
  <si>
    <t>LB0263349</t>
  </si>
  <si>
    <t>LCGU800158 /0</t>
  </si>
  <si>
    <t>LB0263393</t>
  </si>
  <si>
    <t>00044-595-31</t>
  </si>
  <si>
    <t>000332-513-31</t>
  </si>
  <si>
    <t>000256-512-31</t>
  </si>
  <si>
    <t>00362-516-31</t>
  </si>
  <si>
    <t>000117-523-31</t>
  </si>
  <si>
    <t>00316-519-31</t>
  </si>
  <si>
    <t>ECMU741339 /0</t>
  </si>
  <si>
    <t>00224-596-31</t>
  </si>
  <si>
    <t>00359-515-31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</si>
</sst>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##&quot;/&quot;##&quot;/&quot;####"/>
  </numFmts>
  <fonts count="22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1"/>
      <color rgb="FFFFFFFF"/>
      <name val="Segoe UI"/>
      <family val="2"/>
    </font>
    <font>
      <b/>
      <sz val="10"/>
      <color rgb="FF1A1A1A"/>
      <name val="Segoe UI"/>
      <family val="2"/>
    </font>
    <font>
      <b/>
      <sz val="11"/>
      <color rgb="FF2C3E50"/>
      <name val="Segoe UI"/>
      <family val="2"/>
    </font>
    <font>
      <sz val="10"/>
      <name val="Calibri"/>
      <family val="2"/>
    </font>
    <font>
      <b/>
      <sz val="12"/>
      <name val="Calibri"/>
      <family val="2"/>
    </font>
    <font>
      <b/>
      <sz val="10"/>
      <color rgb="FFFFFFFF"/>
      <name val="Segoe UI"/>
      <family val="2"/>
    </font>
    <font>
      <b/>
      <sz val="16"/>
      <name val="Segoe UI"/>
      <family val="2"/>
    </font>
    <font>
      <b/>
      <sz val="11"/>
      <name val="Calibri"/>
      <family val="2"/>
    </font>
    <font>
      <b/>
      <sz val="10"/>
      <color rgb="FF2C3E50"/>
      <name val="Segoe UI"/>
      <family val="2"/>
    </font>
    <font>
      <sz val="10"/>
      <color rgb="FF334155"/>
      <name val="Segoe UI"/>
      <family val="2"/>
    </font>
    <font>
      <sz val="10"/>
      <name val="Segoe UI"/>
      <family val="2"/>
    </font>
    <font>
      <sz val="8"/>
      <name val="Calibri"/>
      <family val="2"/>
      <scheme val="minor"/>
    </font>
    <font>
      <sz val="10"/>
      <color rgb="FF000000"/>
      <name val="Segoe UI"/>
      <family val="2"/>
    </font>
    <font>
      <b/>
      <sz val="10"/>
      <color theme="0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10"/>
      <color rgb="FF000000"/>
      <name val="Segoe UI"/>
    </font>
    <font>
      <sz val="9"/>
      <color rgb="FF000000"/>
      <name val="Segoe UI"/>
      <family val="2"/>
    </font>
    <font>
      <sz val="11"/>
      <color rgb="FF000000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9F9"/>
        <bgColor rgb="FFF8F9F9"/>
      </patternFill>
    </fill>
    <fill>
      <patternFill patternType="solid">
        <fgColor rgb="FFD6EAF8"/>
        <bgColor rgb="FFD6EAF8"/>
      </patternFill>
    </fill>
    <fill>
      <patternFill patternType="solid">
        <fgColor rgb="FFFCF3CF"/>
        <bgColor rgb="FFFCF3CF"/>
      </patternFill>
    </fill>
    <fill>
      <patternFill patternType="solid">
        <fgColor rgb="FFFFC000"/>
        <bgColor indexed="64"/>
      </patternFill>
    </fill>
    <fill>
      <patternFill patternType="solid">
        <fgColor rgb="FFED0000"/>
        <bgColor rgb="FF2C3E50"/>
      </patternFill>
    </fill>
    <fill>
      <patternFill patternType="solid">
        <fgColor rgb="FF2C3E50"/>
        <bgColor rgb="FF2C3E50"/>
      </patternFill>
    </fill>
    <fill>
      <patternFill patternType="solid">
        <fgColor rgb="FFFFFF0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2C3E50"/>
      </patternFill>
    </fill>
  </fills>
  <borders count="2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14" fontId="9" fillId="0" borderId="0" xfId="0" applyNumberFormat="1" applyFont="1" applyAlignment="1">
      <alignment horizontal="center" vertical="center"/>
    </xf>
    <xf numFmtId="0" fontId="10" fillId="0" borderId="0" xfId="0" applyFont="1"/>
    <xf numFmtId="0" fontId="7" fillId="8" borderId="2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14" fontId="11" fillId="0" borderId="6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/>
    </xf>
    <xf numFmtId="14" fontId="11" fillId="0" borderId="9" xfId="0" applyNumberFormat="1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0" fillId="0" borderId="0" xfId="0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14" fontId="11" fillId="0" borderId="12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14" fontId="6" fillId="0" borderId="0" xfId="0" applyNumberFormat="1" applyFont="1" applyAlignment="1">
      <alignment horizontal="center" vertical="center"/>
    </xf>
    <xf numFmtId="165" fontId="11" fillId="0" borderId="6" xfId="0" applyNumberFormat="1" applyFont="1" applyBorder="1" applyAlignment="1">
      <alignment horizontal="center"/>
    </xf>
    <xf numFmtId="165" fontId="11" fillId="0" borderId="9" xfId="0" applyNumberFormat="1" applyFont="1" applyBorder="1" applyAlignment="1">
      <alignment horizontal="center"/>
    </xf>
    <xf numFmtId="165" fontId="11" fillId="0" borderId="12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165" fontId="11" fillId="0" borderId="15" xfId="0" applyNumberFormat="1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1" fillId="0" borderId="6" xfId="0" quotePrefix="1" applyFont="1" applyBorder="1" applyAlignment="1">
      <alignment horizontal="center"/>
    </xf>
    <xf numFmtId="14" fontId="11" fillId="0" borderId="15" xfId="0" applyNumberFormat="1" applyFont="1" applyBorder="1" applyAlignment="1">
      <alignment horizontal="center"/>
    </xf>
    <xf numFmtId="0" fontId="11" fillId="0" borderId="15" xfId="0" quotePrefix="1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/>
    </xf>
    <xf numFmtId="0" fontId="12" fillId="0" borderId="15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9" xfId="0" applyFont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14" fontId="12" fillId="0" borderId="20" xfId="0" applyNumberFormat="1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/>
    </xf>
    <xf numFmtId="14" fontId="1" fillId="0" borderId="18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2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 wrapText="1"/>
    </xf>
    <xf numFmtId="14" fontId="12" fillId="0" borderId="9" xfId="0" applyNumberFormat="1" applyFont="1" applyBorder="1" applyAlignment="1">
      <alignment horizontal="center" vertical="center"/>
    </xf>
    <xf numFmtId="14" fontId="1" fillId="0" borderId="20" xfId="0" applyNumberFormat="1" applyFont="1" applyBorder="1" applyAlignment="1">
      <alignment horizontal="center"/>
    </xf>
    <xf numFmtId="0" fontId="14" fillId="9" borderId="9" xfId="0" applyFont="1" applyFill="1" applyBorder="1" applyAlignment="1">
      <alignment horizontal="center" vertical="center" wrapText="1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9" borderId="18" xfId="0" applyFont="1" applyFill="1" applyBorder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14" fontId="12" fillId="0" borderId="9" xfId="0" applyNumberFormat="1" applyFont="1" applyBorder="1" applyAlignment="1">
      <alignment vertical="center"/>
    </xf>
    <xf numFmtId="0" fontId="12" fillId="0" borderId="7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0" fillId="0" borderId="9" xfId="0" applyBorder="1" applyAlignment="1">
      <alignment vertical="center"/>
    </xf>
    <xf numFmtId="0" fontId="12" fillId="0" borderId="9" xfId="0" applyFont="1" applyBorder="1" applyAlignment="1">
      <alignment horizontal="center" vertical="center" wrapText="1"/>
    </xf>
    <xf numFmtId="165" fontId="1" fillId="0" borderId="20" xfId="0" applyNumberFormat="1" applyFont="1" applyBorder="1" applyAlignment="1">
      <alignment horizontal="center"/>
    </xf>
    <xf numFmtId="165" fontId="1" fillId="0" borderId="9" xfId="0" applyNumberFormat="1" applyFont="1" applyBorder="1" applyAlignment="1">
      <alignment horizontal="center"/>
    </xf>
    <xf numFmtId="0" fontId="12" fillId="0" borderId="9" xfId="0" applyFont="1" applyBorder="1" applyAlignment="1">
      <alignment vertical="center"/>
    </xf>
    <xf numFmtId="0" fontId="11" fillId="11" borderId="9" xfId="0" applyFont="1" applyFill="1" applyBorder="1" applyAlignment="1">
      <alignment horizontal="center"/>
    </xf>
    <xf numFmtId="165" fontId="1" fillId="0" borderId="18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9" xfId="0" quotePrefix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0" fontId="11" fillId="11" borderId="6" xfId="0" applyFont="1" applyFill="1" applyBorder="1" applyAlignment="1">
      <alignment horizontal="center"/>
    </xf>
    <xf numFmtId="1" fontId="12" fillId="0" borderId="6" xfId="0" applyNumberFormat="1" applyFont="1" applyBorder="1" applyAlignment="1">
      <alignment horizontal="center"/>
    </xf>
    <xf numFmtId="0" fontId="7" fillId="8" borderId="9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0" fontId="14" fillId="11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12" borderId="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6" fillId="0" borderId="0" xfId="0" quotePrefix="1" applyFont="1" applyAlignment="1">
      <alignment vertical="center"/>
    </xf>
    <xf numFmtId="0" fontId="0" fillId="0" borderId="6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wrapText="1"/>
    </xf>
    <xf numFmtId="0" fontId="12" fillId="0" borderId="21" xfId="0" applyFont="1" applyBorder="1" applyAlignment="1">
      <alignment horizontal="center"/>
    </xf>
    <xf numFmtId="0" fontId="17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/>
    </xf>
    <xf numFmtId="14" fontId="14" fillId="0" borderId="9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65" fontId="1" fillId="0" borderId="9" xfId="0" applyNumberFormat="1" applyFont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4" fontId="14" fillId="0" borderId="9" xfId="0" applyNumberFormat="1" applyFont="1" applyBorder="1" applyAlignment="1">
      <alignment vertical="center"/>
    </xf>
    <xf numFmtId="0" fontId="6" fillId="0" borderId="9" xfId="0" quotePrefix="1" applyFont="1" applyBorder="1" applyAlignment="1">
      <alignment horizontal="center" vertical="center"/>
    </xf>
    <xf numFmtId="0" fontId="12" fillId="12" borderId="9" xfId="0" applyFont="1" applyFill="1" applyBorder="1" applyAlignment="1">
      <alignment horizontal="center" vertical="center" wrapText="1"/>
    </xf>
    <xf numFmtId="0" fontId="14" fillId="0" borderId="9" xfId="0" quotePrefix="1" applyFont="1" applyBorder="1" applyAlignment="1">
      <alignment horizontal="center" vertical="center"/>
    </xf>
    <xf numFmtId="0" fontId="14" fillId="0" borderId="9" xfId="0" quotePrefix="1" applyFont="1" applyBorder="1" applyAlignment="1">
      <alignment horizontal="center"/>
    </xf>
    <xf numFmtId="165" fontId="12" fillId="0" borderId="9" xfId="0" applyNumberFormat="1" applyFont="1" applyBorder="1" applyAlignment="1">
      <alignment horizontal="center" vertical="center"/>
    </xf>
    <xf numFmtId="0" fontId="12" fillId="11" borderId="9" xfId="0" applyFont="1" applyFill="1" applyBorder="1" applyAlignment="1">
      <alignment horizontal="center"/>
    </xf>
    <xf numFmtId="0" fontId="18" fillId="0" borderId="9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/>
    </xf>
    <xf numFmtId="0" fontId="19" fillId="0" borderId="9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/>
    </xf>
    <xf numFmtId="14" fontId="20" fillId="0" borderId="9" xfId="0" applyNumberFormat="1" applyFont="1" applyBorder="1" applyAlignment="1">
      <alignment horizontal="center" vertical="center"/>
    </xf>
    <xf numFmtId="0" fontId="12" fillId="11" borderId="9" xfId="0" applyFont="1" applyFill="1" applyBorder="1" applyAlignment="1">
      <alignment horizontal="center" vertical="center"/>
    </xf>
    <xf numFmtId="14" fontId="20" fillId="0" borderId="9" xfId="0" applyNumberFormat="1" applyFont="1" applyBorder="1" applyAlignment="1">
      <alignment vertical="center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9" xfId="0" applyBorder="1"/>
    <xf numFmtId="0" fontId="0" fillId="0" borderId="9" xfId="0" applyBorder="1" applyAlignment="1">
      <alignment horizontal="center" vertical="center" wrapText="1"/>
    </xf>
    <xf numFmtId="0" fontId="12" fillId="0" borderId="7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1" fontId="12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14" fontId="12" fillId="0" borderId="20" xfId="0" applyNumberFormat="1" applyFont="1" applyBorder="1" applyAlignment="1">
      <alignment horizontal="center" vertical="center"/>
    </xf>
    <xf numFmtId="14" fontId="12" fillId="0" borderId="19" xfId="0" applyNumberFormat="1" applyFont="1" applyBorder="1" applyAlignment="1">
      <alignment horizontal="center" vertical="center"/>
    </xf>
    <xf numFmtId="14" fontId="12" fillId="0" borderId="9" xfId="0" applyNumberFormat="1" applyFont="1" applyBorder="1" applyAlignment="1">
      <alignment horizontal="center" vertical="center"/>
    </xf>
    <xf numFmtId="14" fontId="12" fillId="0" borderId="18" xfId="0" applyNumberFormat="1" applyFont="1" applyBorder="1" applyAlignment="1">
      <alignment horizontal="center" vertical="center"/>
    </xf>
    <xf numFmtId="14" fontId="12" fillId="0" borderId="15" xfId="0" applyNumberFormat="1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14" fontId="14" fillId="0" borderId="9" xfId="0" applyNumberFormat="1" applyFont="1" applyBorder="1" applyAlignment="1">
      <alignment horizontal="center" vertical="center"/>
    </xf>
    <xf numFmtId="14" fontId="14" fillId="0" borderId="18" xfId="0" applyNumberFormat="1" applyFont="1" applyBorder="1" applyAlignment="1">
      <alignment horizontal="center" vertical="center"/>
    </xf>
    <xf numFmtId="14" fontId="14" fillId="0" borderId="15" xfId="0" applyNumberFormat="1" applyFont="1" applyBorder="1" applyAlignment="1">
      <alignment horizontal="center" vertical="center"/>
    </xf>
    <xf numFmtId="14" fontId="14" fillId="0" borderId="19" xfId="0" applyNumberFormat="1" applyFont="1" applyBorder="1" applyAlignment="1">
      <alignment horizontal="center" vertical="center"/>
    </xf>
    <xf numFmtId="14" fontId="20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fgColor rgb="FF00B050"/>
        </patternFill>
      </fill>
    </dxf>
  </dxfs>
  <tableStyles count="0" defaultTableStyle="TableStyleMedium2" defaultPivotStyle="PivotStyleLight16"/>
  <colors>
    <mruColors>
      <color rgb="FF003366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876300</xdr:colOff>
      <xdr:row>1</xdr:row>
      <xdr:rowOff>152400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33499FD-E31C-4162-9A84-73A7612F1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4667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19050</xdr:rowOff>
    </xdr:from>
    <xdr:to>
      <xdr:col>6</xdr:col>
      <xdr:colOff>9525</xdr:colOff>
      <xdr:row>9</xdr:row>
      <xdr:rowOff>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18ECCC50-9385-4AF7-8546-3215293673C5}"/>
            </a:ext>
          </a:extLst>
        </xdr:cNvPr>
        <xdr:cNvCxnSpPr/>
      </xdr:nvCxnSpPr>
      <xdr:spPr>
        <a:xfrm>
          <a:off x="0" y="2295525"/>
          <a:ext cx="5572125" cy="1581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876300</xdr:colOff>
      <xdr:row>1</xdr:row>
      <xdr:rowOff>123826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0BD0152-CB14-451B-B070-2C987B12C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4381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17</xdr:row>
      <xdr:rowOff>0</xdr:rowOff>
    </xdr:from>
    <xdr:to>
      <xdr:col>6</xdr:col>
      <xdr:colOff>28575</xdr:colOff>
      <xdr:row>19</xdr:row>
      <xdr:rowOff>0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BCAC15AF-5F69-4D18-86F4-55371342B5F9}"/>
            </a:ext>
          </a:extLst>
        </xdr:cNvPr>
        <xdr:cNvCxnSpPr/>
      </xdr:nvCxnSpPr>
      <xdr:spPr>
        <a:xfrm>
          <a:off x="47625" y="3552825"/>
          <a:ext cx="5543550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5</xdr:col>
      <xdr:colOff>904875</xdr:colOff>
      <xdr:row>30</xdr:row>
      <xdr:rowOff>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29DCCA0B-A5B4-4C9D-837D-6724A676E35E}"/>
            </a:ext>
          </a:extLst>
        </xdr:cNvPr>
        <xdr:cNvCxnSpPr/>
      </xdr:nvCxnSpPr>
      <xdr:spPr>
        <a:xfrm>
          <a:off x="0" y="4953000"/>
          <a:ext cx="5543550" cy="1200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19050</xdr:rowOff>
    </xdr:from>
    <xdr:to>
      <xdr:col>5</xdr:col>
      <xdr:colOff>914400</xdr:colOff>
      <xdr:row>42</xdr:row>
      <xdr:rowOff>142875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9DEDDD86-33D4-479C-B3C5-B0A2554D6B42}"/>
            </a:ext>
          </a:extLst>
        </xdr:cNvPr>
        <xdr:cNvCxnSpPr/>
      </xdr:nvCxnSpPr>
      <xdr:spPr>
        <a:xfrm>
          <a:off x="0" y="7172325"/>
          <a:ext cx="5553075" cy="1495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800100</xdr:colOff>
      <xdr:row>1</xdr:row>
      <xdr:rowOff>114300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202BEA6-1C6B-4FBD-852D-A6F7EE2DB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4286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800100</xdr:colOff>
      <xdr:row>2</xdr:row>
      <xdr:rowOff>47625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001C584-B221-4CBE-A669-FA24BDA3D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42862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19050</xdr:rowOff>
    </xdr:from>
    <xdr:to>
      <xdr:col>6</xdr:col>
      <xdr:colOff>0</xdr:colOff>
      <xdr:row>12</xdr:row>
      <xdr:rowOff>180975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3E503B57-203D-4E7A-BFCD-C92C829FE966}"/>
            </a:ext>
          </a:extLst>
        </xdr:cNvPr>
        <xdr:cNvCxnSpPr/>
      </xdr:nvCxnSpPr>
      <xdr:spPr>
        <a:xfrm>
          <a:off x="0" y="2400300"/>
          <a:ext cx="5638800" cy="361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</xdr:row>
      <xdr:rowOff>19050</xdr:rowOff>
    </xdr:from>
    <xdr:to>
      <xdr:col>6</xdr:col>
      <xdr:colOff>9525</xdr:colOff>
      <xdr:row>31</xdr:row>
      <xdr:rowOff>161925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E081FC42-322D-41F2-BF4C-B7C56D420C54}"/>
            </a:ext>
          </a:extLst>
        </xdr:cNvPr>
        <xdr:cNvCxnSpPr/>
      </xdr:nvCxnSpPr>
      <xdr:spPr>
        <a:xfrm>
          <a:off x="0" y="6210300"/>
          <a:ext cx="5648325" cy="542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800100</xdr:colOff>
      <xdr:row>1</xdr:row>
      <xdr:rowOff>133350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15F595B-AA6B-419E-BBAB-CB03F524A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4476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800100</xdr:colOff>
      <xdr:row>1</xdr:row>
      <xdr:rowOff>190500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42A01C9-D66D-4B75-BCF5-A8A1D678D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50482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800100</xdr:colOff>
      <xdr:row>2</xdr:row>
      <xdr:rowOff>66675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053B442-66FE-4720-8BF7-1D4E79B8E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4476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800100</xdr:colOff>
      <xdr:row>1</xdr:row>
      <xdr:rowOff>142875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DF6BB81-2A1B-47B4-BECC-F28A196E4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4571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800100</xdr:colOff>
      <xdr:row>2</xdr:row>
      <xdr:rowOff>76200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29A4F7C-79B6-4E8D-870B-7FB5E02D9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45719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2</xdr:col>
      <xdr:colOff>800100</xdr:colOff>
      <xdr:row>1</xdr:row>
      <xdr:rowOff>133351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3E40797-988A-4BD1-B76A-2C3BD7795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"/>
          <a:ext cx="2000250" cy="4476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2</xdr:col>
      <xdr:colOff>800100</xdr:colOff>
      <xdr:row>2</xdr:row>
      <xdr:rowOff>66676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06ACCE8-71BC-4BA1-A342-2C486D6BD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"/>
          <a:ext cx="2000250" cy="4476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2</xdr:col>
      <xdr:colOff>752475</xdr:colOff>
      <xdr:row>2</xdr:row>
      <xdr:rowOff>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6EDB6FB-445D-4252-A61F-792BEA3ED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"/>
          <a:ext cx="2000250" cy="51434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2</xdr:col>
      <xdr:colOff>752475</xdr:colOff>
      <xdr:row>1</xdr:row>
      <xdr:rowOff>123825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A19D475-6E5C-42DF-8E99-88C92B01A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"/>
          <a:ext cx="2000250" cy="43814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2</xdr:col>
      <xdr:colOff>752475</xdr:colOff>
      <xdr:row>2</xdr:row>
      <xdr:rowOff>9525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03CA35E-6E0A-4F34-8C47-A859A1F4C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"/>
          <a:ext cx="2000250" cy="52387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2</xdr:col>
      <xdr:colOff>752475</xdr:colOff>
      <xdr:row>2</xdr:row>
      <xdr:rowOff>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C45C9B4-D38E-4596-87F9-5DF122B75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"/>
          <a:ext cx="2000250" cy="51434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2</xdr:col>
      <xdr:colOff>752475</xdr:colOff>
      <xdr:row>1</xdr:row>
      <xdr:rowOff>171450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5ADD4F4-5ECF-4BC2-A1A1-871C13451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"/>
          <a:ext cx="2000250" cy="48577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2</xdr:col>
      <xdr:colOff>752475</xdr:colOff>
      <xdr:row>1</xdr:row>
      <xdr:rowOff>171450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A5FED65-2684-4DB8-BDC3-522BF4DAE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"/>
          <a:ext cx="2000250" cy="48577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2</xdr:col>
      <xdr:colOff>752475</xdr:colOff>
      <xdr:row>1</xdr:row>
      <xdr:rowOff>152400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B783906-9AE4-4BAC-9FC5-B147CCDB8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"/>
          <a:ext cx="2000250" cy="46672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2</xdr:col>
      <xdr:colOff>752475</xdr:colOff>
      <xdr:row>1</xdr:row>
      <xdr:rowOff>114300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8C1C5EF-C57B-4CA2-95D9-CAFC4CCF4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"/>
          <a:ext cx="2000250" cy="42862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2</xdr:col>
      <xdr:colOff>752475</xdr:colOff>
      <xdr:row>1</xdr:row>
      <xdr:rowOff>161926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CC92F2E-9CF6-4AE8-91EF-D11073540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"/>
          <a:ext cx="2000250" cy="47624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2</xdr:col>
      <xdr:colOff>752475</xdr:colOff>
      <xdr:row>2</xdr:row>
      <xdr:rowOff>9525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66EE9E6-D0F9-4138-BCEB-B56B3514A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"/>
          <a:ext cx="2000250" cy="5238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4B694-3CF0-4236-B0D3-C3AB4D8B016D}">
  <we:reference id="wa200007447" version="1.1.6.7" store="fr-FR" storeType="OMEX"/>
  <we:alternateReferences>
    <we:reference id="wa200007447" version="1.1.6.7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0A30-B67F-4561-96B2-34C917EDE0D2}">
  <dimension ref="A1:F24"/>
  <sheetViews>
    <sheetView tabSelected="1" workbookViewId="0">
      <selection activeCell="C2" sqref="C2:C22"/>
    </sheetView>
  </sheetViews>
  <sheetFormatPr baseColWidth="10" defaultColWidth="9.140625" defaultRowHeight="15" x14ac:dyDescent="0.25"/>
  <cols>
    <col min="1" max="1" width="47" customWidth="1"/>
    <col min="2" max="2" width="18" bestFit="1" customWidth="1"/>
    <col min="3" max="3" width="17.42578125" bestFit="1" customWidth="1"/>
    <col min="4" max="4" width="20.28515625" bestFit="1" customWidth="1"/>
    <col min="5" max="5" width="4.85546875" customWidth="1"/>
    <col min="6" max="6" width="15.42578125" customWidth="1"/>
  </cols>
  <sheetData>
    <row r="1" spans="1:6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</row>
    <row r="2" spans="1:6" ht="16.5" x14ac:dyDescent="0.25">
      <c r="A2" s="2">
        <v>46204</v>
      </c>
      <c r="B2" s="3">
        <f>'01-07'!H1</f>
        <v>0</v>
      </c>
      <c r="C2" s="3">
        <f>'01-07'!H2</f>
        <v>6</v>
      </c>
      <c r="D2" s="4">
        <f>SUM(B2:C2)</f>
        <v>6</v>
      </c>
      <c r="F2" s="3"/>
    </row>
    <row r="3" spans="1:6" ht="16.5" x14ac:dyDescent="0.25">
      <c r="A3" s="5">
        <v>46206</v>
      </c>
      <c r="B3" s="3">
        <f>'03-07'!H1</f>
        <v>10</v>
      </c>
      <c r="C3" s="3">
        <f>'03-07'!H2</f>
        <v>0</v>
      </c>
      <c r="D3" s="4">
        <f t="shared" ref="D3:D4" si="0">SUM(B3:C3)</f>
        <v>10</v>
      </c>
      <c r="F3" s="3"/>
    </row>
    <row r="4" spans="1:6" ht="16.5" x14ac:dyDescent="0.25">
      <c r="A4" s="2">
        <v>46209</v>
      </c>
      <c r="B4" s="3">
        <f>'06-07'!H1</f>
        <v>23</v>
      </c>
      <c r="C4" s="3">
        <f>'06-07'!H2</f>
        <v>2</v>
      </c>
      <c r="D4" s="4">
        <f t="shared" si="0"/>
        <v>25</v>
      </c>
      <c r="F4" s="3"/>
    </row>
    <row r="5" spans="1:6" ht="16.5" x14ac:dyDescent="0.25">
      <c r="A5" s="2">
        <v>46210</v>
      </c>
      <c r="B5" s="3">
        <f>'07-07'!H1</f>
        <v>2</v>
      </c>
      <c r="C5" s="3">
        <f>'07-07'!H2</f>
        <v>12</v>
      </c>
      <c r="D5" s="4">
        <f t="shared" ref="D5" si="1">SUM(B5:C5)</f>
        <v>14</v>
      </c>
      <c r="F5" s="3"/>
    </row>
    <row r="6" spans="1:6" ht="16.5" x14ac:dyDescent="0.25">
      <c r="A6" s="2">
        <v>46211</v>
      </c>
      <c r="B6" s="3">
        <f>'08-07'!H1</f>
        <v>16</v>
      </c>
      <c r="C6" s="3">
        <f>'08-07'!H2</f>
        <v>7</v>
      </c>
      <c r="D6" s="4">
        <f t="shared" ref="D6" si="2">SUM(B6:C6)</f>
        <v>23</v>
      </c>
      <c r="F6" s="3"/>
    </row>
    <row r="7" spans="1:6" ht="16.5" x14ac:dyDescent="0.25">
      <c r="A7" s="2">
        <v>46212</v>
      </c>
      <c r="B7" s="3">
        <f>'09-07'!H1</f>
        <v>2</v>
      </c>
      <c r="C7" s="3">
        <f>'09-07'!H2</f>
        <v>27</v>
      </c>
      <c r="D7" s="4">
        <f t="shared" ref="D7:D9" si="3">SUM(B7:C7)</f>
        <v>29</v>
      </c>
      <c r="F7" s="3"/>
    </row>
    <row r="8" spans="1:6" ht="16.5" x14ac:dyDescent="0.25">
      <c r="A8" s="2">
        <v>46215</v>
      </c>
      <c r="B8" s="3">
        <f>'12-07'!H1</f>
        <v>15</v>
      </c>
      <c r="C8" s="3">
        <f>'12-07'!H2</f>
        <v>1</v>
      </c>
      <c r="D8" s="4">
        <f t="shared" si="3"/>
        <v>16</v>
      </c>
      <c r="F8" s="3"/>
    </row>
    <row r="9" spans="1:6" ht="16.5" x14ac:dyDescent="0.25">
      <c r="A9" s="2">
        <v>46216</v>
      </c>
      <c r="B9" s="3">
        <f>'13-07'!H1</f>
        <v>2</v>
      </c>
      <c r="C9" s="3">
        <f>'13-07'!H2</f>
        <v>3</v>
      </c>
      <c r="D9" s="4">
        <f t="shared" si="3"/>
        <v>5</v>
      </c>
      <c r="F9" s="3"/>
    </row>
    <row r="10" spans="1:6" ht="16.5" x14ac:dyDescent="0.25">
      <c r="A10" s="2">
        <v>46217</v>
      </c>
      <c r="B10" s="3">
        <f>'14-07'!H1</f>
        <v>0</v>
      </c>
      <c r="C10" s="3">
        <f>'14-07'!H2</f>
        <v>2</v>
      </c>
      <c r="D10" s="4">
        <f t="shared" ref="D10" si="4">SUM(B10:C10)</f>
        <v>2</v>
      </c>
      <c r="F10" s="3"/>
    </row>
    <row r="11" spans="1:6" ht="16.5" x14ac:dyDescent="0.25">
      <c r="A11" s="2">
        <v>46218</v>
      </c>
      <c r="B11" s="3">
        <f>'15-07'!H1</f>
        <v>0</v>
      </c>
      <c r="C11" s="3">
        <f>'15-07'!H2</f>
        <v>2</v>
      </c>
      <c r="D11" s="4">
        <f t="shared" ref="D11" si="5">SUM(B11:C11)</f>
        <v>2</v>
      </c>
      <c r="F11" s="3"/>
    </row>
    <row r="12" spans="1:6" ht="16.5" x14ac:dyDescent="0.25">
      <c r="A12" s="2">
        <v>46219</v>
      </c>
      <c r="B12" s="3">
        <f>'16-07'!H1</f>
        <v>8</v>
      </c>
      <c r="C12" s="3">
        <f>'16-07'!H2</f>
        <v>3</v>
      </c>
      <c r="D12" s="4">
        <f t="shared" ref="D12:D14" si="6">SUM(B12:C12)</f>
        <v>11</v>
      </c>
      <c r="F12" s="3"/>
    </row>
    <row r="13" spans="1:6" ht="16.5" x14ac:dyDescent="0.25">
      <c r="A13" s="2">
        <v>46222</v>
      </c>
      <c r="B13" s="3">
        <f>'19-07'!F1</f>
        <v>0</v>
      </c>
      <c r="C13" s="3">
        <f>'19-07'!F2</f>
        <v>0</v>
      </c>
      <c r="D13" s="4">
        <f t="shared" si="6"/>
        <v>0</v>
      </c>
      <c r="F13" s="3"/>
    </row>
    <row r="14" spans="1:6" ht="16.5" x14ac:dyDescent="0.25">
      <c r="A14" s="2">
        <v>46223</v>
      </c>
      <c r="B14" s="3">
        <f>'20-07'!H1</f>
        <v>10</v>
      </c>
      <c r="C14" s="3">
        <f>'20-07'!H2</f>
        <v>0</v>
      </c>
      <c r="D14" s="4">
        <f t="shared" si="6"/>
        <v>10</v>
      </c>
      <c r="F14" s="3"/>
    </row>
    <row r="15" spans="1:6" ht="16.5" x14ac:dyDescent="0.25">
      <c r="A15" s="2">
        <v>46224</v>
      </c>
      <c r="B15" s="3">
        <f>'21-07'!H1</f>
        <v>0</v>
      </c>
      <c r="C15" s="3">
        <f>'21-07'!H2</f>
        <v>5</v>
      </c>
      <c r="D15" s="4">
        <f t="shared" ref="D15:D16" si="7">SUM(B15:C15)</f>
        <v>5</v>
      </c>
      <c r="F15" s="3"/>
    </row>
    <row r="16" spans="1:6" ht="16.5" x14ac:dyDescent="0.25">
      <c r="A16" s="2">
        <v>46225</v>
      </c>
      <c r="B16" s="3">
        <f>'22-07'!H1</f>
        <v>9</v>
      </c>
      <c r="C16" s="3">
        <f>'22-07'!H2</f>
        <v>25</v>
      </c>
      <c r="D16" s="4">
        <f t="shared" si="7"/>
        <v>34</v>
      </c>
      <c r="F16" s="3"/>
    </row>
    <row r="17" spans="1:6" ht="16.5" x14ac:dyDescent="0.25">
      <c r="A17" s="2">
        <v>46226</v>
      </c>
      <c r="B17" s="3">
        <f>'23-07'!H1</f>
        <v>0</v>
      </c>
      <c r="C17" s="3">
        <f>'23-07'!H2</f>
        <v>6</v>
      </c>
      <c r="D17" s="4">
        <f t="shared" ref="D17" si="8">SUM(B17:C17)</f>
        <v>6</v>
      </c>
      <c r="F17" s="3"/>
    </row>
    <row r="18" spans="1:6" ht="16.5" x14ac:dyDescent="0.25">
      <c r="A18" s="2">
        <v>46229</v>
      </c>
      <c r="B18" s="3">
        <f>'26-07'!H1</f>
        <v>10</v>
      </c>
      <c r="C18" s="3">
        <f>'26-07'!H2</f>
        <v>19</v>
      </c>
      <c r="D18" s="4">
        <f t="shared" ref="D18:D20" si="9">SUM(B18:C18)</f>
        <v>29</v>
      </c>
      <c r="F18" s="3"/>
    </row>
    <row r="19" spans="1:6" ht="16.5" x14ac:dyDescent="0.25">
      <c r="A19" s="2">
        <v>46230</v>
      </c>
      <c r="B19" s="3">
        <f>'27-07'!H1</f>
        <v>0</v>
      </c>
      <c r="C19" s="3">
        <f>'27-07'!H2</f>
        <v>4</v>
      </c>
      <c r="D19" s="4">
        <f t="shared" si="9"/>
        <v>4</v>
      </c>
      <c r="F19" s="3"/>
    </row>
    <row r="20" spans="1:6" ht="16.5" x14ac:dyDescent="0.25">
      <c r="A20" s="2">
        <v>46231</v>
      </c>
      <c r="B20" s="3">
        <f>'28-07'!H1</f>
        <v>0</v>
      </c>
      <c r="C20" s="3">
        <f>'23-07'!H5</f>
        <v>0</v>
      </c>
      <c r="D20" s="4">
        <f t="shared" si="9"/>
        <v>0</v>
      </c>
      <c r="F20" s="3"/>
    </row>
    <row r="21" spans="1:6" ht="16.5" x14ac:dyDescent="0.25">
      <c r="A21" s="2">
        <v>46232</v>
      </c>
      <c r="B21" s="3">
        <f>'29-07'!H1</f>
        <v>11</v>
      </c>
      <c r="C21" s="3">
        <f>'23-07'!H6</f>
        <v>0</v>
      </c>
      <c r="D21" s="4">
        <f t="shared" ref="D21:D22" si="10">SUM(B21:C21)</f>
        <v>11</v>
      </c>
      <c r="F21" s="3"/>
    </row>
    <row r="22" spans="1:6" ht="16.5" x14ac:dyDescent="0.25">
      <c r="A22" s="2">
        <v>46233</v>
      </c>
      <c r="B22" s="3">
        <f>'30-07'!H1</f>
        <v>1</v>
      </c>
      <c r="C22" s="3">
        <f>'23-07'!H7</f>
        <v>0</v>
      </c>
      <c r="D22" s="4">
        <f t="shared" si="10"/>
        <v>1</v>
      </c>
      <c r="F22" s="3"/>
    </row>
    <row r="23" spans="1:6" ht="16.5" x14ac:dyDescent="0.25">
      <c r="A23" s="2"/>
      <c r="B23" s="3"/>
      <c r="C23" s="3"/>
      <c r="D23" s="4"/>
      <c r="F23" s="3"/>
    </row>
    <row r="24" spans="1:6" ht="16.5" x14ac:dyDescent="0.25">
      <c r="A24" s="1" t="s">
        <v>5</v>
      </c>
      <c r="B24" s="6">
        <f>SUM(B2:B22)</f>
        <v>119</v>
      </c>
      <c r="C24" s="6">
        <f>SUM(C2:C22)</f>
        <v>124</v>
      </c>
      <c r="D24" s="6">
        <f>SUM(D2:D22)</f>
        <v>243</v>
      </c>
      <c r="E24" s="6"/>
      <c r="F2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FCA5-4664-4090-81F9-A9D95F90583A}">
  <dimension ref="A1:J53"/>
  <sheetViews>
    <sheetView workbookViewId="0">
      <selection activeCell="H2" sqref="H2"/>
    </sheetView>
  </sheetViews>
  <sheetFormatPr baseColWidth="10" defaultRowHeight="15" x14ac:dyDescent="0.25"/>
  <cols>
    <col min="1" max="1" width="3.140625" style="26" bestFit="1" customWidth="1"/>
    <col min="2" max="2" width="13.7109375" style="26" bestFit="1" customWidth="1"/>
    <col min="3" max="3" width="19.28515625" style="26" customWidth="1"/>
    <col min="4" max="4" width="19.140625" style="26" customWidth="1"/>
    <col min="5" max="5" width="14.28515625" style="26" customWidth="1"/>
    <col min="6" max="6" width="13.85546875" style="26" bestFit="1" customWidth="1"/>
    <col min="7" max="7" width="12.140625" style="26" bestFit="1" customWidth="1"/>
    <col min="8" max="16384" width="11.42578125" style="26"/>
  </cols>
  <sheetData>
    <row r="1" spans="1:10" s="8" customFormat="1" ht="24.95" customHeight="1" x14ac:dyDescent="0.25">
      <c r="A1" s="7"/>
      <c r="H1" s="9">
        <f>COUNTIF(B8:B9,"&lt;&gt;")</f>
        <v>0</v>
      </c>
      <c r="I1" s="10" t="s">
        <v>8</v>
      </c>
    </row>
    <row r="2" spans="1:10" s="8" customFormat="1" ht="15.75" x14ac:dyDescent="0.25">
      <c r="A2" s="7"/>
      <c r="F2" s="9">
        <f>COUNTIFS(B14:B23,"&lt;&gt;",C14:C23,"VH")</f>
        <v>0</v>
      </c>
      <c r="G2" s="10" t="s">
        <v>7</v>
      </c>
      <c r="H2" s="9">
        <f>COUNTA(C14:C20)-F2</f>
        <v>6</v>
      </c>
      <c r="I2" s="10" t="s">
        <v>8</v>
      </c>
      <c r="J2" s="11">
        <f>COUNTIF(E14:E19,"VIDE")</f>
        <v>4</v>
      </c>
    </row>
    <row r="3" spans="1:10" s="8" customFormat="1" ht="25.5" x14ac:dyDescent="0.25">
      <c r="A3" s="148" t="s">
        <v>9</v>
      </c>
      <c r="B3" s="148"/>
      <c r="C3" s="148"/>
      <c r="D3" s="148"/>
      <c r="E3" s="148"/>
      <c r="F3" s="148"/>
      <c r="G3" s="148"/>
      <c r="H3" s="148"/>
    </row>
    <row r="4" spans="1:10" s="8" customFormat="1" ht="12.75" x14ac:dyDescent="0.25">
      <c r="A4" s="7"/>
    </row>
    <row r="5" spans="1:10" s="8" customFormat="1" ht="15.75" x14ac:dyDescent="0.25">
      <c r="A5" s="7"/>
      <c r="B5" s="12" t="s">
        <v>10</v>
      </c>
      <c r="G5" s="13">
        <v>46204</v>
      </c>
    </row>
    <row r="6" spans="1:10" s="8" customFormat="1" thickBot="1" x14ac:dyDescent="0.3">
      <c r="A6" s="7"/>
      <c r="B6" s="14"/>
    </row>
    <row r="7" spans="1:10" s="8" customFormat="1" thickBot="1" x14ac:dyDescent="0.3">
      <c r="A7" s="15" t="s">
        <v>11</v>
      </c>
      <c r="B7" s="16" t="s">
        <v>12</v>
      </c>
      <c r="C7" s="16" t="s">
        <v>13</v>
      </c>
      <c r="D7" s="16" t="s">
        <v>14</v>
      </c>
      <c r="E7" s="16" t="s">
        <v>15</v>
      </c>
      <c r="F7" s="17" t="s">
        <v>16</v>
      </c>
    </row>
    <row r="8" spans="1:10" s="8" customFormat="1" ht="14.25" x14ac:dyDescent="0.25">
      <c r="A8" s="18">
        <v>1</v>
      </c>
      <c r="B8" s="19"/>
      <c r="C8" s="20"/>
      <c r="D8" s="19"/>
      <c r="E8" s="19"/>
      <c r="F8" s="21"/>
    </row>
    <row r="9" spans="1:10" ht="15.75" thickBot="1" x14ac:dyDescent="0.3">
      <c r="A9" s="27">
        <v>8</v>
      </c>
      <c r="B9" s="28"/>
      <c r="C9" s="29"/>
      <c r="D9" s="28"/>
      <c r="E9" s="28"/>
      <c r="F9" s="30"/>
    </row>
    <row r="10" spans="1:10" ht="15.75" x14ac:dyDescent="0.25">
      <c r="A10" s="7"/>
      <c r="B10" s="31"/>
      <c r="C10" s="8"/>
      <c r="D10" s="8"/>
      <c r="E10" s="8"/>
      <c r="F10" s="8"/>
      <c r="G10" s="31"/>
    </row>
    <row r="11" spans="1:10" ht="15.75" x14ac:dyDescent="0.25">
      <c r="A11" s="7"/>
      <c r="B11" s="12" t="s">
        <v>17</v>
      </c>
      <c r="G11" s="31"/>
    </row>
    <row r="12" spans="1:10" ht="15.75" thickBot="1" x14ac:dyDescent="0.3">
      <c r="A12" s="7"/>
      <c r="B12" s="14"/>
      <c r="C12" s="8"/>
      <c r="D12" s="8"/>
      <c r="E12" s="8"/>
      <c r="F12" s="8"/>
      <c r="G12" s="8"/>
    </row>
    <row r="13" spans="1:10" ht="15.75" thickBot="1" x14ac:dyDescent="0.3">
      <c r="A13" s="15" t="s">
        <v>11</v>
      </c>
      <c r="B13" s="16" t="s">
        <v>18</v>
      </c>
      <c r="C13" s="16" t="s">
        <v>19</v>
      </c>
      <c r="D13" s="16" t="s">
        <v>14</v>
      </c>
      <c r="E13" s="16" t="s">
        <v>15</v>
      </c>
      <c r="F13" s="17" t="s">
        <v>16</v>
      </c>
    </row>
    <row r="14" spans="1:10" ht="15.75" customHeight="1" x14ac:dyDescent="0.25">
      <c r="A14" s="18">
        <v>1</v>
      </c>
      <c r="B14" s="20">
        <v>46204</v>
      </c>
      <c r="C14" s="19" t="s">
        <v>87</v>
      </c>
      <c r="D14" s="19" t="s">
        <v>78</v>
      </c>
      <c r="E14" s="41">
        <v>3887</v>
      </c>
      <c r="F14" s="21">
        <v>40</v>
      </c>
    </row>
    <row r="15" spans="1:10" ht="15.75" customHeight="1" x14ac:dyDescent="0.25">
      <c r="A15" s="35">
        <v>2</v>
      </c>
      <c r="B15" s="42">
        <v>46060</v>
      </c>
      <c r="C15" s="37" t="s">
        <v>88</v>
      </c>
      <c r="D15" s="37" t="s">
        <v>89</v>
      </c>
      <c r="E15" s="43">
        <v>3869</v>
      </c>
      <c r="F15" s="38">
        <v>40</v>
      </c>
    </row>
    <row r="16" spans="1:10" ht="15.75" customHeight="1" x14ac:dyDescent="0.25">
      <c r="A16" s="22">
        <v>3</v>
      </c>
      <c r="B16" s="24">
        <v>46204</v>
      </c>
      <c r="C16" s="37" t="s">
        <v>90</v>
      </c>
      <c r="D16" s="40" t="s">
        <v>83</v>
      </c>
      <c r="E16" s="23" t="s">
        <v>6</v>
      </c>
      <c r="F16" s="25">
        <v>40</v>
      </c>
    </row>
    <row r="17" spans="1:7" ht="15.75" customHeight="1" x14ac:dyDescent="0.25">
      <c r="A17" s="22">
        <v>4</v>
      </c>
      <c r="B17" s="24">
        <v>46204</v>
      </c>
      <c r="C17" s="37" t="s">
        <v>92</v>
      </c>
      <c r="D17" s="23" t="s">
        <v>84</v>
      </c>
      <c r="E17" s="23" t="s">
        <v>6</v>
      </c>
      <c r="F17" s="25">
        <v>40</v>
      </c>
    </row>
    <row r="18" spans="1:7" ht="15.75" customHeight="1" x14ac:dyDescent="0.25">
      <c r="A18" s="22">
        <v>5</v>
      </c>
      <c r="B18" s="24">
        <v>46204</v>
      </c>
      <c r="C18" s="37" t="s">
        <v>92</v>
      </c>
      <c r="D18" s="23" t="s">
        <v>85</v>
      </c>
      <c r="E18" s="23" t="s">
        <v>6</v>
      </c>
      <c r="F18" s="25">
        <v>40</v>
      </c>
    </row>
    <row r="19" spans="1:7" ht="15.75" customHeight="1" thickBot="1" x14ac:dyDescent="0.3">
      <c r="A19" s="27">
        <v>6</v>
      </c>
      <c r="B19" s="29">
        <v>46204</v>
      </c>
      <c r="C19" s="44" t="s">
        <v>91</v>
      </c>
      <c r="D19" s="28" t="s">
        <v>86</v>
      </c>
      <c r="E19" s="28" t="s">
        <v>6</v>
      </c>
      <c r="F19" s="30">
        <v>40</v>
      </c>
    </row>
    <row r="21" spans="1:7" ht="16.5" thickBot="1" x14ac:dyDescent="0.3">
      <c r="A21" s="7"/>
      <c r="B21" s="12" t="s">
        <v>20</v>
      </c>
      <c r="C21" s="8"/>
      <c r="E21" s="8"/>
      <c r="F21" s="8"/>
      <c r="G21" s="31"/>
    </row>
    <row r="22" spans="1:7" ht="15.75" thickBot="1" x14ac:dyDescent="0.3">
      <c r="A22" s="7"/>
      <c r="B22" s="14"/>
      <c r="C22" s="8"/>
      <c r="D22" s="8"/>
      <c r="E22" s="8"/>
      <c r="F22" s="8"/>
      <c r="G22" s="8"/>
    </row>
    <row r="23" spans="1:7" ht="15.75" thickBot="1" x14ac:dyDescent="0.3">
      <c r="A23" s="15" t="s">
        <v>11</v>
      </c>
      <c r="B23" s="16" t="s">
        <v>21</v>
      </c>
      <c r="C23" s="16" t="s">
        <v>14</v>
      </c>
      <c r="D23" s="16" t="s">
        <v>22</v>
      </c>
      <c r="E23" s="16" t="s">
        <v>23</v>
      </c>
      <c r="F23" s="17" t="s">
        <v>16</v>
      </c>
    </row>
    <row r="24" spans="1:7" ht="15.75" customHeight="1" x14ac:dyDescent="0.25">
      <c r="A24" s="18">
        <v>1</v>
      </c>
      <c r="B24" s="32">
        <v>1072026</v>
      </c>
      <c r="C24" s="19" t="s">
        <v>24</v>
      </c>
      <c r="D24" s="19" t="s">
        <v>51</v>
      </c>
      <c r="E24" s="19">
        <v>3845</v>
      </c>
      <c r="F24" s="21">
        <v>40</v>
      </c>
    </row>
    <row r="25" spans="1:7" ht="15.75" customHeight="1" x14ac:dyDescent="0.25">
      <c r="A25" s="22">
        <v>2</v>
      </c>
      <c r="B25" s="33">
        <v>1072026</v>
      </c>
      <c r="C25" s="23" t="s">
        <v>25</v>
      </c>
      <c r="D25" s="23" t="s">
        <v>52</v>
      </c>
      <c r="E25" s="23">
        <v>3913</v>
      </c>
      <c r="F25" s="25">
        <v>40</v>
      </c>
    </row>
    <row r="26" spans="1:7" ht="15.75" customHeight="1" x14ac:dyDescent="0.25">
      <c r="A26" s="22">
        <v>3</v>
      </c>
      <c r="B26" s="33">
        <v>1072026</v>
      </c>
      <c r="C26" s="23" t="s">
        <v>26</v>
      </c>
      <c r="D26" s="23" t="s">
        <v>53</v>
      </c>
      <c r="E26" s="23">
        <v>3843</v>
      </c>
      <c r="F26" s="25">
        <v>40</v>
      </c>
    </row>
    <row r="27" spans="1:7" ht="15.75" customHeight="1" x14ac:dyDescent="0.25">
      <c r="A27" s="22">
        <v>4</v>
      </c>
      <c r="B27" s="33">
        <v>1072026</v>
      </c>
      <c r="C27" s="23" t="s">
        <v>27</v>
      </c>
      <c r="D27" s="23" t="s">
        <v>54</v>
      </c>
      <c r="E27" s="23">
        <v>3899</v>
      </c>
      <c r="F27" s="25">
        <v>40</v>
      </c>
    </row>
    <row r="28" spans="1:7" ht="15.75" customHeight="1" x14ac:dyDescent="0.25">
      <c r="A28" s="22">
        <v>5</v>
      </c>
      <c r="B28" s="33">
        <v>1072026</v>
      </c>
      <c r="C28" s="23" t="s">
        <v>28</v>
      </c>
      <c r="D28" s="23" t="s">
        <v>55</v>
      </c>
      <c r="E28" s="23">
        <v>3897</v>
      </c>
      <c r="F28" s="25">
        <v>40</v>
      </c>
    </row>
    <row r="29" spans="1:7" ht="15.75" customHeight="1" x14ac:dyDescent="0.25">
      <c r="A29" s="22">
        <v>6</v>
      </c>
      <c r="B29" s="33">
        <v>1072026</v>
      </c>
      <c r="C29" s="23" t="s">
        <v>29</v>
      </c>
      <c r="D29" s="23" t="s">
        <v>56</v>
      </c>
      <c r="E29" s="23">
        <v>3846</v>
      </c>
      <c r="F29" s="25">
        <v>40</v>
      </c>
    </row>
    <row r="30" spans="1:7" ht="15.75" customHeight="1" x14ac:dyDescent="0.25">
      <c r="A30" s="22">
        <v>7</v>
      </c>
      <c r="B30" s="33">
        <v>1072026</v>
      </c>
      <c r="C30" s="23" t="s">
        <v>30</v>
      </c>
      <c r="D30" s="23" t="s">
        <v>57</v>
      </c>
      <c r="E30" s="23">
        <v>3850</v>
      </c>
      <c r="F30" s="25">
        <v>40</v>
      </c>
    </row>
    <row r="31" spans="1:7" ht="15.75" customHeight="1" x14ac:dyDescent="0.25">
      <c r="A31" s="22">
        <v>8</v>
      </c>
      <c r="B31" s="33">
        <v>1072026</v>
      </c>
      <c r="C31" s="23" t="s">
        <v>31</v>
      </c>
      <c r="D31" s="23" t="s">
        <v>58</v>
      </c>
      <c r="E31" s="23">
        <v>3892</v>
      </c>
      <c r="F31" s="25">
        <v>40</v>
      </c>
    </row>
    <row r="32" spans="1:7" ht="15.75" customHeight="1" x14ac:dyDescent="0.25">
      <c r="A32" s="22">
        <v>9</v>
      </c>
      <c r="B32" s="33">
        <v>1072026</v>
      </c>
      <c r="C32" s="23" t="s">
        <v>32</v>
      </c>
      <c r="D32" s="23" t="s">
        <v>59</v>
      </c>
      <c r="E32" s="23">
        <v>3893</v>
      </c>
      <c r="F32" s="25">
        <v>40</v>
      </c>
    </row>
    <row r="33" spans="1:6" ht="15.75" customHeight="1" x14ac:dyDescent="0.25">
      <c r="A33" s="22">
        <v>10</v>
      </c>
      <c r="B33" s="33">
        <v>1072026</v>
      </c>
      <c r="C33" s="23" t="s">
        <v>33</v>
      </c>
      <c r="D33" s="23" t="s">
        <v>60</v>
      </c>
      <c r="E33" s="23">
        <v>3918</v>
      </c>
      <c r="F33" s="25">
        <v>40</v>
      </c>
    </row>
    <row r="34" spans="1:6" ht="15.75" customHeight="1" x14ac:dyDescent="0.25">
      <c r="A34" s="22">
        <v>11</v>
      </c>
      <c r="B34" s="33">
        <v>1072026</v>
      </c>
      <c r="C34" s="23" t="s">
        <v>34</v>
      </c>
      <c r="D34" s="23" t="s">
        <v>61</v>
      </c>
      <c r="E34" s="23">
        <v>3845</v>
      </c>
      <c r="F34" s="25">
        <v>40</v>
      </c>
    </row>
    <row r="35" spans="1:6" ht="15.75" customHeight="1" x14ac:dyDescent="0.25">
      <c r="A35" s="22">
        <v>12</v>
      </c>
      <c r="B35" s="33">
        <v>1072026</v>
      </c>
      <c r="C35" s="23" t="s">
        <v>35</v>
      </c>
      <c r="D35" s="23" t="s">
        <v>62</v>
      </c>
      <c r="E35" s="23">
        <v>3891</v>
      </c>
      <c r="F35" s="25">
        <v>40</v>
      </c>
    </row>
    <row r="36" spans="1:6" ht="15.75" customHeight="1" x14ac:dyDescent="0.25">
      <c r="A36" s="22">
        <v>13</v>
      </c>
      <c r="B36" s="33">
        <v>1072026</v>
      </c>
      <c r="C36" s="23" t="s">
        <v>36</v>
      </c>
      <c r="D36" s="23" t="s">
        <v>63</v>
      </c>
      <c r="E36" s="23">
        <v>3847</v>
      </c>
      <c r="F36" s="25">
        <v>40</v>
      </c>
    </row>
    <row r="37" spans="1:6" ht="15.75" customHeight="1" x14ac:dyDescent="0.25">
      <c r="A37" s="22">
        <v>14</v>
      </c>
      <c r="B37" s="33">
        <v>1072026</v>
      </c>
      <c r="C37" s="23" t="s">
        <v>37</v>
      </c>
      <c r="D37" s="23" t="s">
        <v>64</v>
      </c>
      <c r="E37" s="23">
        <v>3849</v>
      </c>
      <c r="F37" s="25">
        <v>40</v>
      </c>
    </row>
    <row r="38" spans="1:6" ht="15.75" customHeight="1" x14ac:dyDescent="0.25">
      <c r="A38" s="22">
        <v>15</v>
      </c>
      <c r="B38" s="33">
        <v>1072026</v>
      </c>
      <c r="C38" s="23" t="s">
        <v>38</v>
      </c>
      <c r="D38" s="23" t="s">
        <v>65</v>
      </c>
      <c r="E38" s="23">
        <v>3994</v>
      </c>
      <c r="F38" s="25">
        <v>40</v>
      </c>
    </row>
    <row r="39" spans="1:6" ht="15.75" customHeight="1" x14ac:dyDescent="0.25">
      <c r="A39" s="22">
        <v>16</v>
      </c>
      <c r="B39" s="33">
        <v>1072026</v>
      </c>
      <c r="C39" s="23" t="s">
        <v>39</v>
      </c>
      <c r="D39" s="23" t="s">
        <v>66</v>
      </c>
      <c r="E39" s="23">
        <v>3895</v>
      </c>
      <c r="F39" s="25">
        <v>40</v>
      </c>
    </row>
    <row r="40" spans="1:6" ht="15.75" customHeight="1" x14ac:dyDescent="0.25">
      <c r="A40" s="22">
        <v>17</v>
      </c>
      <c r="B40" s="33">
        <v>1072026</v>
      </c>
      <c r="C40" s="23" t="s">
        <v>40</v>
      </c>
      <c r="D40" s="23" t="s">
        <v>67</v>
      </c>
      <c r="E40" s="23">
        <v>3842</v>
      </c>
      <c r="F40" s="25">
        <v>40</v>
      </c>
    </row>
    <row r="41" spans="1:6" ht="15.75" customHeight="1" x14ac:dyDescent="0.25">
      <c r="A41" s="22">
        <v>18</v>
      </c>
      <c r="B41" s="33">
        <v>1072026</v>
      </c>
      <c r="C41" s="23" t="s">
        <v>41</v>
      </c>
      <c r="D41" s="23" t="s">
        <v>68</v>
      </c>
      <c r="E41" s="23">
        <v>3848</v>
      </c>
      <c r="F41" s="25">
        <v>40</v>
      </c>
    </row>
    <row r="42" spans="1:6" ht="15.75" customHeight="1" x14ac:dyDescent="0.25">
      <c r="A42" s="22">
        <v>19</v>
      </c>
      <c r="B42" s="33">
        <v>1072026</v>
      </c>
      <c r="C42" s="23" t="s">
        <v>42</v>
      </c>
      <c r="D42" s="23" t="s">
        <v>69</v>
      </c>
      <c r="E42" s="23">
        <v>3916</v>
      </c>
      <c r="F42" s="25">
        <v>40</v>
      </c>
    </row>
    <row r="43" spans="1:6" ht="15.75" customHeight="1" x14ac:dyDescent="0.25">
      <c r="A43" s="22">
        <v>20</v>
      </c>
      <c r="B43" s="33">
        <v>1072026</v>
      </c>
      <c r="C43" s="23" t="s">
        <v>43</v>
      </c>
      <c r="D43" s="23" t="s">
        <v>70</v>
      </c>
      <c r="E43" s="23">
        <v>3919</v>
      </c>
      <c r="F43" s="25">
        <v>40</v>
      </c>
    </row>
    <row r="44" spans="1:6" ht="15.75" customHeight="1" x14ac:dyDescent="0.25">
      <c r="A44" s="22">
        <v>21</v>
      </c>
      <c r="B44" s="33">
        <v>1072026</v>
      </c>
      <c r="C44" s="23" t="s">
        <v>44</v>
      </c>
      <c r="D44" s="23" t="s">
        <v>71</v>
      </c>
      <c r="E44" s="23">
        <v>3914</v>
      </c>
      <c r="F44" s="25">
        <v>40</v>
      </c>
    </row>
    <row r="45" spans="1:6" ht="15.75" customHeight="1" x14ac:dyDescent="0.25">
      <c r="A45" s="22">
        <v>22</v>
      </c>
      <c r="B45" s="33">
        <v>1072026</v>
      </c>
      <c r="C45" s="23" t="s">
        <v>45</v>
      </c>
      <c r="D45" s="23" t="s">
        <v>72</v>
      </c>
      <c r="E45" s="23">
        <v>3920</v>
      </c>
      <c r="F45" s="25">
        <v>40</v>
      </c>
    </row>
    <row r="46" spans="1:6" ht="15.75" customHeight="1" x14ac:dyDescent="0.25">
      <c r="A46" s="22">
        <v>23</v>
      </c>
      <c r="B46" s="33">
        <v>1072026</v>
      </c>
      <c r="C46" s="23" t="s">
        <v>46</v>
      </c>
      <c r="D46" s="23" t="s">
        <v>73</v>
      </c>
      <c r="E46" s="23">
        <v>3917</v>
      </c>
      <c r="F46" s="25">
        <v>40</v>
      </c>
    </row>
    <row r="47" spans="1:6" ht="15.75" customHeight="1" x14ac:dyDescent="0.25">
      <c r="A47" s="22">
        <v>24</v>
      </c>
      <c r="B47" s="33">
        <v>1072026</v>
      </c>
      <c r="C47" s="23" t="s">
        <v>47</v>
      </c>
      <c r="D47" s="23" t="s">
        <v>74</v>
      </c>
      <c r="E47" s="23">
        <v>3911</v>
      </c>
      <c r="F47" s="25">
        <v>40</v>
      </c>
    </row>
    <row r="48" spans="1:6" ht="15.75" customHeight="1" x14ac:dyDescent="0.25">
      <c r="A48" s="22">
        <v>25</v>
      </c>
      <c r="B48" s="33">
        <v>1072026</v>
      </c>
      <c r="C48" s="23" t="s">
        <v>48</v>
      </c>
      <c r="D48" s="23" t="s">
        <v>75</v>
      </c>
      <c r="E48" s="23">
        <v>3896</v>
      </c>
      <c r="F48" s="25">
        <v>40</v>
      </c>
    </row>
    <row r="49" spans="1:6" ht="15.75" customHeight="1" x14ac:dyDescent="0.25">
      <c r="A49" s="22">
        <v>26</v>
      </c>
      <c r="B49" s="33">
        <v>1072026</v>
      </c>
      <c r="C49" s="23" t="s">
        <v>49</v>
      </c>
      <c r="D49" s="23" t="s">
        <v>76</v>
      </c>
      <c r="E49" s="23">
        <v>3841</v>
      </c>
      <c r="F49" s="25">
        <v>40</v>
      </c>
    </row>
    <row r="50" spans="1:6" ht="15.75" customHeight="1" x14ac:dyDescent="0.25">
      <c r="A50" s="22">
        <v>27</v>
      </c>
      <c r="B50" s="33">
        <v>1072026</v>
      </c>
      <c r="C50" s="23" t="s">
        <v>50</v>
      </c>
      <c r="D50" s="23" t="s">
        <v>77</v>
      </c>
      <c r="E50" s="23">
        <v>3915</v>
      </c>
      <c r="F50" s="25">
        <v>40</v>
      </c>
    </row>
    <row r="51" spans="1:6" ht="15.75" customHeight="1" x14ac:dyDescent="0.25">
      <c r="A51" s="35">
        <v>28</v>
      </c>
      <c r="B51" s="36">
        <v>1072026</v>
      </c>
      <c r="C51" s="39" t="s">
        <v>79</v>
      </c>
      <c r="D51" s="23">
        <v>3886</v>
      </c>
      <c r="E51" s="23">
        <v>3900</v>
      </c>
      <c r="F51" s="38">
        <v>45</v>
      </c>
    </row>
    <row r="52" spans="1:6" ht="15.75" customHeight="1" x14ac:dyDescent="0.25">
      <c r="A52" s="22">
        <v>29</v>
      </c>
      <c r="B52" s="33">
        <v>1072026</v>
      </c>
      <c r="C52" s="39" t="s">
        <v>80</v>
      </c>
      <c r="D52" s="23">
        <v>3889</v>
      </c>
      <c r="E52" s="23">
        <v>3929</v>
      </c>
      <c r="F52" s="25">
        <v>45</v>
      </c>
    </row>
    <row r="53" spans="1:6" ht="15.75" customHeight="1" thickBot="1" x14ac:dyDescent="0.3">
      <c r="A53" s="27">
        <v>30</v>
      </c>
      <c r="B53" s="34">
        <v>1072026</v>
      </c>
      <c r="C53" s="28" t="s">
        <v>81</v>
      </c>
      <c r="D53" s="28" t="s">
        <v>82</v>
      </c>
      <c r="E53" s="28">
        <v>3930</v>
      </c>
      <c r="F53" s="30">
        <v>40</v>
      </c>
    </row>
  </sheetData>
  <mergeCells count="1">
    <mergeCell ref="A3:H3"/>
  </mergeCells>
  <phoneticPr fontId="13" type="noConversion"/>
  <conditionalFormatting sqref="G8">
    <cfRule type="expression" dxfId="0" priority="1">
      <formula>LEFT(CELL("format",C8))</formula>
    </cfRule>
  </conditionalFormatting>
  <pageMargins left="0.11811023622047245" right="0.11811023622047245" top="0.19685039370078741" bottom="0.15748031496062992" header="0.31496062992125984" footer="0.31496062992125984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A74DB-65B6-453D-BFCA-4F05A1432A29}">
  <dimension ref="A1:J43"/>
  <sheetViews>
    <sheetView workbookViewId="0">
      <selection activeCell="I6" sqref="I6"/>
    </sheetView>
  </sheetViews>
  <sheetFormatPr baseColWidth="10" defaultRowHeight="15" x14ac:dyDescent="0.25"/>
  <cols>
    <col min="1" max="1" width="3.140625" style="26" bestFit="1" customWidth="1"/>
    <col min="2" max="2" width="13.7109375" style="26" bestFit="1" customWidth="1"/>
    <col min="3" max="3" width="19.28515625" style="26" customWidth="1"/>
    <col min="4" max="4" width="19.140625" style="26" customWidth="1"/>
    <col min="5" max="5" width="14.28515625" style="26" customWidth="1"/>
    <col min="6" max="6" width="13.85546875" style="26" bestFit="1" customWidth="1"/>
    <col min="7" max="7" width="12.140625" style="26" bestFit="1" customWidth="1"/>
    <col min="8" max="16384" width="11.42578125" style="26"/>
  </cols>
  <sheetData>
    <row r="1" spans="1:10" s="8" customFormat="1" ht="24.95" customHeight="1" x14ac:dyDescent="0.25">
      <c r="A1" s="7"/>
      <c r="H1" s="9">
        <f>COUNTIF(C8:C17,"&lt;&gt;")</f>
        <v>10</v>
      </c>
      <c r="I1" s="10" t="s">
        <v>8</v>
      </c>
    </row>
    <row r="2" spans="1:10" s="8" customFormat="1" ht="15.75" x14ac:dyDescent="0.25">
      <c r="A2" s="7"/>
      <c r="F2" s="9">
        <f>COUNTIFS(B25:B35,"&lt;&gt;",C25:C35,"VH")</f>
        <v>0</v>
      </c>
      <c r="G2" s="10" t="s">
        <v>7</v>
      </c>
      <c r="H2" s="9">
        <f>COUNTA(C25:C32)-F2</f>
        <v>0</v>
      </c>
      <c r="I2" s="10" t="s">
        <v>8</v>
      </c>
      <c r="J2" s="11">
        <f>COUNTIF(E25:E30,"VIDE")</f>
        <v>0</v>
      </c>
    </row>
    <row r="3" spans="1:10" s="8" customFormat="1" ht="25.5" x14ac:dyDescent="0.25">
      <c r="A3" s="148" t="s">
        <v>9</v>
      </c>
      <c r="B3" s="148"/>
      <c r="C3" s="148"/>
      <c r="D3" s="148"/>
      <c r="E3" s="148"/>
      <c r="F3" s="148"/>
      <c r="G3" s="148"/>
      <c r="H3" s="148"/>
    </row>
    <row r="4" spans="1:10" s="8" customFormat="1" ht="12.75" x14ac:dyDescent="0.25">
      <c r="A4" s="7"/>
    </row>
    <row r="5" spans="1:10" s="8" customFormat="1" ht="15.75" x14ac:dyDescent="0.25">
      <c r="A5" s="7"/>
      <c r="B5" s="12" t="s">
        <v>10</v>
      </c>
      <c r="G5" s="13">
        <v>46206</v>
      </c>
    </row>
    <row r="6" spans="1:10" s="8" customFormat="1" thickBot="1" x14ac:dyDescent="0.3">
      <c r="A6" s="7"/>
      <c r="B6" s="14"/>
    </row>
    <row r="7" spans="1:10" s="8" customFormat="1" thickBot="1" x14ac:dyDescent="0.3">
      <c r="A7" s="15" t="s">
        <v>11</v>
      </c>
      <c r="B7" s="16" t="s">
        <v>12</v>
      </c>
      <c r="C7" s="16" t="s">
        <v>13</v>
      </c>
      <c r="D7" s="16" t="s">
        <v>14</v>
      </c>
      <c r="E7" s="16" t="s">
        <v>15</v>
      </c>
      <c r="F7" s="17" t="s">
        <v>16</v>
      </c>
    </row>
    <row r="8" spans="1:10" ht="15.75" x14ac:dyDescent="0.25">
      <c r="A8" s="47">
        <v>1</v>
      </c>
      <c r="B8" s="149" t="s">
        <v>113</v>
      </c>
      <c r="C8" s="63">
        <v>46206</v>
      </c>
      <c r="D8" s="54" t="s">
        <v>93</v>
      </c>
      <c r="E8" s="55" t="s">
        <v>94</v>
      </c>
      <c r="F8" s="56">
        <v>40</v>
      </c>
      <c r="G8" s="31"/>
    </row>
    <row r="9" spans="1:10" x14ac:dyDescent="0.25">
      <c r="A9" s="47">
        <v>2</v>
      </c>
      <c r="B9" s="150"/>
      <c r="C9" s="65">
        <v>46206</v>
      </c>
      <c r="D9" s="51" t="s">
        <v>95</v>
      </c>
      <c r="E9" s="39" t="s">
        <v>96</v>
      </c>
      <c r="F9" s="39">
        <v>40</v>
      </c>
      <c r="G9" s="8"/>
    </row>
    <row r="10" spans="1:10" x14ac:dyDescent="0.25">
      <c r="A10" s="47">
        <v>3</v>
      </c>
      <c r="B10" s="150"/>
      <c r="C10" s="65">
        <v>46206</v>
      </c>
      <c r="D10" s="40" t="s">
        <v>97</v>
      </c>
      <c r="E10" s="39" t="s">
        <v>98</v>
      </c>
      <c r="F10" s="39">
        <v>40</v>
      </c>
    </row>
    <row r="11" spans="1:10" ht="15.75" customHeight="1" x14ac:dyDescent="0.25">
      <c r="A11" s="47">
        <v>4</v>
      </c>
      <c r="B11" s="150"/>
      <c r="C11" s="65">
        <v>46206</v>
      </c>
      <c r="D11" s="40" t="s">
        <v>99</v>
      </c>
      <c r="E11" s="57" t="s">
        <v>100</v>
      </c>
      <c r="F11" s="39">
        <v>40</v>
      </c>
    </row>
    <row r="12" spans="1:10" ht="15.75" customHeight="1" x14ac:dyDescent="0.25">
      <c r="A12" s="47">
        <v>5</v>
      </c>
      <c r="B12" s="150"/>
      <c r="C12" s="65">
        <v>46206</v>
      </c>
      <c r="D12" s="51" t="s">
        <v>101</v>
      </c>
      <c r="E12" s="58" t="s">
        <v>102</v>
      </c>
      <c r="F12" s="39">
        <v>40</v>
      </c>
    </row>
    <row r="13" spans="1:10" ht="15.75" customHeight="1" x14ac:dyDescent="0.25">
      <c r="A13" s="47">
        <v>6</v>
      </c>
      <c r="B13" s="150"/>
      <c r="C13" s="65">
        <v>46206</v>
      </c>
      <c r="D13" s="59" t="s">
        <v>103</v>
      </c>
      <c r="E13" s="39" t="s">
        <v>104</v>
      </c>
      <c r="F13" s="39">
        <v>40</v>
      </c>
    </row>
    <row r="14" spans="1:10" ht="15.75" customHeight="1" x14ac:dyDescent="0.25">
      <c r="A14" s="47">
        <v>7</v>
      </c>
      <c r="B14" s="150"/>
      <c r="C14" s="65">
        <v>46206</v>
      </c>
      <c r="D14" s="51" t="s">
        <v>105</v>
      </c>
      <c r="E14" s="60" t="s">
        <v>106</v>
      </c>
      <c r="F14" s="39">
        <v>40</v>
      </c>
    </row>
    <row r="15" spans="1:10" ht="15.75" customHeight="1" x14ac:dyDescent="0.25">
      <c r="A15" s="47">
        <v>8</v>
      </c>
      <c r="B15" s="150"/>
      <c r="C15" s="65">
        <v>46206</v>
      </c>
      <c r="D15" s="60" t="s">
        <v>107</v>
      </c>
      <c r="E15" s="60" t="s">
        <v>108</v>
      </c>
      <c r="F15" s="39">
        <v>40</v>
      </c>
    </row>
    <row r="16" spans="1:10" ht="15.75" customHeight="1" x14ac:dyDescent="0.25">
      <c r="A16" s="47">
        <v>9</v>
      </c>
      <c r="B16" s="150"/>
      <c r="C16" s="65">
        <v>46206</v>
      </c>
      <c r="D16" s="60" t="s">
        <v>109</v>
      </c>
      <c r="E16" s="60" t="s">
        <v>110</v>
      </c>
      <c r="F16" s="39">
        <v>40</v>
      </c>
    </row>
    <row r="17" spans="1:7" x14ac:dyDescent="0.25">
      <c r="A17" s="47">
        <v>10</v>
      </c>
      <c r="B17" s="150"/>
      <c r="C17" s="66">
        <v>46206</v>
      </c>
      <c r="D17" s="61" t="s">
        <v>111</v>
      </c>
      <c r="E17" s="61" t="s">
        <v>112</v>
      </c>
      <c r="F17" s="62">
        <v>40</v>
      </c>
    </row>
    <row r="18" spans="1:7" ht="15.75" x14ac:dyDescent="0.25">
      <c r="A18" s="47">
        <v>11</v>
      </c>
      <c r="B18" s="52"/>
      <c r="C18" s="53"/>
      <c r="D18" s="39"/>
      <c r="E18" s="39"/>
      <c r="F18" s="39"/>
      <c r="G18" s="31"/>
    </row>
    <row r="19" spans="1:7" ht="15.75" x14ac:dyDescent="0.25">
      <c r="A19" s="47">
        <v>12</v>
      </c>
      <c r="B19" s="52"/>
      <c r="C19" s="53"/>
      <c r="D19" s="39"/>
      <c r="E19" s="39"/>
      <c r="F19" s="39"/>
      <c r="G19" s="8"/>
    </row>
    <row r="20" spans="1:7" ht="15.75" x14ac:dyDescent="0.25">
      <c r="A20" s="7"/>
      <c r="B20" s="31"/>
      <c r="C20" s="8"/>
      <c r="D20" s="67"/>
      <c r="E20" s="67"/>
      <c r="F20" s="67"/>
      <c r="G20" s="8"/>
    </row>
    <row r="21" spans="1:7" ht="15.75" x14ac:dyDescent="0.25">
      <c r="A21" s="7"/>
      <c r="B21" s="31"/>
      <c r="C21" s="8"/>
      <c r="D21" s="8"/>
      <c r="E21" s="8"/>
      <c r="F21" s="8"/>
    </row>
    <row r="22" spans="1:7" ht="15.75" customHeight="1" x14ac:dyDescent="0.25">
      <c r="A22" s="7"/>
      <c r="B22" s="12" t="s">
        <v>17</v>
      </c>
    </row>
    <row r="23" spans="1:7" ht="15.75" customHeight="1" thickBot="1" x14ac:dyDescent="0.3">
      <c r="A23" s="7"/>
      <c r="B23" s="14"/>
      <c r="C23" s="8"/>
      <c r="D23" s="8"/>
      <c r="E23" s="8"/>
      <c r="F23" s="8"/>
    </row>
    <row r="24" spans="1:7" ht="15.75" customHeight="1" thickBot="1" x14ac:dyDescent="0.3">
      <c r="A24" s="15" t="s">
        <v>11</v>
      </c>
      <c r="B24" s="16" t="s">
        <v>18</v>
      </c>
      <c r="C24" s="16" t="s">
        <v>19</v>
      </c>
      <c r="D24" s="16" t="s">
        <v>14</v>
      </c>
      <c r="E24" s="16" t="s">
        <v>15</v>
      </c>
      <c r="F24" s="17" t="s">
        <v>16</v>
      </c>
    </row>
    <row r="25" spans="1:7" ht="15.75" customHeight="1" x14ac:dyDescent="0.25">
      <c r="A25" s="18">
        <v>1</v>
      </c>
      <c r="B25" s="20"/>
      <c r="C25" s="19"/>
      <c r="D25" s="19"/>
      <c r="E25" s="41"/>
      <c r="F25" s="21"/>
    </row>
    <row r="26" spans="1:7" ht="15.75" customHeight="1" x14ac:dyDescent="0.25">
      <c r="A26" s="35">
        <v>2</v>
      </c>
      <c r="B26" s="42"/>
      <c r="C26" s="37"/>
      <c r="D26" s="37"/>
      <c r="E26" s="43"/>
      <c r="F26" s="38"/>
    </row>
    <row r="27" spans="1:7" ht="15.75" customHeight="1" x14ac:dyDescent="0.25">
      <c r="A27" s="22">
        <v>3</v>
      </c>
      <c r="B27" s="24"/>
      <c r="C27" s="37"/>
      <c r="D27" s="40"/>
      <c r="E27" s="23"/>
      <c r="F27" s="25"/>
    </row>
    <row r="28" spans="1:7" ht="15.75" customHeight="1" x14ac:dyDescent="0.25">
      <c r="A28" s="22">
        <v>4</v>
      </c>
      <c r="B28" s="24"/>
      <c r="C28" s="37"/>
      <c r="D28" s="23"/>
      <c r="E28" s="23"/>
      <c r="F28" s="25"/>
    </row>
    <row r="29" spans="1:7" ht="15.75" customHeight="1" x14ac:dyDescent="0.25">
      <c r="A29" s="22">
        <v>5</v>
      </c>
      <c r="B29" s="24"/>
      <c r="C29" s="37"/>
      <c r="D29" s="23"/>
      <c r="E29" s="23"/>
      <c r="F29" s="25"/>
    </row>
    <row r="30" spans="1:7" ht="15.75" customHeight="1" thickBot="1" x14ac:dyDescent="0.3">
      <c r="A30" s="27">
        <v>6</v>
      </c>
      <c r="B30" s="29"/>
      <c r="C30" s="44"/>
      <c r="D30" s="28"/>
      <c r="E30" s="28"/>
      <c r="F30" s="30"/>
    </row>
    <row r="31" spans="1:7" ht="15.75" customHeight="1" x14ac:dyDescent="0.25">
      <c r="A31" s="7"/>
      <c r="B31" s="46"/>
      <c r="C31" s="45"/>
      <c r="D31" s="45"/>
      <c r="E31" s="45"/>
      <c r="F31" s="45"/>
    </row>
    <row r="32" spans="1:7" ht="15.75" customHeight="1" x14ac:dyDescent="0.25"/>
    <row r="33" spans="1:6" ht="15.75" customHeight="1" x14ac:dyDescent="0.25">
      <c r="A33" s="7"/>
      <c r="B33" s="12" t="s">
        <v>20</v>
      </c>
      <c r="C33" s="8"/>
      <c r="E33" s="8"/>
      <c r="F33" s="8"/>
    </row>
    <row r="34" spans="1:6" ht="15.75" customHeight="1" thickBot="1" x14ac:dyDescent="0.3">
      <c r="A34" s="7"/>
      <c r="B34" s="14"/>
      <c r="C34" s="8"/>
      <c r="D34" s="8"/>
      <c r="E34" s="8"/>
      <c r="F34" s="8"/>
    </row>
    <row r="35" spans="1:6" ht="15.75" customHeight="1" thickBot="1" x14ac:dyDescent="0.3">
      <c r="A35" s="15" t="s">
        <v>11</v>
      </c>
      <c r="B35" s="16" t="s">
        <v>21</v>
      </c>
      <c r="C35" s="16" t="s">
        <v>14</v>
      </c>
      <c r="D35" s="16" t="s">
        <v>22</v>
      </c>
      <c r="E35" s="16" t="s">
        <v>23</v>
      </c>
      <c r="F35" s="17" t="s">
        <v>16</v>
      </c>
    </row>
    <row r="36" spans="1:6" ht="15.75" customHeight="1" x14ac:dyDescent="0.25">
      <c r="A36" s="18"/>
      <c r="B36" s="32"/>
      <c r="C36" s="19"/>
      <c r="D36" s="19"/>
      <c r="E36" s="19"/>
      <c r="F36" s="21"/>
    </row>
    <row r="37" spans="1:6" ht="15.75" customHeight="1" x14ac:dyDescent="0.25">
      <c r="A37" s="22"/>
      <c r="B37" s="33"/>
      <c r="C37" s="23"/>
      <c r="D37" s="23"/>
      <c r="E37" s="23"/>
      <c r="F37" s="25"/>
    </row>
    <row r="38" spans="1:6" ht="15.75" customHeight="1" x14ac:dyDescent="0.25">
      <c r="A38" s="22"/>
      <c r="B38" s="33"/>
      <c r="C38" s="23"/>
      <c r="D38" s="23"/>
      <c r="E38" s="23"/>
      <c r="F38" s="25"/>
    </row>
    <row r="39" spans="1:6" ht="15.75" customHeight="1" x14ac:dyDescent="0.25">
      <c r="A39" s="22"/>
      <c r="B39" s="33"/>
      <c r="C39" s="23"/>
      <c r="D39" s="23"/>
      <c r="E39" s="23"/>
      <c r="F39" s="25"/>
    </row>
    <row r="40" spans="1:6" x14ac:dyDescent="0.25">
      <c r="A40" s="22"/>
      <c r="B40" s="33"/>
      <c r="C40" s="23"/>
      <c r="D40" s="23"/>
      <c r="E40" s="23"/>
      <c r="F40" s="25"/>
    </row>
    <row r="41" spans="1:6" x14ac:dyDescent="0.25">
      <c r="A41" s="35"/>
      <c r="B41" s="36"/>
      <c r="C41" s="39"/>
      <c r="D41" s="23"/>
      <c r="E41" s="23"/>
      <c r="F41" s="38"/>
    </row>
    <row r="42" spans="1:6" x14ac:dyDescent="0.25">
      <c r="A42" s="22"/>
      <c r="B42" s="33"/>
      <c r="C42" s="39"/>
      <c r="D42" s="23"/>
      <c r="E42" s="23"/>
      <c r="F42" s="25"/>
    </row>
    <row r="43" spans="1:6" ht="15.75" thickBot="1" x14ac:dyDescent="0.3">
      <c r="A43" s="27"/>
      <c r="B43" s="34"/>
      <c r="C43" s="28"/>
      <c r="D43" s="28"/>
      <c r="E43" s="28"/>
      <c r="F43" s="30"/>
    </row>
  </sheetData>
  <mergeCells count="2">
    <mergeCell ref="A3:H3"/>
    <mergeCell ref="B8:B17"/>
  </mergeCells>
  <dataValidations count="1">
    <dataValidation type="list" allowBlank="1" showInputMessage="1" showErrorMessage="1" sqref="F8:F20" xr:uid="{AF074D3F-7F90-4656-B9C2-7C0F5192A582}">
      <formula1>"20,40,45,50"</formula1>
    </dataValidation>
  </dataValidations>
  <pageMargins left="0.31496062992125984" right="0.31496062992125984" top="0.35433070866141736" bottom="0.35433070866141736" header="0.31496062992125984" footer="0.31496062992125984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3F621-4DC7-4818-B744-FCDACB344C4A}">
  <dimension ref="A1:J50"/>
  <sheetViews>
    <sheetView workbookViewId="0">
      <selection activeCell="K14" sqref="K14:L17"/>
    </sheetView>
  </sheetViews>
  <sheetFormatPr baseColWidth="10" defaultRowHeight="15" x14ac:dyDescent="0.25"/>
  <cols>
    <col min="1" max="1" width="3.140625" style="26" bestFit="1" customWidth="1"/>
    <col min="2" max="2" width="14.85546875" style="26" bestFit="1" customWidth="1"/>
    <col min="3" max="3" width="19.28515625" style="26" customWidth="1"/>
    <col min="4" max="4" width="19.140625" style="26" customWidth="1"/>
    <col min="5" max="5" width="14.28515625" style="26" customWidth="1"/>
    <col min="6" max="6" width="13.85546875" style="26" bestFit="1" customWidth="1"/>
    <col min="7" max="7" width="12.140625" style="26" bestFit="1" customWidth="1"/>
    <col min="8" max="10" width="11.42578125" style="26"/>
    <col min="11" max="11" width="14.7109375" style="26" bestFit="1" customWidth="1"/>
    <col min="12" max="16384" width="11.42578125" style="26"/>
  </cols>
  <sheetData>
    <row r="1" spans="1:10" s="8" customFormat="1" ht="24.95" customHeight="1" x14ac:dyDescent="0.25">
      <c r="A1" s="7"/>
      <c r="H1" s="9">
        <f>COUNTIF(C8:C32,"&lt;&gt;")</f>
        <v>23</v>
      </c>
      <c r="I1" s="10" t="s">
        <v>8</v>
      </c>
    </row>
    <row r="2" spans="1:10" s="8" customFormat="1" ht="15.75" x14ac:dyDescent="0.25">
      <c r="A2" s="7"/>
      <c r="F2" s="9">
        <f>COUNTIFS(B38:B48,"&lt;&gt;",C38:C48,"VH")</f>
        <v>0</v>
      </c>
      <c r="G2" s="10" t="s">
        <v>7</v>
      </c>
      <c r="H2" s="9">
        <f>COUNTA(C38:C45)-F2</f>
        <v>2</v>
      </c>
      <c r="I2" s="10" t="s">
        <v>8</v>
      </c>
      <c r="J2" s="11">
        <f>COUNTIF(E38:E43,"VIDE")</f>
        <v>0</v>
      </c>
    </row>
    <row r="3" spans="1:10" s="8" customFormat="1" ht="25.5" x14ac:dyDescent="0.25">
      <c r="A3" s="148" t="s">
        <v>9</v>
      </c>
      <c r="B3" s="148"/>
      <c r="C3" s="148"/>
      <c r="D3" s="148"/>
      <c r="E3" s="148"/>
      <c r="F3" s="148"/>
      <c r="G3" s="148"/>
      <c r="H3" s="148"/>
    </row>
    <row r="4" spans="1:10" s="8" customFormat="1" ht="12.75" x14ac:dyDescent="0.25">
      <c r="A4" s="7"/>
    </row>
    <row r="5" spans="1:10" s="8" customFormat="1" ht="15.75" x14ac:dyDescent="0.25">
      <c r="A5" s="7"/>
      <c r="B5" s="12" t="s">
        <v>10</v>
      </c>
      <c r="G5" s="13">
        <v>46209</v>
      </c>
    </row>
    <row r="6" spans="1:10" s="8" customFormat="1" thickBot="1" x14ac:dyDescent="0.3">
      <c r="A6" s="7"/>
      <c r="B6" s="14"/>
    </row>
    <row r="7" spans="1:10" s="8" customFormat="1" thickBot="1" x14ac:dyDescent="0.3">
      <c r="A7" s="15" t="s">
        <v>11</v>
      </c>
      <c r="B7" s="16" t="s">
        <v>12</v>
      </c>
      <c r="C7" s="16" t="s">
        <v>13</v>
      </c>
      <c r="D7" s="16" t="s">
        <v>14</v>
      </c>
      <c r="E7" s="16" t="s">
        <v>15</v>
      </c>
      <c r="F7" s="17" t="s">
        <v>16</v>
      </c>
      <c r="G7" s="17" t="s">
        <v>257</v>
      </c>
    </row>
    <row r="8" spans="1:10" ht="15.75" x14ac:dyDescent="0.25">
      <c r="A8" s="47">
        <v>1</v>
      </c>
      <c r="B8" s="64" t="s">
        <v>155</v>
      </c>
      <c r="C8" s="73">
        <v>46209</v>
      </c>
      <c r="D8" s="68" t="s">
        <v>114</v>
      </c>
      <c r="E8" s="70">
        <v>35596</v>
      </c>
      <c r="F8" s="54">
        <v>20</v>
      </c>
      <c r="G8" s="31"/>
    </row>
    <row r="9" spans="1:10" ht="15.75" x14ac:dyDescent="0.25">
      <c r="A9" s="47">
        <v>2</v>
      </c>
      <c r="B9" s="151" t="s">
        <v>156</v>
      </c>
      <c r="C9" s="65">
        <v>46209</v>
      </c>
      <c r="D9" s="51" t="s">
        <v>115</v>
      </c>
      <c r="E9" s="39">
        <v>896535</v>
      </c>
      <c r="F9" s="51">
        <v>40</v>
      </c>
      <c r="G9" s="31"/>
    </row>
    <row r="10" spans="1:10" ht="15.75" x14ac:dyDescent="0.25">
      <c r="A10" s="47">
        <v>3</v>
      </c>
      <c r="B10" s="151"/>
      <c r="C10" s="65">
        <v>46209</v>
      </c>
      <c r="D10" s="40" t="s">
        <v>116</v>
      </c>
      <c r="E10" s="39">
        <v>896540</v>
      </c>
      <c r="F10" s="51">
        <v>40</v>
      </c>
      <c r="G10" s="31"/>
    </row>
    <row r="11" spans="1:10" ht="15.75" x14ac:dyDescent="0.25">
      <c r="A11" s="47">
        <v>4</v>
      </c>
      <c r="B11" s="151"/>
      <c r="C11" s="65">
        <v>46209</v>
      </c>
      <c r="D11" s="40" t="s">
        <v>117</v>
      </c>
      <c r="E11" s="57">
        <v>896539</v>
      </c>
      <c r="F11" s="51">
        <v>40</v>
      </c>
      <c r="G11" s="31"/>
    </row>
    <row r="12" spans="1:10" ht="15.75" x14ac:dyDescent="0.25">
      <c r="A12" s="47">
        <v>5</v>
      </c>
      <c r="B12" s="151"/>
      <c r="C12" s="65"/>
      <c r="D12" s="51"/>
      <c r="E12" s="58"/>
      <c r="F12" s="51"/>
      <c r="G12" s="31"/>
    </row>
    <row r="13" spans="1:10" ht="15.75" x14ac:dyDescent="0.25">
      <c r="A13" s="47">
        <v>6</v>
      </c>
      <c r="B13" s="72" t="s">
        <v>157</v>
      </c>
      <c r="C13" s="65">
        <v>46209</v>
      </c>
      <c r="D13" s="40" t="s">
        <v>119</v>
      </c>
      <c r="E13" s="39" t="s">
        <v>139</v>
      </c>
      <c r="F13" s="51" t="s">
        <v>256</v>
      </c>
      <c r="G13" s="31">
        <v>46210</v>
      </c>
    </row>
    <row r="14" spans="1:10" ht="15.75" x14ac:dyDescent="0.25">
      <c r="A14" s="47">
        <v>7</v>
      </c>
      <c r="B14" s="152" t="s">
        <v>158</v>
      </c>
      <c r="C14" s="65">
        <v>46209</v>
      </c>
      <c r="D14" s="50" t="s">
        <v>120</v>
      </c>
      <c r="E14" s="71" t="s">
        <v>140</v>
      </c>
      <c r="F14" s="51">
        <v>40</v>
      </c>
      <c r="G14" s="31"/>
    </row>
    <row r="15" spans="1:10" ht="15.75" x14ac:dyDescent="0.25">
      <c r="A15" s="47">
        <v>8</v>
      </c>
      <c r="B15" s="150"/>
      <c r="C15" s="65"/>
      <c r="D15" s="60" t="s">
        <v>121</v>
      </c>
      <c r="E15" s="60" t="s">
        <v>141</v>
      </c>
      <c r="F15" s="51"/>
      <c r="G15" s="31"/>
    </row>
    <row r="16" spans="1:10" ht="15.75" x14ac:dyDescent="0.25">
      <c r="A16" s="47">
        <v>9</v>
      </c>
      <c r="B16" s="150"/>
      <c r="C16" s="65">
        <v>46209</v>
      </c>
      <c r="D16" s="60" t="s">
        <v>122</v>
      </c>
      <c r="E16" s="60" t="s">
        <v>142</v>
      </c>
      <c r="F16" s="51">
        <v>40</v>
      </c>
      <c r="G16" s="31"/>
    </row>
    <row r="17" spans="1:10" ht="15.75" x14ac:dyDescent="0.25">
      <c r="A17" s="47">
        <v>10</v>
      </c>
      <c r="B17" s="150"/>
      <c r="C17" s="65">
        <v>46209</v>
      </c>
      <c r="D17" s="61" t="s">
        <v>123</v>
      </c>
      <c r="E17" s="61" t="s">
        <v>162</v>
      </c>
      <c r="F17" s="48">
        <v>40</v>
      </c>
      <c r="G17" s="31"/>
    </row>
    <row r="18" spans="1:10" ht="15.75" x14ac:dyDescent="0.25">
      <c r="A18" s="47">
        <v>11</v>
      </c>
      <c r="B18" s="150"/>
      <c r="C18" s="65">
        <v>46209</v>
      </c>
      <c r="D18" s="69" t="s">
        <v>124</v>
      </c>
      <c r="E18" s="69" t="s">
        <v>143</v>
      </c>
      <c r="F18" s="48">
        <v>40</v>
      </c>
      <c r="G18" s="31"/>
    </row>
    <row r="19" spans="1:10" ht="15.75" x14ac:dyDescent="0.25">
      <c r="A19" s="47">
        <v>12</v>
      </c>
      <c r="B19" s="150"/>
      <c r="C19" s="65">
        <v>46209</v>
      </c>
      <c r="D19" s="69" t="s">
        <v>125</v>
      </c>
      <c r="E19" s="69" t="s">
        <v>144</v>
      </c>
      <c r="F19" s="48">
        <v>40</v>
      </c>
      <c r="G19" s="31"/>
    </row>
    <row r="20" spans="1:10" ht="15.75" x14ac:dyDescent="0.25">
      <c r="A20" s="47">
        <v>13</v>
      </c>
      <c r="B20" s="150"/>
      <c r="C20" s="65">
        <v>46209</v>
      </c>
      <c r="D20" s="69" t="s">
        <v>126</v>
      </c>
      <c r="E20" s="69" t="s">
        <v>145</v>
      </c>
      <c r="F20" s="48">
        <v>40</v>
      </c>
      <c r="G20" s="31"/>
    </row>
    <row r="21" spans="1:10" ht="15.75" x14ac:dyDescent="0.25">
      <c r="A21" s="47">
        <v>14</v>
      </c>
      <c r="B21" s="150"/>
      <c r="C21" s="65">
        <v>46209</v>
      </c>
      <c r="D21" s="69" t="s">
        <v>127</v>
      </c>
      <c r="E21" s="69" t="s">
        <v>146</v>
      </c>
      <c r="F21" s="48">
        <v>40</v>
      </c>
      <c r="G21" s="31"/>
    </row>
    <row r="22" spans="1:10" ht="15.75" x14ac:dyDescent="0.25">
      <c r="A22" s="47">
        <v>15</v>
      </c>
      <c r="B22" s="150"/>
      <c r="C22" s="65">
        <v>46209</v>
      </c>
      <c r="D22" s="69" t="s">
        <v>128</v>
      </c>
      <c r="E22" s="69" t="s">
        <v>147</v>
      </c>
      <c r="F22" s="48">
        <v>40</v>
      </c>
      <c r="G22" s="31"/>
      <c r="J22" s="26" t="s">
        <v>171</v>
      </c>
    </row>
    <row r="23" spans="1:10" ht="15.75" x14ac:dyDescent="0.25">
      <c r="A23" s="47">
        <v>16</v>
      </c>
      <c r="B23" s="150"/>
      <c r="C23" s="65">
        <v>46209</v>
      </c>
      <c r="D23" s="60" t="s">
        <v>129</v>
      </c>
      <c r="E23" s="60" t="s">
        <v>148</v>
      </c>
      <c r="F23" s="48">
        <v>40</v>
      </c>
      <c r="G23" s="31"/>
    </row>
    <row r="24" spans="1:10" x14ac:dyDescent="0.25">
      <c r="A24" s="47">
        <v>17</v>
      </c>
      <c r="B24" s="150"/>
      <c r="C24" s="65">
        <v>46209</v>
      </c>
      <c r="D24" s="60" t="s">
        <v>130</v>
      </c>
      <c r="E24" s="60" t="s">
        <v>149</v>
      </c>
      <c r="F24" s="48">
        <v>40</v>
      </c>
      <c r="G24" s="78" t="s">
        <v>170</v>
      </c>
    </row>
    <row r="25" spans="1:10" x14ac:dyDescent="0.25">
      <c r="A25" s="47">
        <v>18</v>
      </c>
      <c r="B25" s="150"/>
      <c r="C25" s="65">
        <v>46209</v>
      </c>
      <c r="D25" s="60" t="s">
        <v>131</v>
      </c>
      <c r="E25" s="74" t="s">
        <v>150</v>
      </c>
      <c r="F25" s="77">
        <v>40</v>
      </c>
      <c r="G25" s="75" t="s">
        <v>169</v>
      </c>
    </row>
    <row r="26" spans="1:10" ht="15.75" customHeight="1" x14ac:dyDescent="0.25">
      <c r="A26" s="47">
        <v>19</v>
      </c>
      <c r="B26" s="150"/>
      <c r="C26" s="65">
        <v>46209</v>
      </c>
      <c r="D26" s="60" t="s">
        <v>132</v>
      </c>
      <c r="E26" s="60" t="s">
        <v>151</v>
      </c>
      <c r="F26" s="48">
        <v>40</v>
      </c>
      <c r="G26" s="76">
        <v>533525</v>
      </c>
    </row>
    <row r="27" spans="1:10" ht="15.75" customHeight="1" x14ac:dyDescent="0.25">
      <c r="A27" s="47">
        <v>20</v>
      </c>
      <c r="B27" s="150"/>
      <c r="C27" s="65">
        <v>46209</v>
      </c>
      <c r="D27" s="60" t="s">
        <v>133</v>
      </c>
      <c r="E27" s="60" t="s">
        <v>152</v>
      </c>
      <c r="F27" s="48">
        <v>40</v>
      </c>
    </row>
    <row r="28" spans="1:10" ht="15.75" customHeight="1" x14ac:dyDescent="0.25">
      <c r="A28" s="47">
        <v>21</v>
      </c>
      <c r="B28" s="153"/>
      <c r="C28" s="65">
        <v>46209</v>
      </c>
      <c r="D28" s="60" t="s">
        <v>134</v>
      </c>
      <c r="E28" s="60" t="s">
        <v>161</v>
      </c>
      <c r="F28" s="48">
        <v>40</v>
      </c>
    </row>
    <row r="29" spans="1:10" ht="15.75" customHeight="1" x14ac:dyDescent="0.25">
      <c r="A29" s="47">
        <v>22</v>
      </c>
      <c r="B29" s="154" t="s">
        <v>159</v>
      </c>
      <c r="C29" s="65">
        <v>46209</v>
      </c>
      <c r="D29" s="60" t="s">
        <v>135</v>
      </c>
      <c r="E29" s="60">
        <v>33046002</v>
      </c>
      <c r="F29" s="48">
        <v>40</v>
      </c>
    </row>
    <row r="30" spans="1:10" ht="15.75" customHeight="1" x14ac:dyDescent="0.25">
      <c r="A30" s="47">
        <v>23</v>
      </c>
      <c r="B30" s="155"/>
      <c r="C30" s="65">
        <v>46209</v>
      </c>
      <c r="D30" s="60" t="s">
        <v>136</v>
      </c>
      <c r="E30" s="60">
        <v>32447470</v>
      </c>
      <c r="F30" s="48">
        <v>40</v>
      </c>
    </row>
    <row r="31" spans="1:10" ht="15.75" customHeight="1" x14ac:dyDescent="0.25">
      <c r="A31" s="47">
        <v>24</v>
      </c>
      <c r="B31" s="154" t="s">
        <v>160</v>
      </c>
      <c r="C31" s="65">
        <v>46209</v>
      </c>
      <c r="D31" s="60" t="s">
        <v>137</v>
      </c>
      <c r="E31" s="60" t="s">
        <v>153</v>
      </c>
      <c r="F31" s="48">
        <v>40</v>
      </c>
    </row>
    <row r="32" spans="1:10" x14ac:dyDescent="0.25">
      <c r="A32" s="47">
        <v>25</v>
      </c>
      <c r="B32" s="155"/>
      <c r="C32" s="65">
        <v>46209</v>
      </c>
      <c r="D32" s="60" t="s">
        <v>138</v>
      </c>
      <c r="E32" s="60" t="s">
        <v>154</v>
      </c>
      <c r="F32" s="48">
        <v>40</v>
      </c>
    </row>
    <row r="33" spans="1:7" ht="15.75" x14ac:dyDescent="0.25">
      <c r="A33" s="47">
        <v>26</v>
      </c>
      <c r="B33" s="52"/>
      <c r="C33" s="53"/>
      <c r="D33" s="39"/>
      <c r="E33" s="39"/>
      <c r="F33" s="39"/>
      <c r="G33" s="8"/>
    </row>
    <row r="34" spans="1:7" ht="15.75" x14ac:dyDescent="0.25">
      <c r="A34" s="7"/>
      <c r="B34" s="31"/>
      <c r="C34" s="8"/>
      <c r="D34" s="67"/>
      <c r="E34" s="67"/>
      <c r="F34" s="67"/>
      <c r="G34" s="8"/>
    </row>
    <row r="35" spans="1:7" ht="15.75" customHeight="1" x14ac:dyDescent="0.25">
      <c r="A35" s="7"/>
      <c r="B35" s="12" t="s">
        <v>17</v>
      </c>
    </row>
    <row r="36" spans="1:7" ht="15.75" customHeight="1" thickBot="1" x14ac:dyDescent="0.3">
      <c r="A36" s="7"/>
      <c r="B36" s="14"/>
      <c r="C36" s="8"/>
      <c r="D36" s="8"/>
      <c r="E36" s="8"/>
      <c r="F36" s="8"/>
    </row>
    <row r="37" spans="1:7" ht="15.75" customHeight="1" thickBot="1" x14ac:dyDescent="0.3">
      <c r="A37" s="15" t="s">
        <v>11</v>
      </c>
      <c r="B37" s="16" t="s">
        <v>18</v>
      </c>
      <c r="C37" s="16" t="s">
        <v>19</v>
      </c>
      <c r="D37" s="16" t="s">
        <v>14</v>
      </c>
      <c r="E37" s="16" t="s">
        <v>15</v>
      </c>
      <c r="F37" s="17" t="s">
        <v>16</v>
      </c>
    </row>
    <row r="38" spans="1:7" ht="15.75" customHeight="1" x14ac:dyDescent="0.25">
      <c r="A38" s="18">
        <v>1</v>
      </c>
      <c r="B38" s="20">
        <v>46209</v>
      </c>
      <c r="C38" s="19" t="s">
        <v>166</v>
      </c>
      <c r="D38" s="19" t="s">
        <v>163</v>
      </c>
      <c r="E38" s="49" t="s">
        <v>165</v>
      </c>
      <c r="F38" s="21">
        <v>40</v>
      </c>
    </row>
    <row r="39" spans="1:7" ht="15.75" customHeight="1" x14ac:dyDescent="0.25">
      <c r="A39" s="35">
        <v>2</v>
      </c>
      <c r="B39" s="42">
        <v>46209</v>
      </c>
      <c r="C39" s="37" t="s">
        <v>167</v>
      </c>
      <c r="D39" s="37" t="s">
        <v>168</v>
      </c>
      <c r="E39" s="43">
        <v>3885</v>
      </c>
      <c r="F39" s="38">
        <v>40</v>
      </c>
    </row>
    <row r="40" spans="1:7" ht="15.75" customHeight="1" x14ac:dyDescent="0.25">
      <c r="A40" s="22">
        <v>3</v>
      </c>
      <c r="B40" s="24"/>
      <c r="C40" s="37"/>
      <c r="D40" s="40"/>
      <c r="E40" s="23"/>
      <c r="F40" s="25"/>
    </row>
    <row r="41" spans="1:7" ht="15.75" customHeight="1" x14ac:dyDescent="0.25">
      <c r="A41" s="22">
        <v>4</v>
      </c>
      <c r="B41" s="24"/>
      <c r="C41" s="37"/>
      <c r="D41" s="23"/>
      <c r="E41" s="23"/>
      <c r="F41" s="25"/>
    </row>
    <row r="42" spans="1:7" ht="15.75" customHeight="1" x14ac:dyDescent="0.25">
      <c r="A42" s="22">
        <v>5</v>
      </c>
      <c r="B42" s="24"/>
      <c r="C42" s="37"/>
      <c r="D42" s="23"/>
      <c r="E42" s="23"/>
      <c r="F42" s="25"/>
    </row>
    <row r="43" spans="1:7" ht="15.75" customHeight="1" thickBot="1" x14ac:dyDescent="0.3">
      <c r="A43" s="27">
        <v>6</v>
      </c>
      <c r="B43" s="29"/>
      <c r="C43" s="44"/>
      <c r="D43" s="28"/>
      <c r="E43" s="28"/>
      <c r="F43" s="30"/>
    </row>
    <row r="44" spans="1:7" ht="15.75" customHeight="1" x14ac:dyDescent="0.25">
      <c r="A44" s="7"/>
      <c r="B44" s="46"/>
      <c r="C44" s="45"/>
      <c r="D44" s="45"/>
      <c r="E44" s="45"/>
      <c r="F44" s="45"/>
    </row>
    <row r="45" spans="1:7" ht="15.75" customHeight="1" x14ac:dyDescent="0.25"/>
    <row r="46" spans="1:7" ht="15.75" customHeight="1" x14ac:dyDescent="0.25">
      <c r="A46" s="7"/>
      <c r="B46" s="12" t="s">
        <v>20</v>
      </c>
      <c r="C46" s="8"/>
      <c r="E46" s="8"/>
      <c r="F46" s="8"/>
    </row>
    <row r="47" spans="1:7" ht="15.75" customHeight="1" thickBot="1" x14ac:dyDescent="0.3">
      <c r="A47" s="7"/>
      <c r="B47" s="14"/>
      <c r="C47" s="8"/>
      <c r="D47" s="8"/>
      <c r="E47" s="8"/>
      <c r="F47" s="8"/>
    </row>
    <row r="48" spans="1:7" ht="15.75" customHeight="1" thickBot="1" x14ac:dyDescent="0.3">
      <c r="A48" s="15" t="s">
        <v>11</v>
      </c>
      <c r="B48" s="16" t="s">
        <v>21</v>
      </c>
      <c r="C48" s="16" t="s">
        <v>14</v>
      </c>
      <c r="D48" s="16" t="s">
        <v>22</v>
      </c>
      <c r="E48" s="16" t="s">
        <v>23</v>
      </c>
      <c r="F48" s="17" t="s">
        <v>16</v>
      </c>
    </row>
    <row r="49" spans="1:6" ht="15.75" customHeight="1" x14ac:dyDescent="0.25">
      <c r="A49" s="18"/>
      <c r="B49" s="32"/>
      <c r="C49" s="19"/>
      <c r="D49" s="19"/>
      <c r="E49" s="19"/>
      <c r="F49" s="21"/>
    </row>
    <row r="50" spans="1:6" ht="15.75" customHeight="1" x14ac:dyDescent="0.25">
      <c r="A50" s="22"/>
      <c r="B50" s="33"/>
      <c r="C50" s="23"/>
      <c r="D50" s="23"/>
      <c r="E50" s="23"/>
      <c r="F50" s="25"/>
    </row>
  </sheetData>
  <mergeCells count="5">
    <mergeCell ref="A3:H3"/>
    <mergeCell ref="B9:B12"/>
    <mergeCell ref="B14:B28"/>
    <mergeCell ref="B29:B30"/>
    <mergeCell ref="B31:B32"/>
  </mergeCells>
  <dataValidations count="2">
    <dataValidation type="list" allowBlank="1" showInputMessage="1" showErrorMessage="1" sqref="F8:F12 F14:F34" xr:uid="{E28E3C0C-74AB-4E34-B457-36CE4494C328}">
      <formula1>"20,40,45,50"</formula1>
    </dataValidation>
    <dataValidation type="list" allowBlank="1" showInputMessage="1" showErrorMessage="1" sqref="F13" xr:uid="{D2C4371B-7BED-483F-8762-60F3B0C457C9}">
      <formula1>"20,40,45,50,GROUPAGE"</formula1>
    </dataValidation>
  </dataValidations>
  <pageMargins left="0.31496062992125984" right="0.31496062992125984" top="0.55118110236220474" bottom="0.35433070866141736" header="0.31496062992125984" footer="0.31496062992125984"/>
  <pageSetup paperSize="9" orientation="portrait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7458E-870F-45C7-9B19-3BFF561865D2}">
  <dimension ref="A1:L41"/>
  <sheetViews>
    <sheetView workbookViewId="0">
      <selection activeCell="E18" sqref="E18:E29"/>
    </sheetView>
  </sheetViews>
  <sheetFormatPr baseColWidth="10" defaultRowHeight="15" x14ac:dyDescent="0.25"/>
  <cols>
    <col min="1" max="1" width="3.140625" style="26" bestFit="1" customWidth="1"/>
    <col min="2" max="2" width="14.85546875" style="26" bestFit="1" customWidth="1"/>
    <col min="3" max="3" width="19.28515625" style="26" customWidth="1"/>
    <col min="4" max="4" width="19.140625" style="26" customWidth="1"/>
    <col min="5" max="5" width="14.28515625" style="26" customWidth="1"/>
    <col min="6" max="6" width="13.85546875" style="26" bestFit="1" customWidth="1"/>
    <col min="7" max="7" width="12.140625" style="26" bestFit="1" customWidth="1"/>
    <col min="8" max="16384" width="11.42578125" style="26"/>
  </cols>
  <sheetData>
    <row r="1" spans="1:10" s="8" customFormat="1" ht="24.95" customHeight="1" x14ac:dyDescent="0.25">
      <c r="A1" s="7"/>
      <c r="H1" s="9">
        <f>COUNTIF(C8:C12,"&lt;&gt;")</f>
        <v>2</v>
      </c>
      <c r="I1" s="10" t="s">
        <v>8</v>
      </c>
    </row>
    <row r="2" spans="1:10" s="8" customFormat="1" ht="15.75" x14ac:dyDescent="0.25">
      <c r="A2" s="7"/>
      <c r="F2" s="9">
        <f>COUNTIFS(B18:B36,"&lt;&gt;",C18:C36,"VH")</f>
        <v>0</v>
      </c>
      <c r="G2" s="10" t="s">
        <v>7</v>
      </c>
      <c r="H2" s="9">
        <f>COUNTA(C18:C33)-F2</f>
        <v>12</v>
      </c>
      <c r="I2" s="10" t="s">
        <v>8</v>
      </c>
      <c r="J2" s="11">
        <f>COUNTIF(E18:E32,"VIDE")</f>
        <v>0</v>
      </c>
    </row>
    <row r="3" spans="1:10" s="8" customFormat="1" ht="25.5" x14ac:dyDescent="0.25">
      <c r="A3" s="148" t="s">
        <v>9</v>
      </c>
      <c r="B3" s="148"/>
      <c r="C3" s="148"/>
      <c r="D3" s="148"/>
      <c r="E3" s="148"/>
      <c r="F3" s="148"/>
      <c r="G3" s="148"/>
      <c r="H3" s="148"/>
    </row>
    <row r="4" spans="1:10" s="8" customFormat="1" ht="12.75" x14ac:dyDescent="0.25">
      <c r="A4" s="7"/>
    </row>
    <row r="5" spans="1:10" s="8" customFormat="1" ht="15.75" x14ac:dyDescent="0.25">
      <c r="A5" s="7"/>
      <c r="B5" s="12" t="s">
        <v>10</v>
      </c>
      <c r="G5" s="13">
        <v>46210</v>
      </c>
    </row>
    <row r="6" spans="1:10" s="8" customFormat="1" thickBot="1" x14ac:dyDescent="0.3">
      <c r="A6" s="7"/>
      <c r="B6" s="14"/>
    </row>
    <row r="7" spans="1:10" s="8" customFormat="1" thickBot="1" x14ac:dyDescent="0.3">
      <c r="A7" s="15" t="s">
        <v>11</v>
      </c>
      <c r="B7" s="16" t="s">
        <v>12</v>
      </c>
      <c r="C7" s="16" t="s">
        <v>13</v>
      </c>
      <c r="D7" s="16" t="s">
        <v>14</v>
      </c>
      <c r="E7" s="16" t="s">
        <v>15</v>
      </c>
      <c r="F7" s="17" t="s">
        <v>16</v>
      </c>
    </row>
    <row r="8" spans="1:10" ht="15.75" x14ac:dyDescent="0.25">
      <c r="A8" s="18">
        <v>1</v>
      </c>
      <c r="B8" s="149" t="s">
        <v>156</v>
      </c>
      <c r="C8" s="63"/>
      <c r="D8" s="54"/>
      <c r="E8" s="56"/>
      <c r="F8" s="80"/>
      <c r="G8" s="31"/>
    </row>
    <row r="9" spans="1:10" ht="15.75" x14ac:dyDescent="0.25">
      <c r="A9" s="22">
        <v>2</v>
      </c>
      <c r="B9" s="153"/>
      <c r="C9" s="65">
        <v>46209</v>
      </c>
      <c r="D9" s="51" t="s">
        <v>118</v>
      </c>
      <c r="E9" s="58">
        <v>896531</v>
      </c>
      <c r="F9" s="81">
        <v>40</v>
      </c>
      <c r="G9" s="31"/>
    </row>
    <row r="10" spans="1:10" ht="15.75" x14ac:dyDescent="0.25">
      <c r="A10" s="22">
        <v>3</v>
      </c>
      <c r="B10" s="151" t="s">
        <v>158</v>
      </c>
      <c r="C10" s="65"/>
      <c r="D10" s="51"/>
      <c r="E10" s="60"/>
      <c r="F10" s="81"/>
      <c r="G10" s="31"/>
    </row>
    <row r="11" spans="1:10" ht="15.75" x14ac:dyDescent="0.25">
      <c r="A11" s="22">
        <v>4</v>
      </c>
      <c r="B11" s="151"/>
      <c r="C11" s="65">
        <v>46209</v>
      </c>
      <c r="D11" s="60" t="s">
        <v>121</v>
      </c>
      <c r="E11" s="60" t="s">
        <v>141</v>
      </c>
      <c r="F11" s="81">
        <v>40</v>
      </c>
      <c r="G11" s="31"/>
    </row>
    <row r="12" spans="1:10" ht="15.75" x14ac:dyDescent="0.25">
      <c r="A12" s="22">
        <v>5</v>
      </c>
      <c r="B12" s="79"/>
      <c r="C12" s="65"/>
      <c r="D12" s="60"/>
      <c r="E12" s="60"/>
      <c r="F12" s="81"/>
      <c r="G12" s="31"/>
    </row>
    <row r="13" spans="1:10" ht="16.5" thickBot="1" x14ac:dyDescent="0.3">
      <c r="A13" s="27">
        <v>8</v>
      </c>
      <c r="B13" s="82"/>
      <c r="C13" s="83"/>
      <c r="D13" s="84"/>
      <c r="E13" s="84"/>
      <c r="F13" s="85"/>
      <c r="G13" s="8"/>
    </row>
    <row r="14" spans="1:10" ht="15.75" x14ac:dyDescent="0.25">
      <c r="A14" s="7"/>
      <c r="B14" s="31"/>
      <c r="C14" s="8"/>
      <c r="D14" s="67"/>
      <c r="E14" s="67"/>
      <c r="F14" s="67"/>
      <c r="G14" s="8"/>
    </row>
    <row r="15" spans="1:10" ht="15.75" customHeight="1" x14ac:dyDescent="0.25">
      <c r="A15" s="7"/>
      <c r="B15" s="12" t="s">
        <v>17</v>
      </c>
    </row>
    <row r="16" spans="1:10" ht="15.75" customHeight="1" thickBot="1" x14ac:dyDescent="0.3">
      <c r="A16" s="7"/>
      <c r="B16" s="14"/>
      <c r="C16" s="8"/>
      <c r="D16" s="8"/>
      <c r="E16" s="8"/>
      <c r="F16" s="8"/>
    </row>
    <row r="17" spans="1:12" ht="15.75" customHeight="1" thickBot="1" x14ac:dyDescent="0.3">
      <c r="A17" s="15" t="s">
        <v>11</v>
      </c>
      <c r="B17" s="16" t="s">
        <v>18</v>
      </c>
      <c r="C17" s="16" t="s">
        <v>19</v>
      </c>
      <c r="D17" s="16" t="s">
        <v>14</v>
      </c>
      <c r="E17" s="16" t="s">
        <v>15</v>
      </c>
      <c r="F17" s="17" t="s">
        <v>16</v>
      </c>
    </row>
    <row r="18" spans="1:12" ht="15.75" customHeight="1" x14ac:dyDescent="0.25">
      <c r="A18" s="18">
        <v>1</v>
      </c>
      <c r="B18" s="20">
        <v>46210</v>
      </c>
      <c r="C18" s="19" t="s">
        <v>172</v>
      </c>
      <c r="D18" s="19" t="s">
        <v>173</v>
      </c>
      <c r="E18" s="19">
        <v>3878</v>
      </c>
      <c r="F18" s="21">
        <v>40</v>
      </c>
    </row>
    <row r="19" spans="1:12" ht="15.75" customHeight="1" x14ac:dyDescent="0.25">
      <c r="A19" s="22">
        <v>2</v>
      </c>
      <c r="B19" s="24">
        <v>46210</v>
      </c>
      <c r="C19" s="23" t="s">
        <v>185</v>
      </c>
      <c r="D19" s="39" t="s">
        <v>182</v>
      </c>
      <c r="E19" s="23">
        <v>3884</v>
      </c>
      <c r="F19" s="25">
        <v>45</v>
      </c>
    </row>
    <row r="20" spans="1:12" ht="15.75" customHeight="1" x14ac:dyDescent="0.25">
      <c r="A20" s="22">
        <v>3</v>
      </c>
      <c r="B20" s="24">
        <v>46210</v>
      </c>
      <c r="C20" s="23" t="s">
        <v>184</v>
      </c>
      <c r="D20" s="39" t="s">
        <v>79</v>
      </c>
      <c r="E20" s="23">
        <v>3886</v>
      </c>
      <c r="F20" s="25">
        <v>45</v>
      </c>
    </row>
    <row r="21" spans="1:12" ht="15.75" customHeight="1" x14ac:dyDescent="0.25">
      <c r="A21" s="22">
        <v>4</v>
      </c>
      <c r="B21" s="24">
        <v>46210</v>
      </c>
      <c r="C21" s="23" t="s">
        <v>186</v>
      </c>
      <c r="D21" s="39" t="s">
        <v>80</v>
      </c>
      <c r="E21" s="23">
        <v>3889</v>
      </c>
      <c r="F21" s="25">
        <v>45</v>
      </c>
    </row>
    <row r="22" spans="1:12" ht="15.75" customHeight="1" x14ac:dyDescent="0.25">
      <c r="A22" s="22">
        <v>5</v>
      </c>
      <c r="B22" s="24">
        <v>46210</v>
      </c>
      <c r="C22" s="23" t="s">
        <v>187</v>
      </c>
      <c r="D22" s="39" t="s">
        <v>183</v>
      </c>
      <c r="E22" s="23">
        <v>3888</v>
      </c>
      <c r="F22" s="25">
        <v>45</v>
      </c>
    </row>
    <row r="23" spans="1:12" ht="15.75" customHeight="1" x14ac:dyDescent="0.25">
      <c r="A23" s="22">
        <v>6</v>
      </c>
      <c r="B23" s="24">
        <v>46210</v>
      </c>
      <c r="C23" s="91" t="s">
        <v>195</v>
      </c>
      <c r="D23" s="39" t="s">
        <v>188</v>
      </c>
      <c r="E23" s="23" t="s">
        <v>164</v>
      </c>
      <c r="F23" s="25">
        <v>20</v>
      </c>
    </row>
    <row r="24" spans="1:12" ht="15.75" customHeight="1" x14ac:dyDescent="0.25">
      <c r="A24" s="22">
        <v>7</v>
      </c>
      <c r="B24" s="24">
        <v>46210</v>
      </c>
      <c r="C24" s="91" t="s">
        <v>193</v>
      </c>
      <c r="D24" s="39" t="s">
        <v>190</v>
      </c>
      <c r="E24" s="23" t="s">
        <v>164</v>
      </c>
      <c r="F24" s="25">
        <v>20</v>
      </c>
    </row>
    <row r="25" spans="1:12" ht="15.75" customHeight="1" x14ac:dyDescent="0.25">
      <c r="A25" s="22">
        <v>8</v>
      </c>
      <c r="B25" s="24">
        <v>46210</v>
      </c>
      <c r="C25" s="91" t="s">
        <v>198</v>
      </c>
      <c r="D25" s="39" t="s">
        <v>196</v>
      </c>
      <c r="E25" s="23" t="s">
        <v>164</v>
      </c>
      <c r="F25" s="25">
        <v>20</v>
      </c>
    </row>
    <row r="26" spans="1:12" ht="15.75" customHeight="1" x14ac:dyDescent="0.25">
      <c r="A26" s="22">
        <v>9</v>
      </c>
      <c r="B26" s="24">
        <v>46210</v>
      </c>
      <c r="C26" s="91" t="s">
        <v>198</v>
      </c>
      <c r="D26" s="39" t="s">
        <v>197</v>
      </c>
      <c r="E26" s="23" t="s">
        <v>164</v>
      </c>
      <c r="F26" s="25">
        <v>20</v>
      </c>
    </row>
    <row r="27" spans="1:12" ht="15.75" customHeight="1" x14ac:dyDescent="0.25">
      <c r="A27" s="22">
        <v>10</v>
      </c>
      <c r="B27" s="24">
        <v>46210</v>
      </c>
      <c r="C27" s="91" t="s">
        <v>192</v>
      </c>
      <c r="D27" s="39" t="s">
        <v>189</v>
      </c>
      <c r="E27" s="23" t="s">
        <v>164</v>
      </c>
      <c r="F27" s="25">
        <v>20</v>
      </c>
      <c r="L27" s="26" t="s">
        <v>244</v>
      </c>
    </row>
    <row r="28" spans="1:12" ht="15.75" customHeight="1" x14ac:dyDescent="0.25">
      <c r="A28" s="22">
        <v>11</v>
      </c>
      <c r="B28" s="24">
        <v>46210</v>
      </c>
      <c r="C28" s="23" t="s">
        <v>194</v>
      </c>
      <c r="D28" s="39" t="s">
        <v>191</v>
      </c>
      <c r="E28" s="23" t="s">
        <v>164</v>
      </c>
      <c r="F28" s="25">
        <v>20</v>
      </c>
    </row>
    <row r="29" spans="1:12" ht="15.75" customHeight="1" x14ac:dyDescent="0.25">
      <c r="A29" s="22">
        <v>12</v>
      </c>
      <c r="B29" s="24">
        <v>46210</v>
      </c>
      <c r="C29" s="23" t="s">
        <v>200</v>
      </c>
      <c r="D29" s="39" t="s">
        <v>199</v>
      </c>
      <c r="E29" s="23" t="s">
        <v>164</v>
      </c>
      <c r="F29" s="25">
        <v>20</v>
      </c>
    </row>
    <row r="30" spans="1:12" ht="15.75" customHeight="1" x14ac:dyDescent="0.25">
      <c r="A30" s="22">
        <v>13</v>
      </c>
      <c r="B30" s="24"/>
      <c r="C30" s="23"/>
      <c r="D30" s="23"/>
      <c r="E30" s="23"/>
      <c r="F30" s="25"/>
    </row>
    <row r="31" spans="1:12" ht="15.75" customHeight="1" x14ac:dyDescent="0.25">
      <c r="A31" s="22">
        <v>14</v>
      </c>
      <c r="B31" s="24"/>
      <c r="C31" s="86"/>
      <c r="D31" s="23"/>
      <c r="E31" s="23"/>
      <c r="F31" s="25"/>
    </row>
    <row r="32" spans="1:12" ht="15.75" customHeight="1" thickBot="1" x14ac:dyDescent="0.3">
      <c r="A32" s="27"/>
      <c r="B32" s="29"/>
      <c r="C32" s="28"/>
      <c r="D32" s="28"/>
      <c r="E32" s="28"/>
      <c r="F32" s="30"/>
    </row>
    <row r="33" spans="1:6" ht="15.75" customHeight="1" x14ac:dyDescent="0.25">
      <c r="A33" s="7"/>
      <c r="B33" s="46"/>
      <c r="C33" s="45"/>
      <c r="D33" s="45"/>
      <c r="E33" s="45"/>
      <c r="F33" s="45"/>
    </row>
    <row r="34" spans="1:6" ht="15.75" customHeight="1" x14ac:dyDescent="0.25">
      <c r="A34" s="7"/>
      <c r="B34" s="12" t="s">
        <v>20</v>
      </c>
      <c r="C34" s="8"/>
      <c r="E34" s="8"/>
      <c r="F34" s="8"/>
    </row>
    <row r="35" spans="1:6" ht="15.75" customHeight="1" thickBot="1" x14ac:dyDescent="0.3">
      <c r="A35" s="7"/>
      <c r="B35" s="14"/>
      <c r="C35" s="8"/>
      <c r="D35" s="8"/>
      <c r="E35" s="8"/>
      <c r="F35" s="8"/>
    </row>
    <row r="36" spans="1:6" ht="15.75" customHeight="1" thickBot="1" x14ac:dyDescent="0.3">
      <c r="A36" s="15" t="s">
        <v>11</v>
      </c>
      <c r="B36" s="16" t="s">
        <v>21</v>
      </c>
      <c r="C36" s="16" t="s">
        <v>14</v>
      </c>
      <c r="D36" s="16" t="s">
        <v>22</v>
      </c>
      <c r="E36" s="16" t="s">
        <v>23</v>
      </c>
      <c r="F36" s="17" t="s">
        <v>16</v>
      </c>
    </row>
    <row r="37" spans="1:6" ht="15.75" customHeight="1" x14ac:dyDescent="0.25">
      <c r="A37" s="18">
        <v>1</v>
      </c>
      <c r="B37" s="20">
        <v>46210</v>
      </c>
      <c r="C37" s="19" t="s">
        <v>175</v>
      </c>
      <c r="D37" s="19">
        <v>656800</v>
      </c>
      <c r="E37" s="19">
        <v>3890</v>
      </c>
      <c r="F37" s="21">
        <v>40</v>
      </c>
    </row>
    <row r="38" spans="1:6" ht="15.75" customHeight="1" x14ac:dyDescent="0.25">
      <c r="A38" s="22">
        <v>2</v>
      </c>
      <c r="B38" s="24">
        <v>46210</v>
      </c>
      <c r="C38" s="23" t="s">
        <v>176</v>
      </c>
      <c r="D38" s="23" t="s">
        <v>177</v>
      </c>
      <c r="E38" s="23">
        <v>3927</v>
      </c>
      <c r="F38" s="25">
        <v>40</v>
      </c>
    </row>
    <row r="39" spans="1:6" ht="15.75" customHeight="1" x14ac:dyDescent="0.25">
      <c r="A39" s="22">
        <v>3</v>
      </c>
      <c r="B39" s="24">
        <v>46210</v>
      </c>
      <c r="C39" s="23" t="s">
        <v>178</v>
      </c>
      <c r="D39" s="23" t="s">
        <v>181</v>
      </c>
      <c r="E39" s="23">
        <v>3898</v>
      </c>
      <c r="F39" s="25">
        <v>40</v>
      </c>
    </row>
    <row r="40" spans="1:6" ht="15.75" customHeight="1" x14ac:dyDescent="0.25">
      <c r="A40" s="22">
        <v>4</v>
      </c>
      <c r="B40" s="24">
        <v>46210</v>
      </c>
      <c r="C40" s="23" t="s">
        <v>179</v>
      </c>
      <c r="D40" s="23" t="s">
        <v>180</v>
      </c>
      <c r="E40" s="23">
        <v>3925</v>
      </c>
      <c r="F40" s="25">
        <v>40</v>
      </c>
    </row>
    <row r="41" spans="1:6" ht="15.75" thickBot="1" x14ac:dyDescent="0.3">
      <c r="A41" s="27"/>
      <c r="B41" s="34"/>
      <c r="C41" s="28"/>
      <c r="D41" s="28"/>
      <c r="E41" s="28"/>
      <c r="F41" s="30"/>
    </row>
  </sheetData>
  <mergeCells count="3">
    <mergeCell ref="A3:H3"/>
    <mergeCell ref="B8:B9"/>
    <mergeCell ref="B10:B11"/>
  </mergeCells>
  <dataValidations disablePrompts="1" count="1">
    <dataValidation type="list" allowBlank="1" showInputMessage="1" showErrorMessage="1" sqref="F8:F14" xr:uid="{692D824F-B206-4EC4-90B0-73C25A7B7BBF}">
      <formula1>"20,40,45,50"</formula1>
    </dataValidation>
  </dataValidations>
  <pageMargins left="0.31496062992125984" right="0.31496062992125984" top="0.74803149606299213" bottom="0.35433070866141736" header="0.31496062992125984" footer="0.31496062992125984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B58CE-75D6-4299-85FB-0D143E21BF58}">
  <dimension ref="A1:J51"/>
  <sheetViews>
    <sheetView topLeftCell="A3" workbookViewId="0">
      <selection activeCell="A3" sqref="A3:H3"/>
    </sheetView>
  </sheetViews>
  <sheetFormatPr baseColWidth="10" defaultRowHeight="15" x14ac:dyDescent="0.25"/>
  <cols>
    <col min="1" max="1" width="3.140625" style="26" bestFit="1" customWidth="1"/>
    <col min="2" max="2" width="14.85546875" style="26" bestFit="1" customWidth="1"/>
    <col min="3" max="3" width="19.28515625" style="26" customWidth="1"/>
    <col min="4" max="4" width="19.140625" style="26" customWidth="1"/>
    <col min="5" max="5" width="14.28515625" style="26" customWidth="1"/>
    <col min="6" max="6" width="13.85546875" style="26" bestFit="1" customWidth="1"/>
    <col min="7" max="7" width="12.140625" style="26" bestFit="1" customWidth="1"/>
    <col min="8" max="16384" width="11.42578125" style="26"/>
  </cols>
  <sheetData>
    <row r="1" spans="1:10" s="8" customFormat="1" ht="24.95" customHeight="1" x14ac:dyDescent="0.25">
      <c r="A1" s="7"/>
      <c r="H1" s="9">
        <f>COUNTIF(C8:C32,"&lt;&gt;")</f>
        <v>16</v>
      </c>
      <c r="I1" s="10" t="s">
        <v>8</v>
      </c>
    </row>
    <row r="2" spans="1:10" s="8" customFormat="1" ht="15.75" x14ac:dyDescent="0.25">
      <c r="A2" s="7"/>
      <c r="F2" s="9">
        <f>COUNTIFS(B38:B41,"&lt;&gt;",C38:C41,"VH")</f>
        <v>0</v>
      </c>
      <c r="G2" s="10" t="s">
        <v>7</v>
      </c>
      <c r="H2" s="9">
        <f>COUNTA(C38:C44)-F2</f>
        <v>7</v>
      </c>
      <c r="I2" s="10" t="s">
        <v>8</v>
      </c>
      <c r="J2" s="11">
        <f>COUNTIF(E38:E43,"VIDE")</f>
        <v>0</v>
      </c>
    </row>
    <row r="3" spans="1:10" s="8" customFormat="1" ht="25.5" x14ac:dyDescent="0.25">
      <c r="A3" s="148" t="s">
        <v>9</v>
      </c>
      <c r="B3" s="148"/>
      <c r="C3" s="148"/>
      <c r="D3" s="148"/>
      <c r="E3" s="148"/>
      <c r="F3" s="148"/>
      <c r="G3" s="148"/>
      <c r="H3" s="148"/>
    </row>
    <row r="4" spans="1:10" s="8" customFormat="1" ht="12.75" x14ac:dyDescent="0.25">
      <c r="A4" s="7"/>
    </row>
    <row r="5" spans="1:10" s="8" customFormat="1" ht="15.75" x14ac:dyDescent="0.25">
      <c r="A5" s="7"/>
      <c r="B5" s="12" t="s">
        <v>10</v>
      </c>
      <c r="G5" s="13">
        <v>46211</v>
      </c>
    </row>
    <row r="6" spans="1:10" s="8" customFormat="1" thickBot="1" x14ac:dyDescent="0.3">
      <c r="A6" s="7"/>
      <c r="B6" s="14"/>
    </row>
    <row r="7" spans="1:10" s="8" customFormat="1" ht="14.25" x14ac:dyDescent="0.25">
      <c r="A7" s="15" t="s">
        <v>11</v>
      </c>
      <c r="B7" s="16" t="s">
        <v>12</v>
      </c>
      <c r="C7" s="16" t="s">
        <v>13</v>
      </c>
      <c r="D7" s="16" t="s">
        <v>14</v>
      </c>
      <c r="E7" s="16" t="s">
        <v>15</v>
      </c>
      <c r="F7" s="17" t="s">
        <v>16</v>
      </c>
      <c r="G7" s="16" t="s">
        <v>343</v>
      </c>
    </row>
    <row r="8" spans="1:10" ht="15.75" x14ac:dyDescent="0.25">
      <c r="A8" s="47">
        <v>1</v>
      </c>
      <c r="B8" s="72" t="s">
        <v>238</v>
      </c>
      <c r="C8" s="89">
        <v>8072026</v>
      </c>
      <c r="D8" s="51" t="s">
        <v>201</v>
      </c>
      <c r="E8" s="51" t="s">
        <v>202</v>
      </c>
      <c r="F8" s="51">
        <v>20</v>
      </c>
      <c r="G8" s="102"/>
    </row>
    <row r="9" spans="1:10" ht="15.75" x14ac:dyDescent="0.25">
      <c r="A9" s="47">
        <v>2</v>
      </c>
      <c r="B9" s="151" t="s">
        <v>239</v>
      </c>
      <c r="C9" s="89">
        <v>8072026</v>
      </c>
      <c r="D9" s="51" t="s">
        <v>203</v>
      </c>
      <c r="E9" s="39" t="s">
        <v>204</v>
      </c>
      <c r="F9" s="51">
        <v>40</v>
      </c>
      <c r="G9" s="102"/>
    </row>
    <row r="10" spans="1:10" ht="15.75" x14ac:dyDescent="0.25">
      <c r="A10" s="47">
        <v>3</v>
      </c>
      <c r="B10" s="151"/>
      <c r="C10" s="89">
        <v>8072026</v>
      </c>
      <c r="D10" s="51" t="s">
        <v>205</v>
      </c>
      <c r="E10" s="39" t="s">
        <v>206</v>
      </c>
      <c r="F10" s="51">
        <v>40</v>
      </c>
      <c r="G10" s="121" t="s">
        <v>339</v>
      </c>
    </row>
    <row r="11" spans="1:10" ht="15.75" x14ac:dyDescent="0.25">
      <c r="A11" s="47">
        <v>4</v>
      </c>
      <c r="B11" s="151"/>
      <c r="C11" s="89">
        <v>8072026</v>
      </c>
      <c r="D11" s="51" t="s">
        <v>207</v>
      </c>
      <c r="E11" s="39" t="s">
        <v>208</v>
      </c>
      <c r="F11" s="51">
        <v>40</v>
      </c>
      <c r="G11" s="121" t="s">
        <v>340</v>
      </c>
    </row>
    <row r="12" spans="1:10" ht="15.75" x14ac:dyDescent="0.25">
      <c r="A12" s="47">
        <v>5</v>
      </c>
      <c r="B12" s="151"/>
      <c r="C12" s="89">
        <v>8072026</v>
      </c>
      <c r="D12" s="51" t="s">
        <v>209</v>
      </c>
      <c r="E12" s="39" t="s">
        <v>210</v>
      </c>
      <c r="F12" s="51">
        <v>40</v>
      </c>
      <c r="G12" s="121" t="s">
        <v>341</v>
      </c>
    </row>
    <row r="13" spans="1:10" ht="15.75" x14ac:dyDescent="0.25">
      <c r="A13" s="47">
        <v>6</v>
      </c>
      <c r="B13" s="151"/>
      <c r="C13" s="89">
        <v>8072026</v>
      </c>
      <c r="D13" s="51" t="s">
        <v>211</v>
      </c>
      <c r="E13" s="39" t="s">
        <v>212</v>
      </c>
      <c r="F13" s="51">
        <v>40</v>
      </c>
      <c r="G13" s="102"/>
    </row>
    <row r="14" spans="1:10" ht="15.75" x14ac:dyDescent="0.25">
      <c r="A14" s="47">
        <v>7</v>
      </c>
      <c r="B14" s="151"/>
      <c r="C14" s="89">
        <v>8072026</v>
      </c>
      <c r="D14" s="51" t="s">
        <v>213</v>
      </c>
      <c r="E14" s="39" t="s">
        <v>214</v>
      </c>
      <c r="F14" s="51">
        <v>40</v>
      </c>
      <c r="G14" s="102"/>
    </row>
    <row r="15" spans="1:10" ht="15.75" x14ac:dyDescent="0.25">
      <c r="A15" s="47">
        <v>8</v>
      </c>
      <c r="B15" s="151"/>
      <c r="C15" s="89">
        <v>8072026</v>
      </c>
      <c r="D15" s="87" t="s">
        <v>215</v>
      </c>
      <c r="E15" s="39" t="s">
        <v>216</v>
      </c>
      <c r="F15" s="51">
        <v>40</v>
      </c>
      <c r="G15" s="102"/>
    </row>
    <row r="16" spans="1:10" ht="15.75" x14ac:dyDescent="0.25">
      <c r="A16" s="47">
        <v>9</v>
      </c>
      <c r="B16" s="151"/>
      <c r="C16" s="89"/>
      <c r="D16" s="87" t="s">
        <v>217</v>
      </c>
      <c r="E16" s="39" t="s">
        <v>218</v>
      </c>
      <c r="F16" s="51">
        <v>40</v>
      </c>
      <c r="G16" s="121" t="s">
        <v>342</v>
      </c>
    </row>
    <row r="17" spans="1:10" ht="15.75" x14ac:dyDescent="0.25">
      <c r="A17" s="47">
        <v>10</v>
      </c>
      <c r="B17" s="151"/>
      <c r="C17" s="89">
        <v>8072026</v>
      </c>
      <c r="D17" s="87" t="s">
        <v>219</v>
      </c>
      <c r="E17" s="39" t="s">
        <v>220</v>
      </c>
      <c r="F17" s="51">
        <v>40</v>
      </c>
      <c r="G17" s="102"/>
    </row>
    <row r="18" spans="1:10" ht="15.75" x14ac:dyDescent="0.25">
      <c r="A18" s="47">
        <v>11</v>
      </c>
      <c r="B18" s="151"/>
      <c r="C18" s="89">
        <v>8072026</v>
      </c>
      <c r="D18" s="51" t="s">
        <v>221</v>
      </c>
      <c r="E18" s="39" t="s">
        <v>206</v>
      </c>
      <c r="F18" s="51">
        <v>40</v>
      </c>
      <c r="G18" s="102"/>
    </row>
    <row r="19" spans="1:10" ht="15.75" x14ac:dyDescent="0.25">
      <c r="A19" s="47">
        <v>12</v>
      </c>
      <c r="B19" s="72" t="s">
        <v>240</v>
      </c>
      <c r="C19" s="89"/>
      <c r="D19" s="51" t="s">
        <v>222</v>
      </c>
      <c r="E19" s="51" t="s">
        <v>223</v>
      </c>
      <c r="F19" s="51">
        <v>45</v>
      </c>
      <c r="G19" s="102"/>
    </row>
    <row r="20" spans="1:10" ht="15.75" x14ac:dyDescent="0.25">
      <c r="A20" s="47">
        <v>13</v>
      </c>
      <c r="B20" s="72" t="s">
        <v>241</v>
      </c>
      <c r="C20" s="89">
        <v>8072026</v>
      </c>
      <c r="D20" s="51" t="s">
        <v>224</v>
      </c>
      <c r="E20" s="51" t="s">
        <v>225</v>
      </c>
      <c r="F20" s="51">
        <v>40</v>
      </c>
      <c r="G20" s="102"/>
    </row>
    <row r="21" spans="1:10" ht="15.75" x14ac:dyDescent="0.25">
      <c r="A21" s="47">
        <v>14</v>
      </c>
      <c r="B21" s="151" t="s">
        <v>242</v>
      </c>
      <c r="C21" s="89">
        <v>8072026</v>
      </c>
      <c r="D21" s="51" t="s">
        <v>226</v>
      </c>
      <c r="E21" s="51" t="s">
        <v>227</v>
      </c>
      <c r="F21" s="51">
        <v>20</v>
      </c>
      <c r="G21" s="102"/>
    </row>
    <row r="22" spans="1:10" ht="15.75" x14ac:dyDescent="0.25">
      <c r="A22" s="47">
        <v>15</v>
      </c>
      <c r="B22" s="151"/>
      <c r="C22" s="89">
        <v>8072026</v>
      </c>
      <c r="D22" s="51" t="s">
        <v>228</v>
      </c>
      <c r="E22" s="51" t="s">
        <v>229</v>
      </c>
      <c r="F22" s="51">
        <v>20</v>
      </c>
      <c r="G22" s="102"/>
      <c r="J22" s="26" t="s">
        <v>171</v>
      </c>
    </row>
    <row r="23" spans="1:10" x14ac:dyDescent="0.25">
      <c r="A23" s="47">
        <v>16</v>
      </c>
      <c r="B23" s="151"/>
      <c r="C23" s="89">
        <v>8072026</v>
      </c>
      <c r="D23" s="87" t="s">
        <v>230</v>
      </c>
      <c r="E23" s="87" t="s">
        <v>231</v>
      </c>
      <c r="F23" s="51">
        <v>20</v>
      </c>
    </row>
    <row r="24" spans="1:10" x14ac:dyDescent="0.25">
      <c r="A24" s="47">
        <v>17</v>
      </c>
      <c r="B24" s="151"/>
      <c r="C24" s="89">
        <v>8072026</v>
      </c>
      <c r="D24" s="87" t="s">
        <v>232</v>
      </c>
      <c r="E24" s="87" t="s">
        <v>233</v>
      </c>
      <c r="F24" s="51">
        <v>20</v>
      </c>
    </row>
    <row r="25" spans="1:10" x14ac:dyDescent="0.25">
      <c r="A25" s="47">
        <v>18</v>
      </c>
      <c r="B25" s="151"/>
      <c r="C25" s="89"/>
      <c r="D25" s="87" t="s">
        <v>234</v>
      </c>
      <c r="E25" s="87" t="s">
        <v>235</v>
      </c>
      <c r="F25" s="51">
        <v>20</v>
      </c>
    </row>
    <row r="26" spans="1:10" ht="15.75" customHeight="1" x14ac:dyDescent="0.25">
      <c r="A26" s="47">
        <v>19</v>
      </c>
      <c r="B26" s="72" t="s">
        <v>243</v>
      </c>
      <c r="C26" s="89">
        <v>8072026</v>
      </c>
      <c r="D26" s="87" t="s">
        <v>236</v>
      </c>
      <c r="E26" s="87" t="s">
        <v>237</v>
      </c>
      <c r="F26" s="51">
        <v>40</v>
      </c>
    </row>
    <row r="27" spans="1:10" ht="15.75" customHeight="1" x14ac:dyDescent="0.25">
      <c r="A27" s="47">
        <v>20</v>
      </c>
      <c r="B27" s="79"/>
      <c r="C27" s="65"/>
      <c r="D27" s="60"/>
      <c r="E27" s="60"/>
      <c r="F27" s="51"/>
    </row>
    <row r="28" spans="1:10" ht="15.75" customHeight="1" x14ac:dyDescent="0.25">
      <c r="A28" s="47">
        <v>21</v>
      </c>
      <c r="B28" s="79"/>
      <c r="C28" s="65"/>
      <c r="D28" s="60"/>
      <c r="E28" s="60"/>
      <c r="F28" s="51"/>
    </row>
    <row r="29" spans="1:10" ht="15.75" customHeight="1" x14ac:dyDescent="0.25">
      <c r="A29" s="47">
        <v>22</v>
      </c>
      <c r="B29" s="90"/>
      <c r="C29" s="65"/>
      <c r="D29" s="60"/>
      <c r="E29" s="60"/>
      <c r="F29" s="51"/>
    </row>
    <row r="30" spans="1:10" ht="15.75" customHeight="1" x14ac:dyDescent="0.25">
      <c r="A30" s="47">
        <v>23</v>
      </c>
      <c r="B30" s="90"/>
      <c r="C30" s="65"/>
      <c r="D30" s="60"/>
      <c r="E30" s="60"/>
      <c r="F30" s="51"/>
    </row>
    <row r="31" spans="1:10" ht="15.75" customHeight="1" x14ac:dyDescent="0.25">
      <c r="A31" s="47">
        <v>24</v>
      </c>
      <c r="B31" s="90"/>
      <c r="C31" s="65"/>
      <c r="D31" s="60"/>
      <c r="E31" s="60"/>
      <c r="F31" s="51"/>
    </row>
    <row r="32" spans="1:10" x14ac:dyDescent="0.25">
      <c r="A32" s="47">
        <v>25</v>
      </c>
      <c r="B32" s="90"/>
      <c r="C32" s="65"/>
      <c r="D32" s="60"/>
      <c r="E32" s="60"/>
      <c r="F32" s="51"/>
    </row>
    <row r="33" spans="1:7" ht="15.75" x14ac:dyDescent="0.25">
      <c r="A33" s="47">
        <v>26</v>
      </c>
      <c r="B33" s="52"/>
      <c r="C33" s="53"/>
      <c r="D33" s="39"/>
      <c r="E33" s="39"/>
      <c r="F33" s="39"/>
      <c r="G33" s="8"/>
    </row>
    <row r="34" spans="1:7" ht="15.75" x14ac:dyDescent="0.25">
      <c r="A34" s="7"/>
      <c r="B34" s="31"/>
      <c r="C34" s="8"/>
      <c r="D34" s="67"/>
      <c r="E34" s="67"/>
      <c r="F34" s="67"/>
      <c r="G34" s="8"/>
    </row>
    <row r="35" spans="1:7" ht="15.75" customHeight="1" x14ac:dyDescent="0.25">
      <c r="A35" s="7"/>
      <c r="B35" s="12" t="s">
        <v>17</v>
      </c>
    </row>
    <row r="36" spans="1:7" ht="15.75" customHeight="1" thickBot="1" x14ac:dyDescent="0.3">
      <c r="A36" s="7"/>
      <c r="B36" s="14"/>
      <c r="C36" s="8"/>
      <c r="D36" s="8"/>
      <c r="E36" s="8"/>
      <c r="F36" s="8"/>
    </row>
    <row r="37" spans="1:7" ht="15.75" customHeight="1" thickBot="1" x14ac:dyDescent="0.3">
      <c r="A37" s="15" t="s">
        <v>11</v>
      </c>
      <c r="B37" s="16" t="s">
        <v>18</v>
      </c>
      <c r="C37" s="16" t="s">
        <v>19</v>
      </c>
      <c r="D37" s="16" t="s">
        <v>14</v>
      </c>
      <c r="E37" s="16" t="s">
        <v>15</v>
      </c>
      <c r="F37" s="17" t="s">
        <v>16</v>
      </c>
    </row>
    <row r="38" spans="1:7" ht="15.75" customHeight="1" x14ac:dyDescent="0.25">
      <c r="A38" s="18">
        <v>1</v>
      </c>
      <c r="B38" s="95">
        <v>8072026</v>
      </c>
      <c r="C38" s="96" t="s">
        <v>193</v>
      </c>
      <c r="D38" s="19" t="s">
        <v>247</v>
      </c>
      <c r="E38" s="97" t="s">
        <v>164</v>
      </c>
      <c r="F38" s="21">
        <v>20</v>
      </c>
    </row>
    <row r="39" spans="1:7" ht="15.75" customHeight="1" x14ac:dyDescent="0.25">
      <c r="A39" s="22">
        <v>2</v>
      </c>
      <c r="B39" s="89">
        <v>8072026</v>
      </c>
      <c r="C39" s="91" t="s">
        <v>195</v>
      </c>
      <c r="D39" s="23" t="s">
        <v>248</v>
      </c>
      <c r="E39" s="94" t="s">
        <v>164</v>
      </c>
      <c r="F39" s="25">
        <v>20</v>
      </c>
    </row>
    <row r="40" spans="1:7" ht="15.75" customHeight="1" x14ac:dyDescent="0.25">
      <c r="A40" s="22">
        <v>3</v>
      </c>
      <c r="B40" s="89">
        <v>8072026</v>
      </c>
      <c r="C40" s="91" t="s">
        <v>251</v>
      </c>
      <c r="D40" s="23" t="s">
        <v>249</v>
      </c>
      <c r="E40" s="23" t="s">
        <v>164</v>
      </c>
      <c r="F40" s="25">
        <v>20</v>
      </c>
    </row>
    <row r="41" spans="1:7" ht="15.75" customHeight="1" x14ac:dyDescent="0.25">
      <c r="A41" s="22">
        <v>4</v>
      </c>
      <c r="B41" s="89">
        <v>8072026</v>
      </c>
      <c r="C41" s="91" t="s">
        <v>192</v>
      </c>
      <c r="D41" s="23" t="s">
        <v>250</v>
      </c>
      <c r="E41" s="23" t="s">
        <v>164</v>
      </c>
      <c r="F41" s="25">
        <v>20</v>
      </c>
    </row>
    <row r="42" spans="1:7" ht="15.75" customHeight="1" x14ac:dyDescent="0.25">
      <c r="A42" s="22">
        <v>5</v>
      </c>
      <c r="B42" s="89">
        <v>8072026</v>
      </c>
      <c r="C42" s="91" t="s">
        <v>252</v>
      </c>
      <c r="D42" s="23" t="s">
        <v>253</v>
      </c>
      <c r="E42" s="23">
        <v>3883</v>
      </c>
      <c r="F42" s="25">
        <v>40</v>
      </c>
    </row>
    <row r="43" spans="1:7" ht="15.75" customHeight="1" x14ac:dyDescent="0.25">
      <c r="A43" s="22">
        <v>6</v>
      </c>
      <c r="B43" s="24">
        <v>46211</v>
      </c>
      <c r="C43" s="23" t="s">
        <v>172</v>
      </c>
      <c r="D43" s="23" t="s">
        <v>174</v>
      </c>
      <c r="E43" s="23">
        <v>3880</v>
      </c>
      <c r="F43" s="25">
        <v>20</v>
      </c>
    </row>
    <row r="44" spans="1:7" ht="15.75" customHeight="1" thickBot="1" x14ac:dyDescent="0.3">
      <c r="A44" s="27">
        <v>7</v>
      </c>
      <c r="B44" s="29">
        <v>46211</v>
      </c>
      <c r="C44" s="28" t="s">
        <v>172</v>
      </c>
      <c r="D44" s="28" t="s">
        <v>176</v>
      </c>
      <c r="E44" s="28">
        <v>3927</v>
      </c>
      <c r="F44" s="30">
        <v>40</v>
      </c>
    </row>
    <row r="45" spans="1:7" ht="15.75" customHeight="1" x14ac:dyDescent="0.25">
      <c r="A45" s="7"/>
      <c r="B45" s="46"/>
      <c r="C45" s="45"/>
      <c r="D45" s="45"/>
      <c r="E45" s="45"/>
      <c r="F45" s="45"/>
    </row>
    <row r="46" spans="1:7" ht="15.75" customHeight="1" x14ac:dyDescent="0.25"/>
    <row r="47" spans="1:7" ht="15.75" customHeight="1" x14ac:dyDescent="0.25">
      <c r="A47" s="7"/>
      <c r="B47" s="12" t="s">
        <v>20</v>
      </c>
      <c r="E47" s="8"/>
      <c r="F47" s="8"/>
    </row>
    <row r="48" spans="1:7" ht="15.75" customHeight="1" thickBot="1" x14ac:dyDescent="0.3">
      <c r="A48" s="7"/>
      <c r="B48" s="14"/>
      <c r="C48" s="8"/>
      <c r="D48" s="8"/>
      <c r="E48" s="8"/>
      <c r="F48" s="8"/>
    </row>
    <row r="49" spans="1:6" ht="15.75" customHeight="1" thickBot="1" x14ac:dyDescent="0.3">
      <c r="A49" s="15" t="s">
        <v>11</v>
      </c>
      <c r="B49" s="16" t="s">
        <v>21</v>
      </c>
      <c r="C49" s="16" t="s">
        <v>14</v>
      </c>
      <c r="D49" s="16" t="s">
        <v>22</v>
      </c>
      <c r="E49" s="16" t="s">
        <v>23</v>
      </c>
      <c r="F49" s="17" t="s">
        <v>16</v>
      </c>
    </row>
    <row r="50" spans="1:6" ht="15.75" customHeight="1" x14ac:dyDescent="0.25">
      <c r="A50" s="18">
        <v>1</v>
      </c>
      <c r="B50" s="32">
        <v>8072026</v>
      </c>
      <c r="C50" s="19" t="s">
        <v>245</v>
      </c>
      <c r="D50" s="19" t="s">
        <v>246</v>
      </c>
      <c r="E50" s="19">
        <v>3928</v>
      </c>
      <c r="F50" s="21"/>
    </row>
    <row r="51" spans="1:6" ht="15.75" customHeight="1" x14ac:dyDescent="0.25">
      <c r="A51" s="22">
        <v>2</v>
      </c>
      <c r="B51" s="33">
        <v>8072026</v>
      </c>
      <c r="C51" s="23" t="s">
        <v>254</v>
      </c>
      <c r="D51" s="23" t="s">
        <v>255</v>
      </c>
      <c r="E51" s="23">
        <v>3926</v>
      </c>
      <c r="F51" s="25"/>
    </row>
  </sheetData>
  <mergeCells count="3">
    <mergeCell ref="A3:H3"/>
    <mergeCell ref="B9:B18"/>
    <mergeCell ref="B21:B25"/>
  </mergeCells>
  <dataValidations count="1">
    <dataValidation type="list" allowBlank="1" showInputMessage="1" showErrorMessage="1" sqref="F8:F34" xr:uid="{1ABCCEEE-794B-4117-BF28-A585F07A8874}">
      <formula1>"20,40,45,50"</formula1>
    </dataValidation>
  </dataValidations>
  <pageMargins left="0.31496062992125984" right="0.31496062992125984" top="0.35433070866141736" bottom="0.35433070866141736" header="0.31496062992125984" footer="0.31496062992125984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8982-5BB0-4F0F-939B-C2B62AF831D3}">
  <dimension ref="A1:L74"/>
  <sheetViews>
    <sheetView topLeftCell="A14" workbookViewId="0">
      <selection activeCell="A3" sqref="A3:H3"/>
    </sheetView>
  </sheetViews>
  <sheetFormatPr baseColWidth="10" defaultRowHeight="15" x14ac:dyDescent="0.25"/>
  <cols>
    <col min="1" max="1" width="3.140625" style="26" bestFit="1" customWidth="1"/>
    <col min="2" max="2" width="14.85546875" style="26" bestFit="1" customWidth="1"/>
    <col min="3" max="3" width="19.28515625" style="26" customWidth="1"/>
    <col min="4" max="4" width="19.140625" style="26" customWidth="1"/>
    <col min="5" max="5" width="14.28515625" style="26" customWidth="1"/>
    <col min="6" max="6" width="13.85546875" style="26" bestFit="1" customWidth="1"/>
    <col min="7" max="7" width="12.140625" style="26" bestFit="1" customWidth="1"/>
    <col min="8" max="16384" width="11.42578125" style="26"/>
  </cols>
  <sheetData>
    <row r="1" spans="1:10" s="8" customFormat="1" ht="24.95" customHeight="1" x14ac:dyDescent="0.25">
      <c r="A1" s="7"/>
      <c r="H1" s="9">
        <f>COUNTIF(C7:C9,"&lt;&gt;")</f>
        <v>2</v>
      </c>
      <c r="I1" s="10" t="s">
        <v>8</v>
      </c>
    </row>
    <row r="2" spans="1:10" s="8" customFormat="1" ht="15.75" x14ac:dyDescent="0.25">
      <c r="A2" s="7"/>
      <c r="F2" s="9">
        <f>COUNTIFS(B14:B60,"&lt;&gt;",C14:C60,"VH")</f>
        <v>13</v>
      </c>
      <c r="G2" s="10" t="s">
        <v>7</v>
      </c>
      <c r="H2" s="9">
        <f>COUNTA(C14:C60)-F2</f>
        <v>27</v>
      </c>
      <c r="I2" s="10" t="s">
        <v>8</v>
      </c>
      <c r="J2" s="11">
        <f>COUNTIF(E14:E19,"VIDE")</f>
        <v>0</v>
      </c>
    </row>
    <row r="3" spans="1:10" s="8" customFormat="1" ht="25.5" x14ac:dyDescent="0.25">
      <c r="A3" s="148" t="s">
        <v>9</v>
      </c>
      <c r="B3" s="148"/>
      <c r="C3" s="148"/>
      <c r="D3" s="148"/>
      <c r="E3" s="148"/>
      <c r="F3" s="148"/>
      <c r="G3" s="148"/>
      <c r="H3" s="148"/>
    </row>
    <row r="4" spans="1:10" s="8" customFormat="1" ht="15.75" x14ac:dyDescent="0.25">
      <c r="A4" s="7"/>
      <c r="B4" s="12" t="s">
        <v>10</v>
      </c>
      <c r="G4" s="13">
        <v>46212</v>
      </c>
    </row>
    <row r="5" spans="1:10" s="8" customFormat="1" thickBot="1" x14ac:dyDescent="0.3">
      <c r="A5" s="7"/>
      <c r="B5" s="14"/>
    </row>
    <row r="6" spans="1:10" s="8" customFormat="1" ht="14.25" x14ac:dyDescent="0.25">
      <c r="A6" s="15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7" t="s">
        <v>16</v>
      </c>
    </row>
    <row r="7" spans="1:10" s="8" customFormat="1" ht="14.25" x14ac:dyDescent="0.25">
      <c r="A7" s="122">
        <v>1</v>
      </c>
      <c r="B7" s="122" t="s">
        <v>239</v>
      </c>
      <c r="C7" s="89">
        <v>9072026</v>
      </c>
      <c r="D7" s="87" t="s">
        <v>217</v>
      </c>
      <c r="E7" s="39" t="s">
        <v>218</v>
      </c>
      <c r="F7" s="51">
        <v>40</v>
      </c>
    </row>
    <row r="8" spans="1:10" s="8" customFormat="1" ht="14.25" x14ac:dyDescent="0.25">
      <c r="A8" s="122">
        <v>2</v>
      </c>
      <c r="B8" s="122" t="s">
        <v>242</v>
      </c>
      <c r="C8" s="89">
        <v>9072026</v>
      </c>
      <c r="D8" s="87" t="s">
        <v>234</v>
      </c>
      <c r="E8" s="87" t="s">
        <v>235</v>
      </c>
      <c r="F8" s="51">
        <v>20</v>
      </c>
    </row>
    <row r="9" spans="1:10" s="8" customFormat="1" ht="14.25" x14ac:dyDescent="0.25">
      <c r="A9" s="104"/>
      <c r="B9" s="104"/>
      <c r="C9" s="89"/>
      <c r="D9" s="104"/>
      <c r="E9" s="104"/>
      <c r="F9" s="104"/>
    </row>
    <row r="10" spans="1:10" s="8" customFormat="1" ht="14.25" x14ac:dyDescent="0.25">
      <c r="A10" s="105"/>
      <c r="B10" s="105"/>
      <c r="C10" s="105"/>
      <c r="D10" s="105"/>
      <c r="E10" s="105"/>
      <c r="F10" s="105"/>
    </row>
    <row r="11" spans="1:10" ht="15.75" customHeight="1" x14ac:dyDescent="0.25">
      <c r="A11" s="7"/>
      <c r="B11" s="12" t="s">
        <v>17</v>
      </c>
    </row>
    <row r="12" spans="1:10" ht="15.75" customHeight="1" x14ac:dyDescent="0.25">
      <c r="A12" s="7"/>
      <c r="B12" s="14"/>
      <c r="C12" s="8"/>
      <c r="D12" s="8"/>
      <c r="E12" s="8"/>
      <c r="F12" s="8"/>
    </row>
    <row r="13" spans="1:10" ht="15.75" customHeight="1" x14ac:dyDescent="0.25">
      <c r="A13" s="98" t="s">
        <v>11</v>
      </c>
      <c r="B13" s="98" t="s">
        <v>18</v>
      </c>
      <c r="C13" s="98" t="s">
        <v>19</v>
      </c>
      <c r="D13" s="98" t="s">
        <v>14</v>
      </c>
      <c r="E13" s="98" t="s">
        <v>15</v>
      </c>
      <c r="F13" s="98" t="s">
        <v>16</v>
      </c>
    </row>
    <row r="14" spans="1:10" ht="15.75" customHeight="1" x14ac:dyDescent="0.25">
      <c r="A14" s="47">
        <v>1</v>
      </c>
      <c r="B14" s="89">
        <v>9072026</v>
      </c>
      <c r="C14" s="91" t="s">
        <v>258</v>
      </c>
      <c r="D14" s="23" t="s">
        <v>178</v>
      </c>
      <c r="E14" s="23">
        <v>3898</v>
      </c>
      <c r="F14" s="23">
        <v>40</v>
      </c>
    </row>
    <row r="15" spans="1:10" ht="15.75" customHeight="1" x14ac:dyDescent="0.25">
      <c r="A15" s="47">
        <v>2</v>
      </c>
      <c r="B15" s="89">
        <v>9072026</v>
      </c>
      <c r="C15" s="91" t="s">
        <v>259</v>
      </c>
      <c r="D15" s="23" t="s">
        <v>179</v>
      </c>
      <c r="E15" s="23">
        <v>3925</v>
      </c>
      <c r="F15" s="23">
        <v>40</v>
      </c>
    </row>
    <row r="16" spans="1:10" ht="15.75" customHeight="1" x14ac:dyDescent="0.25">
      <c r="A16" s="47">
        <v>3</v>
      </c>
      <c r="B16" s="89">
        <v>9072026</v>
      </c>
      <c r="C16" s="91" t="s">
        <v>7</v>
      </c>
      <c r="D16" s="39" t="s">
        <v>260</v>
      </c>
      <c r="E16" s="23" t="s">
        <v>338</v>
      </c>
      <c r="F16" s="23"/>
    </row>
    <row r="17" spans="1:6" ht="15.75" customHeight="1" x14ac:dyDescent="0.25">
      <c r="A17" s="47">
        <v>4</v>
      </c>
      <c r="B17" s="89">
        <v>9072026</v>
      </c>
      <c r="C17" s="91" t="s">
        <v>7</v>
      </c>
      <c r="D17" s="39" t="s">
        <v>261</v>
      </c>
      <c r="E17" s="23" t="s">
        <v>338</v>
      </c>
      <c r="F17" s="23"/>
    </row>
    <row r="18" spans="1:6" ht="15.75" customHeight="1" x14ac:dyDescent="0.25">
      <c r="A18" s="47">
        <v>5</v>
      </c>
      <c r="B18" s="89">
        <v>9072026</v>
      </c>
      <c r="C18" s="91" t="s">
        <v>7</v>
      </c>
      <c r="D18" s="39" t="s">
        <v>262</v>
      </c>
      <c r="E18" s="23" t="s">
        <v>338</v>
      </c>
      <c r="F18" s="23"/>
    </row>
    <row r="19" spans="1:6" ht="15.75" customHeight="1" x14ac:dyDescent="0.25">
      <c r="A19" s="47">
        <v>6</v>
      </c>
      <c r="B19" s="89">
        <v>9072026</v>
      </c>
      <c r="C19" s="23" t="s">
        <v>7</v>
      </c>
      <c r="D19" s="39" t="s">
        <v>263</v>
      </c>
      <c r="E19" s="23" t="s">
        <v>338</v>
      </c>
      <c r="F19" s="23"/>
    </row>
    <row r="20" spans="1:6" ht="15.75" customHeight="1" x14ac:dyDescent="0.25">
      <c r="A20" s="47">
        <v>8</v>
      </c>
      <c r="B20" s="89">
        <v>9072026</v>
      </c>
      <c r="C20" s="23" t="s">
        <v>321</v>
      </c>
      <c r="D20" s="101" t="s">
        <v>264</v>
      </c>
      <c r="E20" s="60" t="s">
        <v>265</v>
      </c>
      <c r="F20" s="23">
        <v>40</v>
      </c>
    </row>
    <row r="21" spans="1:6" ht="15.75" customHeight="1" x14ac:dyDescent="0.25">
      <c r="A21" s="47">
        <v>9</v>
      </c>
      <c r="B21" s="89">
        <v>9072026</v>
      </c>
      <c r="C21" s="23" t="s">
        <v>314</v>
      </c>
      <c r="D21" s="101" t="s">
        <v>266</v>
      </c>
      <c r="E21" s="60" t="s">
        <v>267</v>
      </c>
      <c r="F21" s="23">
        <v>40</v>
      </c>
    </row>
    <row r="22" spans="1:6" ht="15.75" customHeight="1" x14ac:dyDescent="0.25">
      <c r="A22" s="47">
        <v>10</v>
      </c>
      <c r="B22" s="89">
        <v>9072026</v>
      </c>
      <c r="C22" s="23" t="s">
        <v>337</v>
      </c>
      <c r="D22" s="101" t="s">
        <v>268</v>
      </c>
      <c r="E22" s="60" t="s">
        <v>269</v>
      </c>
      <c r="F22" s="23">
        <v>40</v>
      </c>
    </row>
    <row r="23" spans="1:6" ht="15.75" customHeight="1" x14ac:dyDescent="0.25">
      <c r="A23" s="47">
        <v>11</v>
      </c>
      <c r="B23" s="89">
        <v>9072026</v>
      </c>
      <c r="C23" s="23" t="s">
        <v>335</v>
      </c>
      <c r="D23" s="101" t="s">
        <v>270</v>
      </c>
      <c r="E23" s="60" t="s">
        <v>271</v>
      </c>
      <c r="F23" s="23">
        <v>40</v>
      </c>
    </row>
    <row r="24" spans="1:6" ht="15.75" customHeight="1" x14ac:dyDescent="0.25">
      <c r="A24" s="47">
        <v>12</v>
      </c>
      <c r="B24" s="89">
        <v>9072026</v>
      </c>
      <c r="C24" s="23" t="s">
        <v>317</v>
      </c>
      <c r="D24" s="101" t="s">
        <v>272</v>
      </c>
      <c r="E24" s="60" t="s">
        <v>273</v>
      </c>
      <c r="F24" s="23">
        <v>40</v>
      </c>
    </row>
    <row r="25" spans="1:6" ht="15.75" customHeight="1" x14ac:dyDescent="0.25">
      <c r="A25" s="47">
        <v>13</v>
      </c>
      <c r="B25" s="89">
        <v>9072026</v>
      </c>
      <c r="C25" s="23" t="s">
        <v>316</v>
      </c>
      <c r="D25" s="101" t="s">
        <v>304</v>
      </c>
      <c r="E25" s="60" t="s">
        <v>305</v>
      </c>
      <c r="F25" s="23">
        <v>40</v>
      </c>
    </row>
    <row r="26" spans="1:6" ht="15.75" customHeight="1" x14ac:dyDescent="0.25">
      <c r="A26" s="47">
        <v>14</v>
      </c>
      <c r="B26" s="89">
        <v>9072026</v>
      </c>
      <c r="C26" s="23" t="s">
        <v>315</v>
      </c>
      <c r="D26" s="101" t="s">
        <v>274</v>
      </c>
      <c r="E26" s="60" t="s">
        <v>275</v>
      </c>
      <c r="F26" s="23">
        <v>40</v>
      </c>
    </row>
    <row r="27" spans="1:6" ht="15.75" customHeight="1" x14ac:dyDescent="0.25">
      <c r="A27" s="47">
        <v>15</v>
      </c>
      <c r="B27" s="89">
        <v>9072026</v>
      </c>
      <c r="C27" s="23" t="s">
        <v>320</v>
      </c>
      <c r="D27" s="101" t="s">
        <v>276</v>
      </c>
      <c r="E27" s="60" t="s">
        <v>277</v>
      </c>
      <c r="F27" s="23">
        <v>40</v>
      </c>
    </row>
    <row r="28" spans="1:6" ht="15.75" customHeight="1" x14ac:dyDescent="0.25">
      <c r="A28" s="47">
        <v>16</v>
      </c>
      <c r="B28" s="89">
        <v>9072026</v>
      </c>
      <c r="C28" s="23" t="s">
        <v>326</v>
      </c>
      <c r="D28" s="101" t="s">
        <v>278</v>
      </c>
      <c r="E28" s="60" t="s">
        <v>279</v>
      </c>
      <c r="F28" s="23">
        <v>40</v>
      </c>
    </row>
    <row r="29" spans="1:6" ht="15.75" customHeight="1" x14ac:dyDescent="0.25">
      <c r="A29" s="47">
        <v>17</v>
      </c>
      <c r="B29" s="89">
        <v>9072026</v>
      </c>
      <c r="C29" s="23" t="s">
        <v>327</v>
      </c>
      <c r="D29" s="101" t="s">
        <v>280</v>
      </c>
      <c r="E29" s="60" t="s">
        <v>281</v>
      </c>
      <c r="F29" s="23">
        <v>40</v>
      </c>
    </row>
    <row r="30" spans="1:6" ht="15.75" customHeight="1" x14ac:dyDescent="0.25">
      <c r="A30" s="47">
        <v>18</v>
      </c>
      <c r="B30" s="89">
        <v>9072026</v>
      </c>
      <c r="C30" s="23" t="s">
        <v>315</v>
      </c>
      <c r="D30" s="101" t="s">
        <v>282</v>
      </c>
      <c r="E30" s="60" t="s">
        <v>283</v>
      </c>
      <c r="F30" s="23">
        <v>40</v>
      </c>
    </row>
    <row r="31" spans="1:6" ht="15.75" customHeight="1" x14ac:dyDescent="0.25">
      <c r="A31" s="47">
        <v>19</v>
      </c>
      <c r="B31" s="89">
        <v>9072026</v>
      </c>
      <c r="C31" s="23" t="s">
        <v>327</v>
      </c>
      <c r="D31" s="101" t="s">
        <v>284</v>
      </c>
      <c r="E31" s="60" t="s">
        <v>285</v>
      </c>
      <c r="F31" s="23">
        <v>40</v>
      </c>
    </row>
    <row r="32" spans="1:6" ht="15.75" customHeight="1" x14ac:dyDescent="0.25">
      <c r="A32" s="47">
        <v>20</v>
      </c>
      <c r="B32" s="89">
        <v>9072026</v>
      </c>
      <c r="C32" s="23" t="s">
        <v>318</v>
      </c>
      <c r="D32" s="101" t="s">
        <v>306</v>
      </c>
      <c r="E32" s="60" t="s">
        <v>285</v>
      </c>
      <c r="F32" s="23">
        <v>40</v>
      </c>
    </row>
    <row r="33" spans="1:8" ht="15.75" customHeight="1" x14ac:dyDescent="0.25">
      <c r="A33" s="47">
        <v>21</v>
      </c>
      <c r="B33" s="89">
        <v>9072026</v>
      </c>
      <c r="C33" s="23" t="s">
        <v>326</v>
      </c>
      <c r="D33" s="101" t="s">
        <v>286</v>
      </c>
      <c r="E33" s="60" t="s">
        <v>287</v>
      </c>
      <c r="F33" s="23">
        <v>40</v>
      </c>
    </row>
    <row r="34" spans="1:8" ht="15.75" customHeight="1" x14ac:dyDescent="0.25">
      <c r="A34" s="47">
        <v>22</v>
      </c>
      <c r="B34" s="89">
        <v>9072026</v>
      </c>
      <c r="C34" s="23" t="s">
        <v>336</v>
      </c>
      <c r="D34" s="101" t="s">
        <v>288</v>
      </c>
      <c r="E34" s="60" t="s">
        <v>289</v>
      </c>
      <c r="F34" s="23">
        <v>40</v>
      </c>
    </row>
    <row r="35" spans="1:8" ht="15.75" customHeight="1" x14ac:dyDescent="0.25">
      <c r="A35" s="47">
        <v>23</v>
      </c>
      <c r="B35" s="89">
        <v>9072026</v>
      </c>
      <c r="C35" s="23" t="s">
        <v>318</v>
      </c>
      <c r="D35" s="101" t="s">
        <v>290</v>
      </c>
      <c r="E35" s="60" t="s">
        <v>291</v>
      </c>
      <c r="F35" s="23">
        <v>40</v>
      </c>
      <c r="H35" s="26" t="s">
        <v>171</v>
      </c>
    </row>
    <row r="36" spans="1:8" ht="15.75" customHeight="1" x14ac:dyDescent="0.25">
      <c r="A36" s="47">
        <v>24</v>
      </c>
      <c r="B36" s="89">
        <v>9072026</v>
      </c>
      <c r="C36" s="23" t="s">
        <v>317</v>
      </c>
      <c r="D36" s="101" t="s">
        <v>292</v>
      </c>
      <c r="E36" s="60" t="s">
        <v>293</v>
      </c>
      <c r="F36" s="23">
        <v>40</v>
      </c>
    </row>
    <row r="37" spans="1:8" ht="15.75" customHeight="1" x14ac:dyDescent="0.25">
      <c r="A37" s="47">
        <v>25</v>
      </c>
      <c r="B37" s="89">
        <v>9072026</v>
      </c>
      <c r="C37" s="23" t="s">
        <v>337</v>
      </c>
      <c r="D37" s="101" t="s">
        <v>294</v>
      </c>
      <c r="E37" s="60" t="s">
        <v>295</v>
      </c>
      <c r="F37" s="23">
        <v>40</v>
      </c>
    </row>
    <row r="38" spans="1:8" ht="15.75" customHeight="1" x14ac:dyDescent="0.25">
      <c r="A38" s="47">
        <v>26</v>
      </c>
      <c r="B38" s="89">
        <v>9072026</v>
      </c>
      <c r="C38" s="23" t="s">
        <v>337</v>
      </c>
      <c r="D38" s="101" t="s">
        <v>296</v>
      </c>
      <c r="E38" s="60" t="s">
        <v>297</v>
      </c>
      <c r="F38" s="23">
        <v>40</v>
      </c>
    </row>
    <row r="39" spans="1:8" ht="15.75" customHeight="1" x14ac:dyDescent="0.25">
      <c r="A39" s="47">
        <v>27</v>
      </c>
      <c r="B39" s="89">
        <v>9072026</v>
      </c>
      <c r="C39" s="23" t="s">
        <v>325</v>
      </c>
      <c r="D39" s="101" t="s">
        <v>298</v>
      </c>
      <c r="E39" s="60" t="s">
        <v>299</v>
      </c>
      <c r="F39" s="23">
        <v>40</v>
      </c>
    </row>
    <row r="40" spans="1:8" ht="15.75" customHeight="1" x14ac:dyDescent="0.25">
      <c r="A40" s="47">
        <v>28</v>
      </c>
      <c r="B40" s="89">
        <v>9072026</v>
      </c>
      <c r="C40" s="23" t="s">
        <v>319</v>
      </c>
      <c r="D40" s="101" t="s">
        <v>300</v>
      </c>
      <c r="E40" s="60" t="s">
        <v>301</v>
      </c>
      <c r="F40" s="23">
        <v>40</v>
      </c>
    </row>
    <row r="41" spans="1:8" ht="15.75" customHeight="1" x14ac:dyDescent="0.25">
      <c r="A41" s="99">
        <v>29</v>
      </c>
      <c r="B41" s="92">
        <v>9072026</v>
      </c>
      <c r="C41" s="23" t="s">
        <v>316</v>
      </c>
      <c r="D41" s="61" t="s">
        <v>302</v>
      </c>
      <c r="E41" s="61" t="s">
        <v>303</v>
      </c>
      <c r="F41" s="23">
        <v>40</v>
      </c>
    </row>
    <row r="42" spans="1:8" ht="15.75" customHeight="1" x14ac:dyDescent="0.25">
      <c r="A42" s="47">
        <v>30</v>
      </c>
      <c r="B42" s="89">
        <v>9072026</v>
      </c>
      <c r="C42" s="23" t="s">
        <v>322</v>
      </c>
      <c r="D42" s="39" t="s">
        <v>307</v>
      </c>
      <c r="E42" s="23">
        <v>3882</v>
      </c>
      <c r="F42" s="23">
        <v>40</v>
      </c>
    </row>
    <row r="43" spans="1:8" ht="15.75" customHeight="1" x14ac:dyDescent="0.25">
      <c r="A43" s="47">
        <v>31</v>
      </c>
      <c r="B43" s="89">
        <v>9072026</v>
      </c>
      <c r="C43" s="23" t="s">
        <v>323</v>
      </c>
      <c r="D43" s="39" t="s">
        <v>308</v>
      </c>
      <c r="E43" s="23">
        <v>3881</v>
      </c>
      <c r="F43" s="23">
        <v>40</v>
      </c>
    </row>
    <row r="44" spans="1:8" ht="15.75" customHeight="1" x14ac:dyDescent="0.25">
      <c r="A44" s="47">
        <v>32</v>
      </c>
      <c r="B44" s="89">
        <v>9072026</v>
      </c>
      <c r="C44" s="23" t="s">
        <v>324</v>
      </c>
      <c r="D44" s="39" t="s">
        <v>175</v>
      </c>
      <c r="E44" s="39">
        <v>3890</v>
      </c>
      <c r="F44" s="23">
        <v>40</v>
      </c>
    </row>
    <row r="45" spans="1:8" ht="15.75" customHeight="1" x14ac:dyDescent="0.25">
      <c r="A45" s="47"/>
      <c r="B45" s="89"/>
      <c r="C45" s="23"/>
      <c r="D45" s="39"/>
      <c r="E45" s="39"/>
      <c r="F45" s="23"/>
    </row>
    <row r="46" spans="1:8" ht="15.75" customHeight="1" x14ac:dyDescent="0.25">
      <c r="A46" s="7"/>
      <c r="B46" s="100"/>
      <c r="C46" s="45"/>
      <c r="D46" s="67"/>
      <c r="E46" s="67"/>
      <c r="F46" s="45"/>
    </row>
    <row r="47" spans="1:8" ht="15.75" customHeight="1" x14ac:dyDescent="0.25">
      <c r="A47" s="7"/>
      <c r="B47" s="100"/>
      <c r="C47" s="45"/>
      <c r="D47" s="67"/>
      <c r="E47" s="67"/>
      <c r="F47" s="45"/>
    </row>
    <row r="48" spans="1:8" ht="15.75" customHeight="1" x14ac:dyDescent="0.25">
      <c r="A48" s="7"/>
      <c r="B48" s="100"/>
      <c r="C48" s="45"/>
      <c r="D48" s="67"/>
      <c r="E48" s="67"/>
      <c r="F48" s="45"/>
    </row>
    <row r="49" spans="1:12" ht="15.75" customHeight="1" x14ac:dyDescent="0.25">
      <c r="A49" s="7"/>
      <c r="B49" s="100"/>
      <c r="C49" s="45"/>
      <c r="D49" s="67"/>
      <c r="E49" s="67"/>
      <c r="F49" s="45"/>
      <c r="G49" s="106" t="s">
        <v>389</v>
      </c>
    </row>
    <row r="50" spans="1:12" ht="15.75" customHeight="1" x14ac:dyDescent="0.25">
      <c r="A50" s="7"/>
      <c r="B50" s="100"/>
      <c r="C50" s="45"/>
      <c r="D50" s="67"/>
      <c r="E50" s="67"/>
      <c r="F50" s="45"/>
    </row>
    <row r="51" spans="1:12" ht="15.75" customHeight="1" x14ac:dyDescent="0.25">
      <c r="A51" s="7"/>
      <c r="B51" s="100"/>
      <c r="C51" s="45"/>
      <c r="D51" s="67"/>
      <c r="E51" s="67"/>
      <c r="F51" s="45"/>
    </row>
    <row r="52" spans="1:12" ht="15.75" customHeight="1" x14ac:dyDescent="0.25">
      <c r="A52" s="47">
        <v>26</v>
      </c>
      <c r="B52" s="89">
        <v>9072026</v>
      </c>
      <c r="C52" s="91" t="s">
        <v>7</v>
      </c>
      <c r="D52" s="39" t="s">
        <v>328</v>
      </c>
      <c r="E52" s="60" t="s">
        <v>333</v>
      </c>
      <c r="F52" s="23"/>
    </row>
    <row r="53" spans="1:12" ht="15.75" customHeight="1" x14ac:dyDescent="0.25">
      <c r="A53" s="47">
        <v>27</v>
      </c>
      <c r="B53" s="89">
        <v>9072026</v>
      </c>
      <c r="C53" s="91" t="s">
        <v>7</v>
      </c>
      <c r="D53" s="39" t="s">
        <v>329</v>
      </c>
      <c r="E53" s="60" t="s">
        <v>334</v>
      </c>
      <c r="F53" s="23"/>
    </row>
    <row r="54" spans="1:12" ht="15.75" customHeight="1" x14ac:dyDescent="0.25">
      <c r="A54" s="47">
        <v>28</v>
      </c>
      <c r="B54" s="89">
        <v>9072026</v>
      </c>
      <c r="C54" s="91" t="s">
        <v>7</v>
      </c>
      <c r="D54" s="39" t="s">
        <v>330</v>
      </c>
      <c r="E54" s="60" t="s">
        <v>334</v>
      </c>
      <c r="F54" s="23"/>
    </row>
    <row r="55" spans="1:12" ht="15.75" customHeight="1" x14ac:dyDescent="0.25">
      <c r="A55" s="99">
        <v>29</v>
      </c>
      <c r="B55" s="92">
        <v>9072026</v>
      </c>
      <c r="C55" s="23" t="s">
        <v>7</v>
      </c>
      <c r="D55" s="39" t="s">
        <v>331</v>
      </c>
      <c r="E55" s="61" t="s">
        <v>334</v>
      </c>
      <c r="F55" s="93"/>
    </row>
    <row r="56" spans="1:12" ht="15.75" customHeight="1" x14ac:dyDescent="0.25">
      <c r="A56" s="47">
        <v>30</v>
      </c>
      <c r="B56" s="92">
        <v>9072026</v>
      </c>
      <c r="C56" s="23" t="s">
        <v>7</v>
      </c>
      <c r="D56" s="39" t="s">
        <v>332</v>
      </c>
      <c r="E56" s="23" t="s">
        <v>334</v>
      </c>
      <c r="F56" s="23"/>
    </row>
    <row r="57" spans="1:12" ht="15.75" customHeight="1" x14ac:dyDescent="0.25">
      <c r="A57" s="47">
        <v>26</v>
      </c>
      <c r="B57" s="89">
        <v>9072026</v>
      </c>
      <c r="C57" s="91" t="s">
        <v>7</v>
      </c>
      <c r="D57" s="39" t="s">
        <v>344</v>
      </c>
      <c r="E57" s="60" t="s">
        <v>348</v>
      </c>
      <c r="F57" s="23"/>
    </row>
    <row r="58" spans="1:12" ht="15.75" customHeight="1" x14ac:dyDescent="0.25">
      <c r="A58" s="47">
        <v>27</v>
      </c>
      <c r="B58" s="89">
        <v>9072026</v>
      </c>
      <c r="C58" s="91" t="s">
        <v>7</v>
      </c>
      <c r="D58" s="39" t="s">
        <v>345</v>
      </c>
      <c r="E58" s="60" t="s">
        <v>348</v>
      </c>
      <c r="F58" s="23"/>
    </row>
    <row r="59" spans="1:12" ht="15.75" customHeight="1" x14ac:dyDescent="0.25">
      <c r="A59" s="47">
        <v>28</v>
      </c>
      <c r="B59" s="89">
        <v>9072026</v>
      </c>
      <c r="C59" s="91" t="s">
        <v>7</v>
      </c>
      <c r="D59" s="39" t="s">
        <v>346</v>
      </c>
      <c r="E59" s="60" t="s">
        <v>348</v>
      </c>
      <c r="F59" s="23"/>
    </row>
    <row r="60" spans="1:12" ht="15.75" customHeight="1" x14ac:dyDescent="0.25">
      <c r="A60" s="99">
        <v>29</v>
      </c>
      <c r="B60" s="92">
        <v>9072026</v>
      </c>
      <c r="C60" s="23" t="s">
        <v>7</v>
      </c>
      <c r="D60" s="39" t="s">
        <v>347</v>
      </c>
      <c r="E60" s="61" t="s">
        <v>348</v>
      </c>
      <c r="F60" s="93"/>
    </row>
    <row r="61" spans="1:12" ht="15.75" customHeight="1" x14ac:dyDescent="0.25"/>
    <row r="62" spans="1:12" ht="15.75" customHeight="1" x14ac:dyDescent="0.25">
      <c r="A62" s="7"/>
      <c r="B62" s="12" t="s">
        <v>20</v>
      </c>
      <c r="E62" s="8"/>
      <c r="F62" s="8"/>
    </row>
    <row r="63" spans="1:12" ht="15.75" customHeight="1" thickBot="1" x14ac:dyDescent="0.3">
      <c r="A63" s="7"/>
      <c r="B63" s="14"/>
      <c r="C63" s="8"/>
      <c r="D63" s="8"/>
      <c r="E63" s="8"/>
      <c r="F63" s="8"/>
    </row>
    <row r="64" spans="1:12" ht="15.75" customHeight="1" thickBot="1" x14ac:dyDescent="0.3">
      <c r="A64" s="15" t="s">
        <v>11</v>
      </c>
      <c r="B64" s="16" t="s">
        <v>21</v>
      </c>
      <c r="C64" s="16" t="s">
        <v>14</v>
      </c>
      <c r="D64" s="16" t="s">
        <v>22</v>
      </c>
      <c r="E64" s="16" t="s">
        <v>23</v>
      </c>
      <c r="F64" s="17" t="s">
        <v>16</v>
      </c>
      <c r="L64" s="26" t="s">
        <v>171</v>
      </c>
    </row>
    <row r="65" spans="1:7" ht="15.75" customHeight="1" x14ac:dyDescent="0.25">
      <c r="A65" s="18">
        <v>1</v>
      </c>
      <c r="B65" s="32">
        <v>9072026</v>
      </c>
      <c r="C65" s="60" t="s">
        <v>309</v>
      </c>
      <c r="D65" s="60" t="s">
        <v>310</v>
      </c>
      <c r="E65" s="19">
        <v>3924</v>
      </c>
      <c r="F65" s="21" t="s">
        <v>313</v>
      </c>
    </row>
    <row r="66" spans="1:7" ht="15.75" customHeight="1" x14ac:dyDescent="0.25">
      <c r="A66" s="22">
        <v>2</v>
      </c>
      <c r="B66" s="33">
        <v>9072026</v>
      </c>
      <c r="C66" s="39" t="s">
        <v>311</v>
      </c>
      <c r="D66" s="39" t="s">
        <v>312</v>
      </c>
      <c r="E66" s="23">
        <v>3921</v>
      </c>
      <c r="F66" s="25"/>
    </row>
    <row r="74" spans="1:7" ht="21" x14ac:dyDescent="0.25">
      <c r="G74" s="106" t="s">
        <v>390</v>
      </c>
    </row>
  </sheetData>
  <mergeCells count="1">
    <mergeCell ref="A3:H3"/>
  </mergeCells>
  <dataValidations count="1">
    <dataValidation type="list" allowBlank="1" showInputMessage="1" showErrorMessage="1" sqref="F7:F8" xr:uid="{021FE7BA-5885-4D10-A531-71092F21DF6E}">
      <formula1>"20,40,45,50"</formula1>
    </dataValidation>
  </dataValidations>
  <pageMargins left="0.11811023622047245" right="0.11811023622047245" top="0.35433070866141736" bottom="0.35433070866141736" header="0.31496062992125984" footer="0.31496062992125984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C61A-22B8-4C36-95A7-BEC1559D2E99}">
  <dimension ref="A1:J45"/>
  <sheetViews>
    <sheetView topLeftCell="A3" workbookViewId="0">
      <selection activeCell="H2" sqref="H2"/>
    </sheetView>
  </sheetViews>
  <sheetFormatPr baseColWidth="10" defaultRowHeight="15" x14ac:dyDescent="0.25"/>
  <cols>
    <col min="1" max="1" width="3.140625" style="26" bestFit="1" customWidth="1"/>
    <col min="2" max="2" width="14.85546875" style="26" bestFit="1" customWidth="1"/>
    <col min="3" max="3" width="19.28515625" style="26" customWidth="1"/>
    <col min="4" max="4" width="19.140625" style="26" customWidth="1"/>
    <col min="5" max="5" width="14.28515625" style="26" customWidth="1"/>
    <col min="6" max="6" width="13.85546875" style="26" bestFit="1" customWidth="1"/>
    <col min="7" max="7" width="12.140625" style="26" bestFit="1" customWidth="1"/>
    <col min="8" max="16384" width="11.42578125" style="26"/>
  </cols>
  <sheetData>
    <row r="1" spans="1:10" s="8" customFormat="1" ht="24.95" customHeight="1" x14ac:dyDescent="0.25">
      <c r="A1" s="7"/>
      <c r="H1" s="9">
        <f>COUNTIF(C8:C26,"&lt;&gt;")</f>
        <v>15</v>
      </c>
      <c r="I1" s="10" t="s">
        <v>8</v>
      </c>
    </row>
    <row r="2" spans="1:10" s="8" customFormat="1" ht="15.75" x14ac:dyDescent="0.25">
      <c r="A2" s="7"/>
      <c r="F2" s="9">
        <f>COUNTIFS(B32:B35,"&lt;&gt;",C32:C35,"VH")</f>
        <v>0</v>
      </c>
      <c r="G2" s="10" t="s">
        <v>7</v>
      </c>
      <c r="H2" s="9">
        <f>COUNTA(C32:C38)-F2</f>
        <v>1</v>
      </c>
      <c r="I2" s="10" t="s">
        <v>8</v>
      </c>
      <c r="J2" s="11">
        <f>COUNTIF(E32:E37,"VIDE")</f>
        <v>0</v>
      </c>
    </row>
    <row r="3" spans="1:10" s="8" customFormat="1" ht="25.5" x14ac:dyDescent="0.25">
      <c r="A3" s="148" t="s">
        <v>9</v>
      </c>
      <c r="B3" s="148"/>
      <c r="C3" s="148"/>
      <c r="D3" s="148"/>
      <c r="E3" s="148"/>
      <c r="F3" s="148"/>
      <c r="G3" s="148"/>
      <c r="H3" s="148"/>
    </row>
    <row r="4" spans="1:10" s="8" customFormat="1" ht="12.75" x14ac:dyDescent="0.25">
      <c r="A4" s="7"/>
    </row>
    <row r="5" spans="1:10" s="8" customFormat="1" ht="15.75" x14ac:dyDescent="0.25">
      <c r="A5" s="7"/>
      <c r="B5" s="12" t="s">
        <v>10</v>
      </c>
      <c r="G5" s="13">
        <v>46215</v>
      </c>
    </row>
    <row r="6" spans="1:10" s="8" customFormat="1" thickBot="1" x14ac:dyDescent="0.3">
      <c r="A6" s="7"/>
      <c r="B6" s="14"/>
    </row>
    <row r="7" spans="1:10" s="8" customFormat="1" thickBot="1" x14ac:dyDescent="0.3">
      <c r="A7" s="15" t="s">
        <v>11</v>
      </c>
      <c r="B7" s="16" t="s">
        <v>12</v>
      </c>
      <c r="C7" s="16" t="s">
        <v>13</v>
      </c>
      <c r="D7" s="16" t="s">
        <v>14</v>
      </c>
      <c r="E7" s="16" t="s">
        <v>15</v>
      </c>
      <c r="F7" s="17" t="s">
        <v>16</v>
      </c>
    </row>
    <row r="8" spans="1:10" ht="15.75" x14ac:dyDescent="0.25">
      <c r="A8" s="47">
        <v>1</v>
      </c>
      <c r="B8" s="103" t="s">
        <v>380</v>
      </c>
      <c r="C8" s="88">
        <v>12072026</v>
      </c>
      <c r="D8" s="54" t="s">
        <v>350</v>
      </c>
      <c r="E8" s="54" t="s">
        <v>351</v>
      </c>
      <c r="F8" s="54">
        <v>40</v>
      </c>
      <c r="G8" s="31"/>
    </row>
    <row r="9" spans="1:10" ht="15.75" x14ac:dyDescent="0.25">
      <c r="A9" s="47">
        <v>2</v>
      </c>
      <c r="B9" s="72" t="s">
        <v>381</v>
      </c>
      <c r="C9" s="89">
        <v>12072026</v>
      </c>
      <c r="D9" s="51" t="s">
        <v>352</v>
      </c>
      <c r="E9" s="39" t="s">
        <v>353</v>
      </c>
      <c r="F9" s="51">
        <v>40</v>
      </c>
      <c r="G9" s="31"/>
    </row>
    <row r="10" spans="1:10" ht="15.75" x14ac:dyDescent="0.25">
      <c r="A10" s="47">
        <v>3</v>
      </c>
      <c r="B10" s="152" t="s">
        <v>382</v>
      </c>
      <c r="C10" s="89">
        <v>12072026</v>
      </c>
      <c r="D10" s="51" t="s">
        <v>354</v>
      </c>
      <c r="E10" s="39" t="s">
        <v>355</v>
      </c>
      <c r="F10" s="51">
        <v>20</v>
      </c>
      <c r="G10" s="31"/>
    </row>
    <row r="11" spans="1:10" ht="15.75" x14ac:dyDescent="0.25">
      <c r="A11" s="47">
        <v>4</v>
      </c>
      <c r="B11" s="153"/>
      <c r="C11" s="89">
        <v>12072026</v>
      </c>
      <c r="D11" s="51" t="s">
        <v>356</v>
      </c>
      <c r="E11" s="39" t="s">
        <v>357</v>
      </c>
      <c r="F11" s="51">
        <v>40</v>
      </c>
      <c r="G11" s="31"/>
    </row>
    <row r="12" spans="1:10" ht="15.75" x14ac:dyDescent="0.25">
      <c r="A12" s="47">
        <v>5</v>
      </c>
      <c r="B12" s="72" t="s">
        <v>383</v>
      </c>
      <c r="C12" s="89">
        <v>12072026</v>
      </c>
      <c r="D12" s="51" t="s">
        <v>358</v>
      </c>
      <c r="E12" s="39" t="s">
        <v>359</v>
      </c>
      <c r="F12" s="51">
        <v>40</v>
      </c>
      <c r="G12" s="31"/>
    </row>
    <row r="13" spans="1:10" ht="15.75" x14ac:dyDescent="0.25">
      <c r="A13" s="47">
        <v>6</v>
      </c>
      <c r="B13" s="72" t="s">
        <v>384</v>
      </c>
      <c r="C13" s="89">
        <v>12072026</v>
      </c>
      <c r="D13" s="51" t="s">
        <v>360</v>
      </c>
      <c r="E13" s="39" t="s">
        <v>361</v>
      </c>
      <c r="F13" s="51">
        <v>40</v>
      </c>
      <c r="G13" s="31"/>
    </row>
    <row r="14" spans="1:10" ht="15.75" x14ac:dyDescent="0.25">
      <c r="A14" s="47">
        <v>7</v>
      </c>
      <c r="B14" s="72" t="s">
        <v>385</v>
      </c>
      <c r="C14" s="89">
        <v>12072026</v>
      </c>
      <c r="D14" s="51" t="s">
        <v>362</v>
      </c>
      <c r="E14" s="39" t="s">
        <v>363</v>
      </c>
      <c r="F14" s="51">
        <v>40</v>
      </c>
      <c r="G14" s="31"/>
    </row>
    <row r="15" spans="1:10" ht="15.75" x14ac:dyDescent="0.25">
      <c r="A15" s="47">
        <v>8</v>
      </c>
      <c r="B15" s="72" t="s">
        <v>386</v>
      </c>
      <c r="C15" s="89">
        <v>12072026</v>
      </c>
      <c r="D15" s="87" t="s">
        <v>364</v>
      </c>
      <c r="E15" s="39" t="s">
        <v>365</v>
      </c>
      <c r="F15" s="51">
        <v>40</v>
      </c>
      <c r="G15" s="31"/>
    </row>
    <row r="16" spans="1:10" ht="15.75" x14ac:dyDescent="0.25">
      <c r="A16" s="47">
        <v>9</v>
      </c>
      <c r="B16" s="72" t="s">
        <v>387</v>
      </c>
      <c r="C16" s="89">
        <v>12072026</v>
      </c>
      <c r="D16" s="87" t="s">
        <v>366</v>
      </c>
      <c r="E16" s="39" t="s">
        <v>367</v>
      </c>
      <c r="F16" s="51">
        <v>40</v>
      </c>
      <c r="G16" s="31"/>
    </row>
    <row r="17" spans="1:10" ht="15.75" x14ac:dyDescent="0.25">
      <c r="A17" s="47">
        <v>10</v>
      </c>
      <c r="B17" s="151" t="s">
        <v>388</v>
      </c>
      <c r="C17" s="89">
        <v>12072026</v>
      </c>
      <c r="D17" s="87" t="s">
        <v>368</v>
      </c>
      <c r="E17" s="39" t="s">
        <v>369</v>
      </c>
      <c r="F17" s="51">
        <v>40</v>
      </c>
      <c r="G17" s="31"/>
    </row>
    <row r="18" spans="1:10" ht="15.75" x14ac:dyDescent="0.25">
      <c r="A18" s="47">
        <v>11</v>
      </c>
      <c r="B18" s="151"/>
      <c r="C18" s="89">
        <v>12072026</v>
      </c>
      <c r="D18" s="51" t="s">
        <v>370</v>
      </c>
      <c r="E18" s="39" t="s">
        <v>371</v>
      </c>
      <c r="F18" s="51">
        <v>40</v>
      </c>
      <c r="G18" s="31"/>
    </row>
    <row r="19" spans="1:10" ht="15.75" x14ac:dyDescent="0.25">
      <c r="A19" s="47">
        <v>12</v>
      </c>
      <c r="B19" s="151"/>
      <c r="C19" s="89">
        <v>12072026</v>
      </c>
      <c r="D19" s="51" t="s">
        <v>372</v>
      </c>
      <c r="E19" s="51" t="s">
        <v>373</v>
      </c>
      <c r="F19" s="51">
        <v>40</v>
      </c>
      <c r="G19" s="31"/>
    </row>
    <row r="20" spans="1:10" ht="15.75" x14ac:dyDescent="0.25">
      <c r="A20" s="47">
        <v>13</v>
      </c>
      <c r="B20" s="151"/>
      <c r="C20" s="89">
        <v>12072026</v>
      </c>
      <c r="D20" s="51" t="s">
        <v>374</v>
      </c>
      <c r="E20" s="51" t="s">
        <v>375</v>
      </c>
      <c r="F20" s="51">
        <v>40</v>
      </c>
      <c r="G20" s="31"/>
    </row>
    <row r="21" spans="1:10" ht="15.75" x14ac:dyDescent="0.25">
      <c r="A21" s="47">
        <v>14</v>
      </c>
      <c r="B21" s="151"/>
      <c r="C21" s="89">
        <v>12072026</v>
      </c>
      <c r="D21" s="51" t="s">
        <v>376</v>
      </c>
      <c r="E21" s="51" t="s">
        <v>377</v>
      </c>
      <c r="F21" s="51">
        <v>40</v>
      </c>
      <c r="G21" s="31"/>
    </row>
    <row r="22" spans="1:10" ht="15.75" x14ac:dyDescent="0.25">
      <c r="A22" s="47">
        <v>15</v>
      </c>
      <c r="B22" s="151"/>
      <c r="C22" s="89">
        <v>12072026</v>
      </c>
      <c r="D22" s="51" t="s">
        <v>378</v>
      </c>
      <c r="E22" s="51" t="s">
        <v>379</v>
      </c>
      <c r="F22" s="51">
        <v>40</v>
      </c>
      <c r="G22" s="31"/>
      <c r="J22" s="26" t="s">
        <v>171</v>
      </c>
    </row>
    <row r="23" spans="1:10" x14ac:dyDescent="0.25">
      <c r="A23" s="47">
        <v>16</v>
      </c>
      <c r="B23" s="79"/>
      <c r="C23" s="89"/>
      <c r="D23" s="87"/>
      <c r="E23" s="87"/>
      <c r="F23" s="51"/>
    </row>
    <row r="24" spans="1:10" ht="15.75" customHeight="1" x14ac:dyDescent="0.25">
      <c r="A24" s="47">
        <v>23</v>
      </c>
      <c r="B24" s="90"/>
      <c r="C24" s="65"/>
      <c r="D24" s="60"/>
      <c r="E24" s="60"/>
      <c r="F24" s="48"/>
    </row>
    <row r="25" spans="1:10" ht="15.75" customHeight="1" x14ac:dyDescent="0.25">
      <c r="A25" s="47">
        <v>24</v>
      </c>
      <c r="B25" s="90"/>
      <c r="C25" s="65"/>
      <c r="D25" s="60"/>
      <c r="E25" s="60"/>
      <c r="F25" s="48"/>
    </row>
    <row r="26" spans="1:10" x14ac:dyDescent="0.25">
      <c r="A26" s="47">
        <v>25</v>
      </c>
      <c r="B26" s="90"/>
      <c r="C26" s="65"/>
      <c r="D26" s="60"/>
      <c r="E26" s="60"/>
      <c r="F26" s="48"/>
    </row>
    <row r="27" spans="1:10" ht="15.75" x14ac:dyDescent="0.25">
      <c r="A27" s="47">
        <v>26</v>
      </c>
      <c r="B27" s="52"/>
      <c r="C27" s="53"/>
      <c r="D27" s="39"/>
      <c r="E27" s="39"/>
      <c r="F27" s="39"/>
      <c r="G27" s="8"/>
    </row>
    <row r="28" spans="1:10" ht="15.75" x14ac:dyDescent="0.25">
      <c r="A28" s="7"/>
      <c r="B28" s="31"/>
      <c r="C28" s="8"/>
      <c r="D28" s="67"/>
      <c r="E28" s="67"/>
      <c r="F28" s="67"/>
      <c r="G28" s="8"/>
    </row>
    <row r="29" spans="1:10" ht="15.75" customHeight="1" x14ac:dyDescent="0.25">
      <c r="A29" s="7"/>
      <c r="B29" s="12" t="s">
        <v>17</v>
      </c>
    </row>
    <row r="30" spans="1:10" ht="15.75" customHeight="1" thickBot="1" x14ac:dyDescent="0.3">
      <c r="A30" s="7"/>
      <c r="B30" s="14"/>
      <c r="C30" s="8"/>
      <c r="D30" s="8"/>
      <c r="E30" s="8"/>
      <c r="F30" s="8"/>
    </row>
    <row r="31" spans="1:10" ht="15.75" customHeight="1" thickBot="1" x14ac:dyDescent="0.3">
      <c r="A31" s="15" t="s">
        <v>11</v>
      </c>
      <c r="B31" s="16" t="s">
        <v>18</v>
      </c>
      <c r="C31" s="16" t="s">
        <v>19</v>
      </c>
      <c r="D31" s="16" t="s">
        <v>14</v>
      </c>
      <c r="E31" s="16" t="s">
        <v>15</v>
      </c>
      <c r="F31" s="17" t="s">
        <v>16</v>
      </c>
    </row>
    <row r="32" spans="1:10" ht="15.75" customHeight="1" x14ac:dyDescent="0.25">
      <c r="A32" s="18">
        <v>1</v>
      </c>
      <c r="B32" s="95">
        <v>12072026</v>
      </c>
      <c r="C32" s="96" t="s">
        <v>349</v>
      </c>
      <c r="D32" s="93" t="s">
        <v>81</v>
      </c>
      <c r="E32" s="97">
        <v>3930</v>
      </c>
      <c r="F32" s="21">
        <v>40</v>
      </c>
    </row>
    <row r="33" spans="1:6" ht="15.75" customHeight="1" x14ac:dyDescent="0.25">
      <c r="A33" s="22">
        <v>2</v>
      </c>
      <c r="B33" s="89"/>
      <c r="C33" s="91"/>
      <c r="D33" s="23"/>
      <c r="E33" s="94"/>
      <c r="F33" s="25"/>
    </row>
    <row r="34" spans="1:6" ht="15.75" customHeight="1" x14ac:dyDescent="0.25">
      <c r="A34" s="22">
        <v>3</v>
      </c>
      <c r="B34" s="89"/>
      <c r="C34" s="91"/>
      <c r="D34" s="23"/>
      <c r="E34" s="23"/>
      <c r="F34" s="25"/>
    </row>
    <row r="35" spans="1:6" ht="15.75" customHeight="1" x14ac:dyDescent="0.25">
      <c r="A35" s="22">
        <v>4</v>
      </c>
      <c r="B35" s="89"/>
      <c r="C35" s="91"/>
      <c r="D35" s="23"/>
      <c r="E35" s="23"/>
      <c r="F35" s="25"/>
    </row>
    <row r="36" spans="1:6" ht="15.75" customHeight="1" x14ac:dyDescent="0.25">
      <c r="A36" s="22">
        <v>5</v>
      </c>
      <c r="B36" s="89"/>
      <c r="C36" s="91"/>
      <c r="D36" s="23"/>
      <c r="E36" s="23"/>
      <c r="F36" s="25"/>
    </row>
    <row r="37" spans="1:6" ht="15.75" customHeight="1" x14ac:dyDescent="0.25">
      <c r="A37" s="22">
        <v>6</v>
      </c>
      <c r="B37" s="24"/>
      <c r="C37" s="23"/>
      <c r="D37" s="23"/>
      <c r="E37" s="23"/>
      <c r="F37" s="25"/>
    </row>
    <row r="38" spans="1:6" ht="15.75" customHeight="1" thickBot="1" x14ac:dyDescent="0.3">
      <c r="A38" s="27">
        <v>7</v>
      </c>
      <c r="B38" s="29"/>
      <c r="C38" s="28"/>
      <c r="D38" s="28"/>
      <c r="E38" s="28"/>
      <c r="F38" s="30"/>
    </row>
    <row r="39" spans="1:6" ht="15.75" customHeight="1" x14ac:dyDescent="0.25">
      <c r="A39" s="7"/>
      <c r="B39" s="46"/>
      <c r="C39" s="45"/>
      <c r="D39" s="45"/>
      <c r="E39" s="45"/>
      <c r="F39" s="45"/>
    </row>
    <row r="40" spans="1:6" ht="15.75" customHeight="1" x14ac:dyDescent="0.25"/>
    <row r="41" spans="1:6" ht="15.75" customHeight="1" x14ac:dyDescent="0.25">
      <c r="A41" s="7"/>
      <c r="B41" s="12" t="s">
        <v>20</v>
      </c>
      <c r="E41" s="8"/>
      <c r="F41" s="8"/>
    </row>
    <row r="42" spans="1:6" ht="15.75" customHeight="1" thickBot="1" x14ac:dyDescent="0.3">
      <c r="A42" s="7"/>
      <c r="B42" s="14"/>
      <c r="C42" s="8"/>
      <c r="D42" s="8"/>
      <c r="E42" s="8"/>
      <c r="F42" s="8"/>
    </row>
    <row r="43" spans="1:6" ht="15.75" customHeight="1" thickBot="1" x14ac:dyDescent="0.3">
      <c r="A43" s="15" t="s">
        <v>11</v>
      </c>
      <c r="B43" s="16" t="s">
        <v>21</v>
      </c>
      <c r="C43" s="16" t="s">
        <v>14</v>
      </c>
      <c r="D43" s="16" t="s">
        <v>22</v>
      </c>
      <c r="E43" s="16" t="s">
        <v>23</v>
      </c>
      <c r="F43" s="17" t="s">
        <v>16</v>
      </c>
    </row>
    <row r="44" spans="1:6" ht="15.75" customHeight="1" x14ac:dyDescent="0.25">
      <c r="A44" s="18">
        <v>1</v>
      </c>
      <c r="B44" s="32">
        <v>12072026</v>
      </c>
      <c r="C44" s="60" t="s">
        <v>309</v>
      </c>
      <c r="D44" s="19">
        <v>3924</v>
      </c>
      <c r="E44" s="19">
        <v>3923</v>
      </c>
      <c r="F44" s="21"/>
    </row>
    <row r="45" spans="1:6" ht="15.75" customHeight="1" x14ac:dyDescent="0.25">
      <c r="A45" s="22">
        <v>2</v>
      </c>
      <c r="B45" s="33"/>
      <c r="C45" s="23"/>
      <c r="D45" s="23"/>
      <c r="E45" s="23"/>
      <c r="F45" s="25"/>
    </row>
  </sheetData>
  <mergeCells count="3">
    <mergeCell ref="A3:H3"/>
    <mergeCell ref="B10:B11"/>
    <mergeCell ref="B17:B22"/>
  </mergeCells>
  <dataValidations count="1">
    <dataValidation type="list" allowBlank="1" showInputMessage="1" showErrorMessage="1" sqref="F8:F28" xr:uid="{7FEE2317-E2C7-4BAF-8C6D-EA2DE83A07F5}">
      <formula1>"20,40,45,50"</formula1>
    </dataValidation>
  </dataValidations>
  <pageMargins left="0.31496062992125984" right="0.31496062992125984" top="0.55118110236220474" bottom="0.35433070866141736" header="0.31496062992125984" footer="0.31496062992125984"/>
  <pageSetup paperSize="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43578-3BD5-4FC9-A61B-7FF22D85BD23}">
  <dimension ref="A1:J42"/>
  <sheetViews>
    <sheetView workbookViewId="0">
      <selection activeCell="D9" sqref="D9:F10"/>
    </sheetView>
  </sheetViews>
  <sheetFormatPr baseColWidth="10" defaultRowHeight="15" x14ac:dyDescent="0.25"/>
  <cols>
    <col min="1" max="1" width="3.140625" style="26" bestFit="1" customWidth="1"/>
    <col min="2" max="2" width="14.85546875" style="26" bestFit="1" customWidth="1"/>
    <col min="3" max="3" width="19.28515625" style="26" customWidth="1"/>
    <col min="4" max="4" width="19.140625" style="26" customWidth="1"/>
    <col min="5" max="5" width="14.28515625" style="26" customWidth="1"/>
    <col min="6" max="6" width="13.85546875" style="26" bestFit="1" customWidth="1"/>
    <col min="7" max="7" width="12.140625" style="26" bestFit="1" customWidth="1"/>
    <col min="8" max="16384" width="11.42578125" style="26"/>
  </cols>
  <sheetData>
    <row r="1" spans="1:10" s="8" customFormat="1" ht="24.95" customHeight="1" x14ac:dyDescent="0.25">
      <c r="A1" s="7"/>
      <c r="H1" s="9">
        <f>COUNTIF(C8:C20,"&lt;&gt;")</f>
        <v>2</v>
      </c>
      <c r="I1" s="10" t="s">
        <v>8</v>
      </c>
    </row>
    <row r="2" spans="1:10" s="8" customFormat="1" ht="15.75" x14ac:dyDescent="0.25">
      <c r="A2" s="7"/>
      <c r="F2" s="9">
        <f>COUNTIFS(B25:B26,"&lt;&gt;",C25:C26,"VH")</f>
        <v>0</v>
      </c>
      <c r="G2" s="10" t="s">
        <v>7</v>
      </c>
      <c r="H2" s="9">
        <f>COUNTA(C25:C28)-F2</f>
        <v>3</v>
      </c>
      <c r="I2" s="10" t="s">
        <v>8</v>
      </c>
      <c r="J2" s="11">
        <f>COUNTIF(E25:E27,"VIDE")</f>
        <v>0</v>
      </c>
    </row>
    <row r="3" spans="1:10" s="8" customFormat="1" ht="25.5" x14ac:dyDescent="0.25">
      <c r="A3" s="148" t="s">
        <v>9</v>
      </c>
      <c r="B3" s="148"/>
      <c r="C3" s="148"/>
      <c r="D3" s="148"/>
      <c r="E3" s="148"/>
      <c r="F3" s="148"/>
      <c r="G3" s="148"/>
      <c r="H3" s="148"/>
    </row>
    <row r="4" spans="1:10" s="8" customFormat="1" ht="12.75" x14ac:dyDescent="0.25">
      <c r="A4" s="7"/>
    </row>
    <row r="5" spans="1:10" s="8" customFormat="1" ht="15.75" x14ac:dyDescent="0.25">
      <c r="A5" s="7"/>
      <c r="B5" s="12" t="s">
        <v>10</v>
      </c>
      <c r="G5" s="13">
        <v>46216</v>
      </c>
    </row>
    <row r="6" spans="1:10" s="8" customFormat="1" thickBot="1" x14ac:dyDescent="0.3">
      <c r="A6" s="7"/>
      <c r="B6" s="14"/>
    </row>
    <row r="7" spans="1:10" s="8" customFormat="1" thickBot="1" x14ac:dyDescent="0.3">
      <c r="A7" s="15" t="s">
        <v>11</v>
      </c>
      <c r="B7" s="16" t="s">
        <v>12</v>
      </c>
      <c r="C7" s="16" t="s">
        <v>13</v>
      </c>
      <c r="D7" s="16" t="s">
        <v>14</v>
      </c>
      <c r="E7" s="16" t="s">
        <v>15</v>
      </c>
      <c r="F7" s="17" t="s">
        <v>16</v>
      </c>
    </row>
    <row r="8" spans="1:10" ht="15.75" x14ac:dyDescent="0.25">
      <c r="A8" s="47">
        <v>1</v>
      </c>
      <c r="B8" s="54" t="s">
        <v>394</v>
      </c>
      <c r="C8" s="89"/>
      <c r="D8" s="107" t="s">
        <v>391</v>
      </c>
      <c r="E8" s="107" t="s">
        <v>392</v>
      </c>
      <c r="F8" s="54">
        <v>40</v>
      </c>
      <c r="G8" s="31"/>
    </row>
    <row r="9" spans="1:10" ht="15.75" x14ac:dyDescent="0.25">
      <c r="A9" s="47">
        <v>2</v>
      </c>
      <c r="B9" s="151" t="s">
        <v>395</v>
      </c>
      <c r="C9" s="89">
        <v>13072026</v>
      </c>
      <c r="D9" s="69" t="s">
        <v>393</v>
      </c>
      <c r="E9" s="51">
        <v>917966</v>
      </c>
      <c r="F9" s="51">
        <v>40</v>
      </c>
      <c r="G9" s="31"/>
    </row>
    <row r="10" spans="1:10" ht="15.75" x14ac:dyDescent="0.25">
      <c r="A10" s="47">
        <v>3</v>
      </c>
      <c r="B10" s="151"/>
      <c r="C10" s="89">
        <v>13072026</v>
      </c>
      <c r="D10" s="51" t="s">
        <v>419</v>
      </c>
      <c r="E10" s="51">
        <v>917967</v>
      </c>
      <c r="F10" s="51">
        <v>20</v>
      </c>
      <c r="G10" s="31"/>
    </row>
    <row r="11" spans="1:10" ht="15.75" x14ac:dyDescent="0.25">
      <c r="A11" s="47">
        <v>4</v>
      </c>
      <c r="B11" s="72" t="s">
        <v>240</v>
      </c>
      <c r="C11" s="89"/>
      <c r="D11" s="51" t="s">
        <v>222</v>
      </c>
      <c r="E11" s="51" t="s">
        <v>223</v>
      </c>
      <c r="F11" s="51">
        <v>45</v>
      </c>
      <c r="G11" s="31"/>
    </row>
    <row r="12" spans="1:10" ht="15.75" x14ac:dyDescent="0.25">
      <c r="A12" s="47">
        <v>5</v>
      </c>
      <c r="B12" s="72"/>
      <c r="C12" s="89"/>
      <c r="D12" s="51"/>
      <c r="E12" s="39"/>
      <c r="F12" s="51"/>
      <c r="G12" s="31"/>
    </row>
    <row r="13" spans="1:10" ht="15.75" x14ac:dyDescent="0.25">
      <c r="A13" s="47">
        <v>6</v>
      </c>
      <c r="B13" s="72"/>
      <c r="C13" s="89"/>
      <c r="D13" s="51"/>
      <c r="E13" s="39"/>
      <c r="F13" s="51"/>
      <c r="G13" s="31"/>
    </row>
    <row r="14" spans="1:10" ht="15.75" x14ac:dyDescent="0.25">
      <c r="A14" s="47">
        <v>7</v>
      </c>
      <c r="B14" s="72"/>
      <c r="C14" s="89"/>
      <c r="D14" s="51"/>
      <c r="E14" s="39"/>
      <c r="F14" s="51"/>
      <c r="G14" s="31"/>
    </row>
    <row r="15" spans="1:10" ht="15.75" x14ac:dyDescent="0.25">
      <c r="A15" s="47">
        <v>8</v>
      </c>
      <c r="B15" s="72"/>
      <c r="C15" s="89"/>
      <c r="D15" s="87"/>
      <c r="E15" s="39"/>
      <c r="F15" s="51"/>
      <c r="G15" s="31"/>
    </row>
    <row r="16" spans="1:10" ht="15.75" x14ac:dyDescent="0.25">
      <c r="A16" s="47">
        <v>9</v>
      </c>
      <c r="B16" s="72"/>
      <c r="C16" s="89"/>
      <c r="D16" s="87"/>
      <c r="E16" s="39"/>
      <c r="F16" s="51"/>
      <c r="G16" s="31"/>
    </row>
    <row r="17" spans="1:7" ht="15.75" x14ac:dyDescent="0.25">
      <c r="A17" s="47">
        <v>10</v>
      </c>
      <c r="B17" s="79"/>
      <c r="C17" s="89"/>
      <c r="D17" s="87"/>
      <c r="E17" s="39"/>
      <c r="F17" s="51"/>
      <c r="G17" s="31"/>
    </row>
    <row r="18" spans="1:7" ht="15.75" x14ac:dyDescent="0.25">
      <c r="A18" s="47">
        <v>11</v>
      </c>
      <c r="B18" s="79"/>
      <c r="C18" s="89"/>
      <c r="D18" s="51"/>
      <c r="E18" s="39"/>
      <c r="F18" s="51"/>
      <c r="G18" s="31"/>
    </row>
    <row r="19" spans="1:7" ht="15.75" x14ac:dyDescent="0.25">
      <c r="A19" s="47">
        <v>12</v>
      </c>
      <c r="B19" s="79"/>
      <c r="C19" s="89"/>
      <c r="D19" s="51"/>
      <c r="E19" s="51"/>
      <c r="F19" s="51"/>
      <c r="G19" s="31"/>
    </row>
    <row r="20" spans="1:7" ht="15.75" x14ac:dyDescent="0.25">
      <c r="A20" s="47">
        <v>13</v>
      </c>
      <c r="B20" s="79"/>
      <c r="C20" s="89"/>
      <c r="D20" s="51"/>
      <c r="E20" s="51"/>
      <c r="F20" s="51"/>
      <c r="G20" s="31"/>
    </row>
    <row r="21" spans="1:7" ht="15.75" x14ac:dyDescent="0.25">
      <c r="A21" s="7"/>
      <c r="B21" s="31"/>
      <c r="C21" s="8"/>
      <c r="D21" s="67"/>
      <c r="E21" s="67"/>
      <c r="F21" s="67"/>
      <c r="G21" s="8"/>
    </row>
    <row r="22" spans="1:7" ht="15.75" customHeight="1" x14ac:dyDescent="0.25">
      <c r="A22" s="7"/>
      <c r="B22" s="12" t="s">
        <v>17</v>
      </c>
    </row>
    <row r="23" spans="1:7" ht="15.75" customHeight="1" thickBot="1" x14ac:dyDescent="0.3">
      <c r="A23" s="7"/>
      <c r="B23" s="14"/>
      <c r="C23" s="8"/>
      <c r="D23" s="8"/>
      <c r="E23" s="8"/>
      <c r="F23" s="8"/>
    </row>
    <row r="24" spans="1:7" ht="15.75" customHeight="1" thickBot="1" x14ac:dyDescent="0.3">
      <c r="A24" s="15" t="s">
        <v>11</v>
      </c>
      <c r="B24" s="16" t="s">
        <v>18</v>
      </c>
      <c r="C24" s="16" t="s">
        <v>19</v>
      </c>
      <c r="D24" s="16" t="s">
        <v>14</v>
      </c>
      <c r="E24" s="16" t="s">
        <v>15</v>
      </c>
      <c r="F24" s="17" t="s">
        <v>16</v>
      </c>
    </row>
    <row r="25" spans="1:7" ht="15.75" customHeight="1" x14ac:dyDescent="0.25">
      <c r="A25" s="18">
        <v>1</v>
      </c>
      <c r="B25" s="95">
        <v>13072026</v>
      </c>
      <c r="C25" s="96" t="s">
        <v>417</v>
      </c>
      <c r="D25" s="108" t="s">
        <v>396</v>
      </c>
      <c r="E25" s="109" t="s">
        <v>397</v>
      </c>
      <c r="F25" s="21">
        <v>40</v>
      </c>
    </row>
    <row r="26" spans="1:7" ht="15.75" customHeight="1" x14ac:dyDescent="0.25">
      <c r="A26" s="22">
        <v>2</v>
      </c>
      <c r="B26" s="89">
        <v>13072026</v>
      </c>
      <c r="C26" s="91" t="s">
        <v>418</v>
      </c>
      <c r="D26" s="51" t="s">
        <v>398</v>
      </c>
      <c r="E26" s="58" t="s">
        <v>399</v>
      </c>
      <c r="F26" s="25">
        <v>40</v>
      </c>
    </row>
    <row r="27" spans="1:7" ht="15.75" customHeight="1" x14ac:dyDescent="0.25">
      <c r="A27" s="22">
        <v>6</v>
      </c>
      <c r="B27" s="24">
        <v>46216</v>
      </c>
      <c r="C27" s="23" t="s">
        <v>421</v>
      </c>
      <c r="D27" s="110" t="s">
        <v>420</v>
      </c>
      <c r="E27" s="23">
        <v>3862</v>
      </c>
      <c r="F27" s="25">
        <v>40</v>
      </c>
    </row>
    <row r="28" spans="1:7" ht="15.75" customHeight="1" thickBot="1" x14ac:dyDescent="0.3">
      <c r="A28" s="27">
        <v>7</v>
      </c>
      <c r="B28" s="29"/>
      <c r="C28" s="28"/>
      <c r="D28" s="28"/>
      <c r="E28" s="28"/>
      <c r="F28" s="30"/>
    </row>
    <row r="29" spans="1:7" ht="15.75" customHeight="1" x14ac:dyDescent="0.25">
      <c r="A29" s="7"/>
      <c r="B29" s="46"/>
      <c r="C29" s="45"/>
      <c r="D29" s="45"/>
      <c r="E29" s="45"/>
      <c r="F29" s="45"/>
    </row>
    <row r="30" spans="1:7" ht="15.75" customHeight="1" x14ac:dyDescent="0.25"/>
    <row r="31" spans="1:7" ht="15.75" customHeight="1" x14ac:dyDescent="0.25">
      <c r="A31" s="7"/>
      <c r="B31" s="12" t="s">
        <v>20</v>
      </c>
      <c r="E31" s="8"/>
      <c r="F31" s="8"/>
    </row>
    <row r="32" spans="1:7" ht="15.75" customHeight="1" thickBot="1" x14ac:dyDescent="0.3">
      <c r="A32" s="7"/>
      <c r="B32" s="14"/>
      <c r="C32" s="8"/>
      <c r="D32" s="8"/>
      <c r="E32" s="8"/>
      <c r="F32" s="8"/>
    </row>
    <row r="33" spans="1:6" ht="15.75" customHeight="1" x14ac:dyDescent="0.25">
      <c r="A33" s="15" t="s">
        <v>11</v>
      </c>
      <c r="B33" s="16" t="s">
        <v>21</v>
      </c>
      <c r="C33" s="16" t="s">
        <v>14</v>
      </c>
      <c r="D33" s="16" t="s">
        <v>22</v>
      </c>
      <c r="E33" s="16" t="s">
        <v>23</v>
      </c>
      <c r="F33" s="17" t="s">
        <v>16</v>
      </c>
    </row>
    <row r="34" spans="1:6" ht="15.75" customHeight="1" x14ac:dyDescent="0.25">
      <c r="A34" s="47">
        <v>1</v>
      </c>
      <c r="B34" s="33">
        <v>13072026</v>
      </c>
      <c r="C34" s="51" t="s">
        <v>404</v>
      </c>
      <c r="D34" s="49">
        <v>2103860</v>
      </c>
      <c r="E34" s="23">
        <v>3938</v>
      </c>
      <c r="F34" s="23">
        <v>40</v>
      </c>
    </row>
    <row r="35" spans="1:6" ht="15.75" customHeight="1" x14ac:dyDescent="0.25">
      <c r="A35" s="47">
        <v>2</v>
      </c>
      <c r="B35" s="33">
        <v>13072026</v>
      </c>
      <c r="C35" s="51" t="s">
        <v>413</v>
      </c>
      <c r="D35" s="39" t="s">
        <v>414</v>
      </c>
      <c r="E35" s="23">
        <v>3935</v>
      </c>
      <c r="F35" s="23">
        <v>20</v>
      </c>
    </row>
    <row r="36" spans="1:6" ht="15.75" customHeight="1" x14ac:dyDescent="0.25">
      <c r="A36" s="47">
        <v>3</v>
      </c>
      <c r="B36" s="33">
        <v>13072026</v>
      </c>
      <c r="C36" s="40" t="s">
        <v>415</v>
      </c>
      <c r="D36" s="39" t="s">
        <v>416</v>
      </c>
      <c r="E36" s="23">
        <v>3939</v>
      </c>
      <c r="F36" s="23">
        <v>20</v>
      </c>
    </row>
    <row r="37" spans="1:6" ht="15.75" customHeight="1" x14ac:dyDescent="0.25">
      <c r="A37" s="47">
        <v>4</v>
      </c>
      <c r="B37" s="33">
        <v>13072026</v>
      </c>
      <c r="C37" s="40" t="s">
        <v>400</v>
      </c>
      <c r="D37" s="49" t="s">
        <v>401</v>
      </c>
      <c r="E37" s="23">
        <v>3940</v>
      </c>
      <c r="F37" s="23">
        <v>40</v>
      </c>
    </row>
    <row r="38" spans="1:6" ht="15.75" customHeight="1" x14ac:dyDescent="0.25">
      <c r="A38" s="47">
        <v>5</v>
      </c>
      <c r="B38" s="33">
        <v>13072026</v>
      </c>
      <c r="C38" s="51" t="s">
        <v>402</v>
      </c>
      <c r="D38" s="39" t="s">
        <v>403</v>
      </c>
      <c r="E38" s="23">
        <v>3933</v>
      </c>
      <c r="F38" s="23">
        <v>40</v>
      </c>
    </row>
    <row r="39" spans="1:6" ht="15.75" customHeight="1" x14ac:dyDescent="0.25">
      <c r="A39" s="47">
        <v>6</v>
      </c>
      <c r="B39" s="33">
        <v>13072026</v>
      </c>
      <c r="C39" s="23" t="s">
        <v>405</v>
      </c>
      <c r="D39" s="23" t="s">
        <v>406</v>
      </c>
      <c r="E39" s="23">
        <v>3937</v>
      </c>
      <c r="F39" s="23">
        <v>40</v>
      </c>
    </row>
    <row r="40" spans="1:6" ht="15.75" customHeight="1" x14ac:dyDescent="0.25">
      <c r="A40" s="47">
        <v>7</v>
      </c>
      <c r="B40" s="33">
        <v>13072026</v>
      </c>
      <c r="C40" s="23" t="s">
        <v>407</v>
      </c>
      <c r="D40" s="23" t="s">
        <v>408</v>
      </c>
      <c r="E40" s="23">
        <v>3936</v>
      </c>
      <c r="F40" s="23">
        <v>40</v>
      </c>
    </row>
    <row r="41" spans="1:6" x14ac:dyDescent="0.25">
      <c r="A41" s="47">
        <v>8</v>
      </c>
      <c r="B41" s="33">
        <v>13072026</v>
      </c>
      <c r="C41" s="23" t="s">
        <v>409</v>
      </c>
      <c r="D41" s="23" t="s">
        <v>410</v>
      </c>
      <c r="E41" s="40">
        <v>3934</v>
      </c>
      <c r="F41" s="23">
        <v>40</v>
      </c>
    </row>
    <row r="42" spans="1:6" x14ac:dyDescent="0.25">
      <c r="A42" s="47">
        <v>9</v>
      </c>
      <c r="B42" s="33">
        <v>13072026</v>
      </c>
      <c r="C42" s="51" t="s">
        <v>411</v>
      </c>
      <c r="D42" s="58" t="s">
        <v>412</v>
      </c>
      <c r="E42" s="40">
        <v>3932</v>
      </c>
      <c r="F42" s="23">
        <v>40</v>
      </c>
    </row>
  </sheetData>
  <mergeCells count="2">
    <mergeCell ref="A3:H3"/>
    <mergeCell ref="B9:B10"/>
  </mergeCells>
  <dataValidations count="1">
    <dataValidation type="list" allowBlank="1" showInputMessage="1" showErrorMessage="1" sqref="F8:F21" xr:uid="{146B84BB-E653-4BAF-BCE0-C553A689ED0A}">
      <formula1>"20,40,45,50"</formula1>
    </dataValidation>
  </dataValidations>
  <pageMargins left="0.31496062992125984" right="0.31496062992125984" top="0.35433070866141736" bottom="0.35433070866141736" header="0.31496062992125984" footer="0.31496062992125984"/>
  <pageSetup paperSize="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02579-391A-412A-B25D-D608524EF2EB}">
  <dimension ref="A1:J37"/>
  <sheetViews>
    <sheetView topLeftCell="B1" workbookViewId="0">
      <selection activeCell="B1" sqref="A1:XFD1048576"/>
    </sheetView>
  </sheetViews>
  <sheetFormatPr baseColWidth="10" defaultRowHeight="15" x14ac:dyDescent="0.25"/>
  <cols>
    <col min="1" max="1" width="3.140625" style="26" bestFit="1" customWidth="1"/>
    <col min="2" max="2" width="14.85546875" style="26" bestFit="1" customWidth="1"/>
    <col min="3" max="3" width="19.28515625" style="26" customWidth="1"/>
    <col min="4" max="4" width="19.140625" style="26" customWidth="1"/>
    <col min="5" max="5" width="14.28515625" style="26" customWidth="1"/>
    <col min="6" max="6" width="13.85546875" style="26" bestFit="1" customWidth="1"/>
    <col min="7" max="7" width="12.140625" style="26" bestFit="1" customWidth="1"/>
    <col min="8" max="16384" width="11.42578125" style="26"/>
  </cols>
  <sheetData>
    <row r="1" spans="1:10" s="8" customFormat="1" ht="24.95" customHeight="1" x14ac:dyDescent="0.25">
      <c r="A1" s="7"/>
      <c r="H1" s="9">
        <f>COUNTIF(C8:C15,"&lt;&gt;")</f>
        <v>0</v>
      </c>
      <c r="I1" s="10" t="s">
        <v>8</v>
      </c>
    </row>
    <row r="2" spans="1:10" s="8" customFormat="1" ht="15.75" x14ac:dyDescent="0.25">
      <c r="A2" s="7"/>
      <c r="F2" s="9">
        <f>COUNTIFS(B20:B21,"&lt;&gt;",C20:C21,"VH")</f>
        <v>0</v>
      </c>
      <c r="G2" s="10" t="s">
        <v>7</v>
      </c>
      <c r="H2" s="9">
        <f>COUNTA(C20:C23)-F2</f>
        <v>2</v>
      </c>
      <c r="I2" s="10" t="s">
        <v>8</v>
      </c>
      <c r="J2" s="11">
        <f>COUNTIF(E20:E22,"VIDE")</f>
        <v>0</v>
      </c>
    </row>
    <row r="3" spans="1:10" s="8" customFormat="1" ht="25.5" x14ac:dyDescent="0.25">
      <c r="A3" s="148" t="s">
        <v>9</v>
      </c>
      <c r="B3" s="148"/>
      <c r="C3" s="148"/>
      <c r="D3" s="148"/>
      <c r="E3" s="148"/>
      <c r="F3" s="148"/>
      <c r="G3" s="148"/>
      <c r="H3" s="148"/>
    </row>
    <row r="4" spans="1:10" s="8" customFormat="1" ht="12.75" x14ac:dyDescent="0.25">
      <c r="A4" s="7"/>
    </row>
    <row r="5" spans="1:10" s="8" customFormat="1" ht="15.75" x14ac:dyDescent="0.25">
      <c r="A5" s="7"/>
      <c r="B5" s="12" t="s">
        <v>10</v>
      </c>
      <c r="G5" s="13">
        <v>46217</v>
      </c>
    </row>
    <row r="6" spans="1:10" s="8" customFormat="1" thickBot="1" x14ac:dyDescent="0.3">
      <c r="A6" s="7"/>
      <c r="B6" s="14"/>
    </row>
    <row r="7" spans="1:10" s="8" customFormat="1" thickBot="1" x14ac:dyDescent="0.3">
      <c r="A7" s="15" t="s">
        <v>11</v>
      </c>
      <c r="B7" s="16" t="s">
        <v>12</v>
      </c>
      <c r="C7" s="16" t="s">
        <v>13</v>
      </c>
      <c r="D7" s="16" t="s">
        <v>14</v>
      </c>
      <c r="E7" s="16" t="s">
        <v>15</v>
      </c>
      <c r="F7" s="17" t="s">
        <v>16</v>
      </c>
    </row>
    <row r="8" spans="1:10" ht="15.75" x14ac:dyDescent="0.25">
      <c r="A8" s="47">
        <v>1</v>
      </c>
      <c r="B8" s="54"/>
      <c r="C8" s="89"/>
      <c r="D8" s="107"/>
      <c r="E8" s="107"/>
      <c r="F8" s="54"/>
      <c r="G8" s="31"/>
    </row>
    <row r="9" spans="1:10" ht="15.75" x14ac:dyDescent="0.25">
      <c r="A9" s="47">
        <v>2</v>
      </c>
      <c r="B9" s="79"/>
      <c r="C9" s="89"/>
      <c r="D9" s="69"/>
      <c r="E9" s="51"/>
      <c r="F9" s="51"/>
      <c r="G9" s="31"/>
    </row>
    <row r="10" spans="1:10" ht="15.75" x14ac:dyDescent="0.25">
      <c r="A10" s="47">
        <v>3</v>
      </c>
      <c r="B10" s="79"/>
      <c r="C10" s="89"/>
      <c r="D10" s="51"/>
      <c r="E10" s="51"/>
      <c r="F10" s="51"/>
      <c r="G10" s="31"/>
    </row>
    <row r="11" spans="1:10" ht="15.75" x14ac:dyDescent="0.25">
      <c r="A11" s="47">
        <v>9</v>
      </c>
      <c r="B11" s="72"/>
      <c r="C11" s="89"/>
      <c r="D11" s="87"/>
      <c r="E11" s="39"/>
      <c r="F11" s="51"/>
      <c r="G11" s="31"/>
    </row>
    <row r="12" spans="1:10" ht="15.75" x14ac:dyDescent="0.25">
      <c r="A12" s="47">
        <v>10</v>
      </c>
      <c r="B12" s="79"/>
      <c r="C12" s="89"/>
      <c r="D12" s="87"/>
      <c r="E12" s="39"/>
      <c r="F12" s="51"/>
      <c r="G12" s="31"/>
    </row>
    <row r="13" spans="1:10" ht="15.75" x14ac:dyDescent="0.25">
      <c r="A13" s="47">
        <v>11</v>
      </c>
      <c r="B13" s="79"/>
      <c r="C13" s="89"/>
      <c r="D13" s="51"/>
      <c r="E13" s="39"/>
      <c r="F13" s="51"/>
      <c r="G13" s="31"/>
    </row>
    <row r="14" spans="1:10" ht="15.75" x14ac:dyDescent="0.25">
      <c r="A14" s="47">
        <v>12</v>
      </c>
      <c r="B14" s="79"/>
      <c r="C14" s="89"/>
      <c r="D14" s="51"/>
      <c r="E14" s="51"/>
      <c r="F14" s="51"/>
      <c r="G14" s="31"/>
    </row>
    <row r="15" spans="1:10" ht="15.75" x14ac:dyDescent="0.25">
      <c r="A15" s="47">
        <v>13</v>
      </c>
      <c r="B15" s="79"/>
      <c r="C15" s="89"/>
      <c r="D15" s="51"/>
      <c r="E15" s="51"/>
      <c r="F15" s="51"/>
      <c r="G15" s="31"/>
    </row>
    <row r="16" spans="1:10" ht="15.75" x14ac:dyDescent="0.25">
      <c r="A16" s="7"/>
      <c r="B16" s="31"/>
      <c r="C16" s="8"/>
      <c r="D16" s="67"/>
      <c r="E16" s="67"/>
      <c r="F16" s="67"/>
      <c r="G16" s="8"/>
    </row>
    <row r="17" spans="1:6" ht="15.75" customHeight="1" x14ac:dyDescent="0.25">
      <c r="A17" s="7"/>
      <c r="B17" s="12" t="s">
        <v>17</v>
      </c>
    </row>
    <row r="18" spans="1:6" ht="15.75" customHeight="1" thickBot="1" x14ac:dyDescent="0.3">
      <c r="A18" s="7"/>
      <c r="B18" s="14"/>
      <c r="C18" s="8"/>
      <c r="D18" s="8"/>
      <c r="E18" s="8"/>
      <c r="F18" s="8"/>
    </row>
    <row r="19" spans="1:6" ht="15.75" customHeight="1" thickBot="1" x14ac:dyDescent="0.3">
      <c r="A19" s="15" t="s">
        <v>11</v>
      </c>
      <c r="B19" s="16" t="s">
        <v>18</v>
      </c>
      <c r="C19" s="16" t="s">
        <v>19</v>
      </c>
      <c r="D19" s="16" t="s">
        <v>14</v>
      </c>
      <c r="E19" s="16" t="s">
        <v>15</v>
      </c>
      <c r="F19" s="17" t="s">
        <v>16</v>
      </c>
    </row>
    <row r="20" spans="1:6" ht="15.75" customHeight="1" x14ac:dyDescent="0.25">
      <c r="A20" s="18">
        <v>1</v>
      </c>
      <c r="B20" s="95">
        <v>14072026</v>
      </c>
      <c r="C20" s="96" t="s">
        <v>422</v>
      </c>
      <c r="D20" s="60" t="s">
        <v>309</v>
      </c>
      <c r="E20" s="109">
        <v>3923</v>
      </c>
      <c r="F20" s="21">
        <v>40</v>
      </c>
    </row>
    <row r="21" spans="1:6" ht="15.75" customHeight="1" x14ac:dyDescent="0.25">
      <c r="A21" s="22">
        <v>2</v>
      </c>
      <c r="B21" s="89">
        <v>14072026</v>
      </c>
      <c r="C21" s="91" t="s">
        <v>418</v>
      </c>
      <c r="D21" s="39" t="s">
        <v>311</v>
      </c>
      <c r="E21" s="58">
        <v>3921</v>
      </c>
      <c r="F21" s="25">
        <v>40</v>
      </c>
    </row>
    <row r="22" spans="1:6" ht="15.75" customHeight="1" x14ac:dyDescent="0.25">
      <c r="A22" s="22">
        <v>6</v>
      </c>
      <c r="B22" s="24"/>
      <c r="C22" s="23"/>
      <c r="D22" s="110"/>
      <c r="E22" s="23"/>
      <c r="F22" s="25"/>
    </row>
    <row r="23" spans="1:6" ht="15.75" customHeight="1" thickBot="1" x14ac:dyDescent="0.3">
      <c r="A23" s="27">
        <v>7</v>
      </c>
      <c r="B23" s="29"/>
      <c r="C23" s="28"/>
      <c r="D23" s="28"/>
      <c r="E23" s="28"/>
      <c r="F23" s="30"/>
    </row>
    <row r="24" spans="1:6" ht="15.75" customHeight="1" x14ac:dyDescent="0.25">
      <c r="A24" s="7"/>
      <c r="B24" s="46"/>
      <c r="C24" s="45"/>
      <c r="D24" s="45"/>
      <c r="E24" s="45"/>
      <c r="F24" s="45"/>
    </row>
    <row r="25" spans="1:6" ht="15.75" customHeight="1" x14ac:dyDescent="0.25"/>
    <row r="26" spans="1:6" ht="15.75" customHeight="1" x14ac:dyDescent="0.25">
      <c r="A26" s="7"/>
      <c r="B26" s="12" t="s">
        <v>20</v>
      </c>
      <c r="E26" s="8"/>
      <c r="F26" s="8"/>
    </row>
    <row r="27" spans="1:6" ht="15.75" customHeight="1" thickBot="1" x14ac:dyDescent="0.3">
      <c r="A27" s="7"/>
      <c r="B27" s="14"/>
      <c r="C27" s="8"/>
      <c r="D27" s="8"/>
      <c r="E27" s="8"/>
      <c r="F27" s="8"/>
    </row>
    <row r="28" spans="1:6" ht="15.75" customHeight="1" x14ac:dyDescent="0.25">
      <c r="A28" s="15" t="s">
        <v>11</v>
      </c>
      <c r="B28" s="16" t="s">
        <v>21</v>
      </c>
      <c r="C28" s="16" t="s">
        <v>14</v>
      </c>
      <c r="D28" s="16" t="s">
        <v>22</v>
      </c>
      <c r="E28" s="16" t="s">
        <v>23</v>
      </c>
      <c r="F28" s="17" t="s">
        <v>16</v>
      </c>
    </row>
    <row r="29" spans="1:6" ht="15.75" customHeight="1" x14ac:dyDescent="0.25">
      <c r="A29" s="47">
        <v>1</v>
      </c>
      <c r="B29" s="33">
        <v>14072026</v>
      </c>
      <c r="C29" s="51" t="s">
        <v>423</v>
      </c>
      <c r="D29" s="49" t="s">
        <v>424</v>
      </c>
      <c r="E29" s="23">
        <v>3922</v>
      </c>
      <c r="F29" s="23"/>
    </row>
    <row r="30" spans="1:6" ht="15.75" customHeight="1" x14ac:dyDescent="0.25">
      <c r="A30" s="47">
        <v>2</v>
      </c>
      <c r="B30" s="33"/>
      <c r="C30" s="51"/>
      <c r="D30" s="39"/>
      <c r="E30" s="23"/>
      <c r="F30" s="23"/>
    </row>
    <row r="31" spans="1:6" ht="15.75" customHeight="1" x14ac:dyDescent="0.25">
      <c r="A31" s="47">
        <v>3</v>
      </c>
      <c r="B31" s="33"/>
      <c r="C31" s="40"/>
      <c r="D31" s="39"/>
      <c r="E31" s="23"/>
      <c r="F31" s="23"/>
    </row>
    <row r="32" spans="1:6" ht="15.75" customHeight="1" x14ac:dyDescent="0.25">
      <c r="A32" s="47">
        <v>4</v>
      </c>
      <c r="B32" s="33"/>
      <c r="C32" s="40"/>
      <c r="D32" s="49"/>
      <c r="E32" s="23"/>
      <c r="F32" s="23"/>
    </row>
    <row r="33" spans="1:6" ht="15.75" customHeight="1" x14ac:dyDescent="0.25">
      <c r="A33" s="47">
        <v>5</v>
      </c>
      <c r="B33" s="33"/>
      <c r="C33" s="51"/>
      <c r="D33" s="39"/>
      <c r="E33" s="23"/>
      <c r="F33" s="23"/>
    </row>
    <row r="34" spans="1:6" ht="15.75" customHeight="1" x14ac:dyDescent="0.25">
      <c r="A34" s="47">
        <v>6</v>
      </c>
      <c r="B34" s="33"/>
      <c r="C34" s="23"/>
      <c r="D34" s="23"/>
      <c r="E34" s="23"/>
      <c r="F34" s="23"/>
    </row>
    <row r="35" spans="1:6" ht="15.75" customHeight="1" x14ac:dyDescent="0.25">
      <c r="A35" s="47">
        <v>7</v>
      </c>
      <c r="B35" s="33"/>
      <c r="C35" s="23"/>
      <c r="D35" s="23"/>
      <c r="E35" s="23"/>
      <c r="F35" s="23"/>
    </row>
    <row r="36" spans="1:6" x14ac:dyDescent="0.25">
      <c r="A36" s="47">
        <v>8</v>
      </c>
      <c r="B36" s="33"/>
      <c r="C36" s="23"/>
      <c r="D36" s="23"/>
      <c r="E36" s="40"/>
      <c r="F36" s="23"/>
    </row>
    <row r="37" spans="1:6" x14ac:dyDescent="0.25">
      <c r="A37" s="47">
        <v>9</v>
      </c>
      <c r="B37" s="33"/>
      <c r="C37" s="51"/>
      <c r="D37" s="58"/>
      <c r="E37" s="40"/>
      <c r="F37" s="23"/>
    </row>
  </sheetData>
  <mergeCells count="1">
    <mergeCell ref="A3:H3"/>
  </mergeCells>
  <dataValidations count="1">
    <dataValidation type="list" allowBlank="1" showInputMessage="1" showErrorMessage="1" sqref="F8:F16" xr:uid="{A7EB7178-0FDE-49F2-A413-8AFD8F55BA74}">
      <formula1>"20,40,45,50"</formula1>
    </dataValidation>
  </dataValidations>
  <pageMargins left="0.31496062992125984" right="0.31496062992125984" top="0.55118110236220474" bottom="0.35433070866141736" header="0.31496062992125984" footer="0.31496062992125984"/>
  <pageSetup paperSize="9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E415-F4BB-410F-87E8-14DB0F484F0C}">
  <dimension ref="A1:J43"/>
  <sheetViews>
    <sheetView workbookViewId="0">
      <selection activeCell="A3" sqref="A3:H3"/>
    </sheetView>
  </sheetViews>
  <sheetFormatPr baseColWidth="10" defaultRowHeight="15" x14ac:dyDescent="0.25"/>
  <cols>
    <col min="1" max="1" width="3.140625" style="26" bestFit="1" customWidth="1"/>
    <col min="2" max="2" width="14.85546875" style="26" bestFit="1" customWidth="1"/>
    <col min="3" max="3" width="19.28515625" style="26" customWidth="1"/>
    <col min="4" max="4" width="19.140625" style="26" customWidth="1"/>
    <col min="5" max="5" width="14.28515625" style="26" customWidth="1"/>
    <col min="6" max="6" width="13.85546875" style="26" bestFit="1" customWidth="1"/>
    <col min="7" max="7" width="12.140625" style="26" bestFit="1" customWidth="1"/>
    <col min="8" max="16384" width="11.42578125" style="26"/>
  </cols>
  <sheetData>
    <row r="1" spans="1:10" s="8" customFormat="1" ht="24.95" customHeight="1" x14ac:dyDescent="0.25">
      <c r="A1" s="7"/>
      <c r="H1" s="9">
        <f>COUNTIF(C8:C15,"&lt;&gt;")</f>
        <v>0</v>
      </c>
      <c r="I1" s="10" t="s">
        <v>8</v>
      </c>
    </row>
    <row r="2" spans="1:10" s="8" customFormat="1" ht="15.75" x14ac:dyDescent="0.25">
      <c r="A2" s="7"/>
      <c r="F2" s="9">
        <f>COUNTIFS(B20:B32,"&lt;&gt;",C20:C32,"VH")</f>
        <v>11</v>
      </c>
      <c r="G2" s="10" t="s">
        <v>7</v>
      </c>
      <c r="H2" s="9">
        <f>COUNTA(C20:C32)-F2</f>
        <v>2</v>
      </c>
      <c r="I2" s="10" t="s">
        <v>8</v>
      </c>
      <c r="J2" s="11">
        <f>COUNTIF(E20:E32,"VIDE")</f>
        <v>0</v>
      </c>
    </row>
    <row r="3" spans="1:10" s="8" customFormat="1" ht="25.5" x14ac:dyDescent="0.25">
      <c r="A3" s="148" t="s">
        <v>9</v>
      </c>
      <c r="B3" s="148"/>
      <c r="C3" s="148"/>
      <c r="D3" s="148"/>
      <c r="E3" s="148"/>
      <c r="F3" s="148"/>
      <c r="G3" s="148"/>
      <c r="H3" s="148"/>
    </row>
    <row r="4" spans="1:10" s="8" customFormat="1" ht="12.75" x14ac:dyDescent="0.25">
      <c r="A4" s="7"/>
    </row>
    <row r="5" spans="1:10" s="8" customFormat="1" ht="15.75" x14ac:dyDescent="0.25">
      <c r="A5" s="7"/>
      <c r="B5" s="12" t="s">
        <v>10</v>
      </c>
      <c r="G5" s="13">
        <v>46218</v>
      </c>
    </row>
    <row r="6" spans="1:10" s="8" customFormat="1" thickBot="1" x14ac:dyDescent="0.3">
      <c r="A6" s="7"/>
      <c r="B6" s="14"/>
    </row>
    <row r="7" spans="1:10" s="8" customFormat="1" thickBot="1" x14ac:dyDescent="0.3">
      <c r="A7" s="15" t="s">
        <v>11</v>
      </c>
      <c r="B7" s="16" t="s">
        <v>12</v>
      </c>
      <c r="C7" s="16" t="s">
        <v>13</v>
      </c>
      <c r="D7" s="16" t="s">
        <v>14</v>
      </c>
      <c r="E7" s="16" t="s">
        <v>15</v>
      </c>
      <c r="F7" s="17" t="s">
        <v>16</v>
      </c>
    </row>
    <row r="8" spans="1:10" ht="15.75" x14ac:dyDescent="0.25">
      <c r="A8" s="47">
        <v>1</v>
      </c>
      <c r="B8" s="54"/>
      <c r="C8" s="89"/>
      <c r="D8" s="107"/>
      <c r="E8" s="107"/>
      <c r="F8" s="54"/>
      <c r="G8" s="31"/>
    </row>
    <row r="9" spans="1:10" ht="15.75" x14ac:dyDescent="0.25">
      <c r="A9" s="47">
        <v>2</v>
      </c>
      <c r="B9" s="79"/>
      <c r="C9" s="89"/>
      <c r="D9" s="69"/>
      <c r="E9" s="51"/>
      <c r="F9" s="51"/>
      <c r="G9" s="31"/>
    </row>
    <row r="10" spans="1:10" ht="15.75" x14ac:dyDescent="0.25">
      <c r="A10" s="47">
        <v>3</v>
      </c>
      <c r="B10" s="79"/>
      <c r="C10" s="89"/>
      <c r="D10" s="51"/>
      <c r="E10" s="51"/>
      <c r="F10" s="51"/>
      <c r="G10" s="31"/>
    </row>
    <row r="11" spans="1:10" ht="15.75" x14ac:dyDescent="0.25">
      <c r="A11" s="47">
        <v>9</v>
      </c>
      <c r="B11" s="72"/>
      <c r="C11" s="89"/>
      <c r="D11" s="87"/>
      <c r="E11" s="39"/>
      <c r="F11" s="51"/>
      <c r="G11" s="31"/>
    </row>
    <row r="12" spans="1:10" ht="15.75" x14ac:dyDescent="0.25">
      <c r="A12" s="47">
        <v>10</v>
      </c>
      <c r="B12" s="79"/>
      <c r="C12" s="89"/>
      <c r="D12" s="87"/>
      <c r="E12" s="39"/>
      <c r="F12" s="51"/>
      <c r="G12" s="31"/>
    </row>
    <row r="13" spans="1:10" ht="15.75" x14ac:dyDescent="0.25">
      <c r="A13" s="47">
        <v>11</v>
      </c>
      <c r="B13" s="79"/>
      <c r="C13" s="89"/>
      <c r="D13" s="51"/>
      <c r="E13" s="39"/>
      <c r="F13" s="51"/>
      <c r="G13" s="31"/>
    </row>
    <row r="14" spans="1:10" ht="15.75" x14ac:dyDescent="0.25">
      <c r="A14" s="47">
        <v>12</v>
      </c>
      <c r="B14" s="79"/>
      <c r="C14" s="89"/>
      <c r="D14" s="51"/>
      <c r="E14" s="51"/>
      <c r="F14" s="51"/>
      <c r="G14" s="31"/>
    </row>
    <row r="15" spans="1:10" ht="15.75" x14ac:dyDescent="0.25">
      <c r="A15" s="47">
        <v>13</v>
      </c>
      <c r="B15" s="79"/>
      <c r="C15" s="89"/>
      <c r="D15" s="51"/>
      <c r="E15" s="51"/>
      <c r="F15" s="51"/>
      <c r="G15" s="31"/>
    </row>
    <row r="16" spans="1:10" ht="15.75" x14ac:dyDescent="0.25">
      <c r="A16" s="7"/>
      <c r="B16" s="31"/>
      <c r="C16" s="8"/>
      <c r="D16" s="67"/>
      <c r="E16" s="67"/>
      <c r="F16" s="67"/>
      <c r="G16" s="8"/>
    </row>
    <row r="17" spans="1:6" ht="15.75" customHeight="1" x14ac:dyDescent="0.25">
      <c r="A17" s="7"/>
      <c r="B17" s="12" t="s">
        <v>17</v>
      </c>
    </row>
    <row r="18" spans="1:6" ht="15.75" customHeight="1" thickBot="1" x14ac:dyDescent="0.3">
      <c r="A18" s="7"/>
      <c r="B18" s="14"/>
      <c r="C18" s="8"/>
      <c r="D18" s="8"/>
      <c r="E18" s="8"/>
      <c r="F18" s="8"/>
    </row>
    <row r="19" spans="1:6" ht="15.75" customHeight="1" x14ac:dyDescent="0.25">
      <c r="A19" s="15" t="s">
        <v>11</v>
      </c>
      <c r="B19" s="16" t="s">
        <v>18</v>
      </c>
      <c r="C19" s="16" t="s">
        <v>19</v>
      </c>
      <c r="D19" s="16" t="s">
        <v>14</v>
      </c>
      <c r="E19" s="16" t="s">
        <v>15</v>
      </c>
      <c r="F19" s="17" t="s">
        <v>16</v>
      </c>
    </row>
    <row r="20" spans="1:6" ht="15.75" customHeight="1" x14ac:dyDescent="0.25">
      <c r="A20" s="47">
        <v>1</v>
      </c>
      <c r="B20" s="89">
        <v>15072026</v>
      </c>
      <c r="C20" s="91" t="s">
        <v>425</v>
      </c>
      <c r="D20" s="40" t="s">
        <v>400</v>
      </c>
      <c r="E20" s="57">
        <v>3940</v>
      </c>
      <c r="F20" s="23">
        <v>40</v>
      </c>
    </row>
    <row r="21" spans="1:6" ht="15.75" customHeight="1" x14ac:dyDescent="0.25">
      <c r="A21" s="47">
        <v>2</v>
      </c>
      <c r="B21" s="89">
        <v>15072026</v>
      </c>
      <c r="C21" s="91" t="s">
        <v>426</v>
      </c>
      <c r="D21" s="51" t="s">
        <v>402</v>
      </c>
      <c r="E21" s="57">
        <v>3933</v>
      </c>
      <c r="F21" s="23">
        <v>40</v>
      </c>
    </row>
    <row r="22" spans="1:6" ht="15.75" customHeight="1" x14ac:dyDescent="0.25">
      <c r="A22" s="47">
        <v>3</v>
      </c>
      <c r="B22" s="89">
        <v>15072026</v>
      </c>
      <c r="C22" s="91" t="s">
        <v>7</v>
      </c>
      <c r="D22" s="39" t="s">
        <v>427</v>
      </c>
      <c r="E22" s="23" t="s">
        <v>430</v>
      </c>
      <c r="F22" s="23"/>
    </row>
    <row r="23" spans="1:6" ht="15.75" customHeight="1" x14ac:dyDescent="0.25">
      <c r="A23" s="47">
        <v>4</v>
      </c>
      <c r="B23" s="89">
        <v>15072026</v>
      </c>
      <c r="C23" s="91" t="s">
        <v>7</v>
      </c>
      <c r="D23" s="39" t="s">
        <v>428</v>
      </c>
      <c r="E23" s="23" t="s">
        <v>430</v>
      </c>
      <c r="F23" s="23"/>
    </row>
    <row r="24" spans="1:6" ht="15.75" customHeight="1" x14ac:dyDescent="0.25">
      <c r="A24" s="47">
        <v>5</v>
      </c>
      <c r="B24" s="89">
        <v>15072026</v>
      </c>
      <c r="C24" s="91" t="s">
        <v>7</v>
      </c>
      <c r="D24" s="39" t="s">
        <v>429</v>
      </c>
      <c r="E24" s="23" t="s">
        <v>436</v>
      </c>
      <c r="F24" s="23"/>
    </row>
    <row r="25" spans="1:6" ht="15.75" customHeight="1" x14ac:dyDescent="0.25">
      <c r="A25" s="47">
        <v>6</v>
      </c>
      <c r="B25" s="89">
        <v>15072026</v>
      </c>
      <c r="C25" s="23" t="s">
        <v>7</v>
      </c>
      <c r="D25" s="39" t="s">
        <v>431</v>
      </c>
      <c r="E25" s="23" t="s">
        <v>430</v>
      </c>
      <c r="F25" s="23"/>
    </row>
    <row r="26" spans="1:6" ht="15.75" customHeight="1" x14ac:dyDescent="0.25">
      <c r="A26" s="47">
        <v>7</v>
      </c>
      <c r="B26" s="89">
        <v>15072026</v>
      </c>
      <c r="C26" s="91" t="s">
        <v>7</v>
      </c>
      <c r="D26" s="39" t="s">
        <v>432</v>
      </c>
      <c r="E26" s="23" t="s">
        <v>430</v>
      </c>
      <c r="F26" s="23"/>
    </row>
    <row r="27" spans="1:6" ht="15.75" customHeight="1" x14ac:dyDescent="0.25">
      <c r="A27" s="47">
        <v>8</v>
      </c>
      <c r="B27" s="89">
        <v>15072026</v>
      </c>
      <c r="C27" s="91" t="s">
        <v>7</v>
      </c>
      <c r="D27" s="39" t="s">
        <v>433</v>
      </c>
      <c r="E27" s="23" t="s">
        <v>430</v>
      </c>
      <c r="F27" s="23"/>
    </row>
    <row r="28" spans="1:6" ht="15.75" customHeight="1" x14ac:dyDescent="0.25">
      <c r="A28" s="47">
        <v>9</v>
      </c>
      <c r="B28" s="89">
        <v>15072026</v>
      </c>
      <c r="C28" s="91" t="s">
        <v>7</v>
      </c>
      <c r="D28" s="39" t="s">
        <v>434</v>
      </c>
      <c r="E28" s="23" t="s">
        <v>430</v>
      </c>
      <c r="F28" s="23"/>
    </row>
    <row r="29" spans="1:6" ht="15.75" customHeight="1" x14ac:dyDescent="0.25">
      <c r="A29" s="47">
        <v>10</v>
      </c>
      <c r="B29" s="89">
        <v>15072026</v>
      </c>
      <c r="C29" s="23" t="s">
        <v>7</v>
      </c>
      <c r="D29" s="39" t="s">
        <v>435</v>
      </c>
      <c r="E29" s="23" t="s">
        <v>430</v>
      </c>
      <c r="F29" s="23"/>
    </row>
    <row r="30" spans="1:6" ht="15.75" customHeight="1" x14ac:dyDescent="0.25">
      <c r="A30" s="47">
        <v>11</v>
      </c>
      <c r="B30" s="89">
        <v>15072026</v>
      </c>
      <c r="C30" s="23" t="s">
        <v>7</v>
      </c>
      <c r="D30" s="60" t="s">
        <v>439</v>
      </c>
      <c r="E30" s="57" t="s">
        <v>348</v>
      </c>
      <c r="F30" s="23"/>
    </row>
    <row r="31" spans="1:6" ht="15.75" customHeight="1" x14ac:dyDescent="0.25">
      <c r="A31" s="47">
        <v>12</v>
      </c>
      <c r="B31" s="89">
        <v>15072026</v>
      </c>
      <c r="C31" s="23" t="s">
        <v>7</v>
      </c>
      <c r="D31" s="39" t="s">
        <v>438</v>
      </c>
      <c r="E31" s="58" t="s">
        <v>348</v>
      </c>
      <c r="F31" s="23"/>
    </row>
    <row r="32" spans="1:6" ht="15.75" customHeight="1" x14ac:dyDescent="0.25">
      <c r="A32" s="47">
        <v>13</v>
      </c>
      <c r="B32" s="89">
        <v>15072026</v>
      </c>
      <c r="C32" s="23" t="s">
        <v>7</v>
      </c>
      <c r="D32" s="39" t="s">
        <v>437</v>
      </c>
      <c r="E32" s="23" t="s">
        <v>348</v>
      </c>
      <c r="F32" s="23"/>
    </row>
    <row r="33" spans="1:6" ht="15.75" customHeight="1" x14ac:dyDescent="0.25">
      <c r="A33" s="47">
        <v>14</v>
      </c>
      <c r="B33" s="24"/>
      <c r="C33" s="23"/>
      <c r="D33" s="23"/>
      <c r="E33" s="23"/>
      <c r="F33" s="23"/>
    </row>
    <row r="34" spans="1:6" ht="15.75" customHeight="1" x14ac:dyDescent="0.25">
      <c r="A34" s="7"/>
      <c r="B34" s="46"/>
      <c r="C34" s="45"/>
      <c r="D34" s="45"/>
      <c r="E34" s="45"/>
      <c r="F34" s="45"/>
    </row>
    <row r="35" spans="1:6" ht="15.75" customHeight="1" x14ac:dyDescent="0.25"/>
    <row r="36" spans="1:6" ht="15.75" customHeight="1" x14ac:dyDescent="0.25">
      <c r="A36" s="7"/>
      <c r="B36" s="12" t="s">
        <v>20</v>
      </c>
      <c r="E36" s="8"/>
      <c r="F36" s="8"/>
    </row>
    <row r="37" spans="1:6" ht="15.75" customHeight="1" thickBot="1" x14ac:dyDescent="0.3">
      <c r="A37" s="7"/>
      <c r="B37" s="14"/>
      <c r="C37" s="8"/>
      <c r="D37" s="8"/>
      <c r="E37" s="8"/>
      <c r="F37" s="8"/>
    </row>
    <row r="38" spans="1:6" ht="15.75" customHeight="1" x14ac:dyDescent="0.25">
      <c r="A38" s="15" t="s">
        <v>11</v>
      </c>
      <c r="B38" s="16" t="s">
        <v>21</v>
      </c>
      <c r="C38" s="16" t="s">
        <v>14</v>
      </c>
      <c r="D38" s="16" t="s">
        <v>22</v>
      </c>
      <c r="E38" s="16" t="s">
        <v>23</v>
      </c>
      <c r="F38" s="17" t="s">
        <v>16</v>
      </c>
    </row>
    <row r="39" spans="1:6" ht="15.75" customHeight="1" x14ac:dyDescent="0.25">
      <c r="A39" s="47">
        <v>1</v>
      </c>
      <c r="B39" s="33"/>
      <c r="C39" s="51"/>
      <c r="D39" s="49"/>
      <c r="E39" s="23"/>
      <c r="F39" s="23"/>
    </row>
    <row r="40" spans="1:6" ht="15.75" customHeight="1" x14ac:dyDescent="0.25">
      <c r="A40" s="47">
        <v>2</v>
      </c>
      <c r="B40" s="33"/>
      <c r="C40" s="51"/>
      <c r="D40" s="39"/>
      <c r="E40" s="23"/>
      <c r="F40" s="23"/>
    </row>
    <row r="41" spans="1:6" ht="15.75" customHeight="1" x14ac:dyDescent="0.25">
      <c r="A41" s="47">
        <v>3</v>
      </c>
      <c r="B41" s="33"/>
      <c r="C41" s="40"/>
      <c r="D41" s="39"/>
      <c r="E41" s="23"/>
      <c r="F41" s="23"/>
    </row>
    <row r="42" spans="1:6" ht="15.75" customHeight="1" x14ac:dyDescent="0.25">
      <c r="A42" s="47">
        <v>4</v>
      </c>
      <c r="B42" s="33"/>
      <c r="C42" s="40"/>
      <c r="D42" s="49"/>
      <c r="E42" s="23"/>
      <c r="F42" s="23"/>
    </row>
    <row r="43" spans="1:6" ht="15.75" customHeight="1" x14ac:dyDescent="0.25">
      <c r="A43" s="47">
        <v>5</v>
      </c>
      <c r="B43" s="33"/>
      <c r="C43" s="51"/>
      <c r="D43" s="39"/>
      <c r="E43" s="23"/>
      <c r="F43" s="23"/>
    </row>
  </sheetData>
  <mergeCells count="1">
    <mergeCell ref="A3:H3"/>
  </mergeCells>
  <dataValidations count="1">
    <dataValidation type="list" allowBlank="1" showInputMessage="1" showErrorMessage="1" sqref="F8:F16" xr:uid="{563F19B5-922C-4EF7-AE53-8A6E7350B8E6}">
      <formula1>"20,40,45,50"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30D0-8B47-437B-91C6-E1A76453DBFA}">
  <dimension ref="A1:J50"/>
  <sheetViews>
    <sheetView workbookViewId="0">
      <selection activeCell="D11" sqref="D11"/>
    </sheetView>
  </sheetViews>
  <sheetFormatPr baseColWidth="10" defaultRowHeight="15" x14ac:dyDescent="0.25"/>
  <cols>
    <col min="1" max="1" width="3.140625" style="26" bestFit="1" customWidth="1"/>
    <col min="2" max="2" width="14.85546875" style="26" bestFit="1" customWidth="1"/>
    <col min="3" max="3" width="19.28515625" style="26" customWidth="1"/>
    <col min="4" max="4" width="19.140625" style="26" customWidth="1"/>
    <col min="5" max="5" width="14.28515625" style="26" customWidth="1"/>
    <col min="6" max="6" width="13.85546875" style="26" bestFit="1" customWidth="1"/>
    <col min="7" max="7" width="12.140625" style="26" bestFit="1" customWidth="1"/>
    <col min="8" max="16384" width="11.42578125" style="26"/>
  </cols>
  <sheetData>
    <row r="1" spans="1:10" s="8" customFormat="1" ht="24.95" customHeight="1" x14ac:dyDescent="0.25">
      <c r="A1" s="7"/>
      <c r="H1" s="9">
        <f>COUNTIF(C8:C19,"&lt;&gt;")</f>
        <v>8</v>
      </c>
      <c r="I1" s="10" t="s">
        <v>8</v>
      </c>
    </row>
    <row r="2" spans="1:10" s="8" customFormat="1" ht="15.75" x14ac:dyDescent="0.25">
      <c r="A2" s="7"/>
      <c r="F2" s="9">
        <f>COUNTIFS(B24:B24,"&lt;&gt;",C24:C24,"VH")</f>
        <v>0</v>
      </c>
      <c r="G2" s="10" t="s">
        <v>7</v>
      </c>
      <c r="H2" s="9">
        <f>COUNTA(C24:C26)-F2</f>
        <v>3</v>
      </c>
      <c r="I2" s="10" t="s">
        <v>8</v>
      </c>
      <c r="J2" s="11">
        <f>COUNTIF(E24:E25,"VIDE")</f>
        <v>0</v>
      </c>
    </row>
    <row r="3" spans="1:10" s="8" customFormat="1" ht="25.5" x14ac:dyDescent="0.25">
      <c r="A3" s="148" t="s">
        <v>9</v>
      </c>
      <c r="B3" s="148"/>
      <c r="C3" s="148"/>
      <c r="D3" s="148"/>
      <c r="E3" s="148"/>
      <c r="F3" s="148"/>
      <c r="G3" s="148"/>
      <c r="H3" s="148"/>
    </row>
    <row r="4" spans="1:10" s="8" customFormat="1" ht="12.75" x14ac:dyDescent="0.25">
      <c r="A4" s="7"/>
    </row>
    <row r="5" spans="1:10" s="8" customFormat="1" ht="15.75" x14ac:dyDescent="0.25">
      <c r="A5" s="7"/>
      <c r="B5" s="12" t="s">
        <v>10</v>
      </c>
      <c r="G5" s="13">
        <v>46219</v>
      </c>
    </row>
    <row r="6" spans="1:10" s="8" customFormat="1" thickBot="1" x14ac:dyDescent="0.3">
      <c r="A6" s="7"/>
      <c r="B6" s="14"/>
    </row>
    <row r="7" spans="1:10" s="8" customFormat="1" ht="14.25" x14ac:dyDescent="0.25">
      <c r="A7" s="15" t="s">
        <v>11</v>
      </c>
      <c r="B7" s="16" t="s">
        <v>12</v>
      </c>
      <c r="C7" s="16" t="s">
        <v>13</v>
      </c>
      <c r="D7" s="16" t="s">
        <v>14</v>
      </c>
      <c r="E7" s="16" t="s">
        <v>15</v>
      </c>
      <c r="F7" s="17" t="s">
        <v>16</v>
      </c>
    </row>
    <row r="8" spans="1:10" ht="16.5" customHeight="1" x14ac:dyDescent="0.25">
      <c r="A8" s="47">
        <v>1</v>
      </c>
      <c r="B8" s="156" t="s">
        <v>457</v>
      </c>
      <c r="C8" s="89">
        <v>16072026</v>
      </c>
      <c r="D8" s="111" t="s">
        <v>443</v>
      </c>
      <c r="E8" s="112" t="s">
        <v>444</v>
      </c>
      <c r="F8" s="112">
        <v>40</v>
      </c>
      <c r="G8" s="31"/>
    </row>
    <row r="9" spans="1:10" ht="15.75" customHeight="1" x14ac:dyDescent="0.25">
      <c r="A9" s="47">
        <v>2</v>
      </c>
      <c r="B9" s="156"/>
      <c r="C9" s="89">
        <v>16072026</v>
      </c>
      <c r="D9" s="112" t="s">
        <v>445</v>
      </c>
      <c r="E9" s="112" t="s">
        <v>446</v>
      </c>
      <c r="F9" s="112" t="s">
        <v>442</v>
      </c>
      <c r="G9" s="31"/>
    </row>
    <row r="10" spans="1:10" ht="15.75" x14ac:dyDescent="0.25">
      <c r="A10" s="47">
        <v>3</v>
      </c>
      <c r="B10" s="156"/>
      <c r="C10" s="89">
        <v>16072026</v>
      </c>
      <c r="D10" s="112" t="s">
        <v>447</v>
      </c>
      <c r="E10" s="112" t="s">
        <v>448</v>
      </c>
      <c r="F10" s="112" t="s">
        <v>442</v>
      </c>
      <c r="G10" s="31"/>
    </row>
    <row r="11" spans="1:10" ht="15.75" x14ac:dyDescent="0.25">
      <c r="A11" s="47">
        <v>4</v>
      </c>
      <c r="B11" s="114" t="s">
        <v>458</v>
      </c>
      <c r="C11" s="89">
        <v>16072026</v>
      </c>
      <c r="D11" s="112" t="s">
        <v>449</v>
      </c>
      <c r="E11" s="113" t="s">
        <v>450</v>
      </c>
      <c r="F11" s="112" t="s">
        <v>442</v>
      </c>
      <c r="G11" s="31"/>
    </row>
    <row r="12" spans="1:10" ht="16.5" customHeight="1" x14ac:dyDescent="0.25">
      <c r="A12" s="47">
        <v>5</v>
      </c>
      <c r="B12" s="156" t="s">
        <v>459</v>
      </c>
      <c r="C12" s="89">
        <v>16072026</v>
      </c>
      <c r="D12" s="112" t="s">
        <v>451</v>
      </c>
      <c r="E12" s="113" t="s">
        <v>452</v>
      </c>
      <c r="F12" s="112" t="s">
        <v>442</v>
      </c>
      <c r="G12" s="31"/>
    </row>
    <row r="13" spans="1:10" ht="15.75" customHeight="1" x14ac:dyDescent="0.25">
      <c r="A13" s="47">
        <v>6</v>
      </c>
      <c r="B13" s="156"/>
      <c r="C13" s="89">
        <v>16072026</v>
      </c>
      <c r="D13" s="112" t="s">
        <v>453</v>
      </c>
      <c r="E13" s="113" t="s">
        <v>454</v>
      </c>
      <c r="F13" s="112" t="s">
        <v>442</v>
      </c>
      <c r="G13" s="31"/>
    </row>
    <row r="14" spans="1:10" ht="15.75" x14ac:dyDescent="0.25">
      <c r="A14" s="47">
        <v>7</v>
      </c>
      <c r="B14" s="156"/>
      <c r="C14" s="89">
        <v>16072026</v>
      </c>
      <c r="D14" s="60" t="s">
        <v>455</v>
      </c>
      <c r="E14" s="113" t="s">
        <v>456</v>
      </c>
      <c r="F14" s="112" t="s">
        <v>442</v>
      </c>
      <c r="G14" s="31"/>
    </row>
    <row r="15" spans="1:10" ht="15.75" x14ac:dyDescent="0.25">
      <c r="A15" s="47">
        <v>8</v>
      </c>
      <c r="B15" s="72" t="s">
        <v>462</v>
      </c>
      <c r="C15" s="89">
        <v>16072026</v>
      </c>
      <c r="D15" s="115" t="s">
        <v>440</v>
      </c>
      <c r="E15" s="115" t="s">
        <v>441</v>
      </c>
      <c r="F15" s="69">
        <v>40</v>
      </c>
      <c r="G15" s="31"/>
    </row>
    <row r="16" spans="1:10" ht="15.75" x14ac:dyDescent="0.25">
      <c r="A16" s="47">
        <v>9</v>
      </c>
      <c r="B16" s="79"/>
      <c r="C16" s="89"/>
      <c r="D16" s="87"/>
      <c r="E16" s="39"/>
      <c r="F16" s="51"/>
      <c r="G16" s="31"/>
    </row>
    <row r="17" spans="1:7" ht="15.75" x14ac:dyDescent="0.25">
      <c r="A17" s="47">
        <v>10</v>
      </c>
      <c r="B17" s="79"/>
      <c r="C17" s="89"/>
      <c r="D17" s="51"/>
      <c r="E17" s="39"/>
      <c r="F17" s="51"/>
      <c r="G17" s="31"/>
    </row>
    <row r="18" spans="1:7" ht="15.75" x14ac:dyDescent="0.25">
      <c r="A18" s="47">
        <v>11</v>
      </c>
      <c r="B18" s="79"/>
      <c r="C18" s="89"/>
      <c r="D18" s="51"/>
      <c r="E18" s="51"/>
      <c r="F18" s="51"/>
      <c r="G18" s="31"/>
    </row>
    <row r="19" spans="1:7" ht="15.75" x14ac:dyDescent="0.25">
      <c r="A19" s="47">
        <v>12</v>
      </c>
      <c r="B19" s="79"/>
      <c r="C19" s="89"/>
      <c r="D19" s="51"/>
      <c r="E19" s="51"/>
      <c r="F19" s="51"/>
      <c r="G19" s="31"/>
    </row>
    <row r="20" spans="1:7" ht="15.75" x14ac:dyDescent="0.25">
      <c r="A20" s="7"/>
      <c r="B20" s="31"/>
      <c r="C20" s="8"/>
      <c r="D20" s="67"/>
      <c r="E20" s="67"/>
      <c r="F20" s="67"/>
      <c r="G20" s="8"/>
    </row>
    <row r="21" spans="1:7" ht="15.75" customHeight="1" x14ac:dyDescent="0.25">
      <c r="A21" s="7"/>
      <c r="B21" s="12" t="s">
        <v>17</v>
      </c>
    </row>
    <row r="22" spans="1:7" ht="15.75" customHeight="1" thickBot="1" x14ac:dyDescent="0.3">
      <c r="A22" s="7"/>
      <c r="B22" s="14"/>
      <c r="C22" s="8"/>
      <c r="D22" s="8"/>
      <c r="E22" s="8"/>
      <c r="F22" s="8"/>
    </row>
    <row r="23" spans="1:7" ht="15.75" customHeight="1" x14ac:dyDescent="0.25">
      <c r="A23" s="15" t="s">
        <v>11</v>
      </c>
      <c r="B23" s="16" t="s">
        <v>18</v>
      </c>
      <c r="C23" s="16" t="s">
        <v>19</v>
      </c>
      <c r="D23" s="16" t="s">
        <v>14</v>
      </c>
      <c r="E23" s="16" t="s">
        <v>15</v>
      </c>
      <c r="F23" s="17" t="s">
        <v>16</v>
      </c>
    </row>
    <row r="24" spans="1:7" ht="15.75" customHeight="1" x14ac:dyDescent="0.25">
      <c r="A24" s="47">
        <v>1</v>
      </c>
      <c r="B24" s="89">
        <v>16072026</v>
      </c>
      <c r="C24" s="91" t="s">
        <v>463</v>
      </c>
      <c r="D24" s="40" t="s">
        <v>409</v>
      </c>
      <c r="E24" s="57">
        <v>3934</v>
      </c>
      <c r="F24" s="23">
        <v>40</v>
      </c>
    </row>
    <row r="25" spans="1:7" ht="15.75" customHeight="1" x14ac:dyDescent="0.25">
      <c r="A25" s="47">
        <v>2</v>
      </c>
      <c r="B25" s="89">
        <v>16062026</v>
      </c>
      <c r="C25" s="116" t="s">
        <v>464</v>
      </c>
      <c r="D25" s="116" t="s">
        <v>423</v>
      </c>
      <c r="E25" s="116">
        <v>3922</v>
      </c>
      <c r="F25" s="23">
        <v>40</v>
      </c>
    </row>
    <row r="26" spans="1:7" ht="15.75" customHeight="1" x14ac:dyDescent="0.25">
      <c r="A26" s="47">
        <v>3</v>
      </c>
      <c r="B26" s="89">
        <v>16062026</v>
      </c>
      <c r="C26" s="116" t="s">
        <v>425</v>
      </c>
      <c r="D26" s="116" t="s">
        <v>411</v>
      </c>
      <c r="E26" s="116">
        <v>3932</v>
      </c>
      <c r="F26" s="23">
        <v>40</v>
      </c>
    </row>
    <row r="27" spans="1:7" ht="15.75" customHeight="1" x14ac:dyDescent="0.25">
      <c r="A27" s="7"/>
      <c r="B27" s="46"/>
      <c r="C27" s="45"/>
      <c r="D27" s="45"/>
      <c r="E27" s="45"/>
      <c r="F27" s="45"/>
    </row>
    <row r="28" spans="1:7" ht="15.75" customHeight="1" x14ac:dyDescent="0.25"/>
    <row r="29" spans="1:7" ht="15.75" customHeight="1" x14ac:dyDescent="0.25">
      <c r="A29" s="7"/>
      <c r="B29" s="12" t="s">
        <v>20</v>
      </c>
      <c r="E29" s="8"/>
      <c r="F29" s="8"/>
    </row>
    <row r="30" spans="1:7" ht="15.75" customHeight="1" thickBot="1" x14ac:dyDescent="0.3">
      <c r="A30" s="7"/>
      <c r="B30" s="14"/>
      <c r="C30" s="8"/>
      <c r="D30" s="8"/>
      <c r="E30" s="8"/>
      <c r="F30" s="8"/>
    </row>
    <row r="31" spans="1:7" ht="15.75" customHeight="1" x14ac:dyDescent="0.25">
      <c r="A31" s="15" t="s">
        <v>11</v>
      </c>
      <c r="B31" s="16" t="s">
        <v>21</v>
      </c>
      <c r="C31" s="16" t="s">
        <v>14</v>
      </c>
      <c r="D31" s="16" t="s">
        <v>22</v>
      </c>
      <c r="E31" s="16" t="s">
        <v>23</v>
      </c>
      <c r="F31" s="17" t="s">
        <v>16</v>
      </c>
    </row>
    <row r="32" spans="1:7" ht="15.75" customHeight="1" x14ac:dyDescent="0.25">
      <c r="A32" s="51">
        <v>1</v>
      </c>
      <c r="B32" s="33">
        <v>16062026</v>
      </c>
      <c r="C32" s="51" t="s">
        <v>352</v>
      </c>
      <c r="D32" s="39" t="s">
        <v>353</v>
      </c>
      <c r="E32" s="23">
        <v>3971</v>
      </c>
      <c r="F32" s="23">
        <v>40</v>
      </c>
    </row>
    <row r="33" spans="1:6" ht="15.75" customHeight="1" x14ac:dyDescent="0.25">
      <c r="A33" s="51">
        <v>2</v>
      </c>
      <c r="B33" s="33">
        <v>16062026</v>
      </c>
      <c r="C33" s="51" t="s">
        <v>224</v>
      </c>
      <c r="D33" s="51" t="s">
        <v>225</v>
      </c>
      <c r="E33" s="23">
        <v>3973</v>
      </c>
      <c r="F33" s="23">
        <v>40</v>
      </c>
    </row>
    <row r="34" spans="1:6" ht="15.75" customHeight="1" x14ac:dyDescent="0.25">
      <c r="A34" s="51">
        <v>3</v>
      </c>
      <c r="B34" s="33">
        <v>16062026</v>
      </c>
      <c r="C34" s="51" t="s">
        <v>224</v>
      </c>
      <c r="D34" s="51">
        <v>3973</v>
      </c>
      <c r="E34" s="23">
        <v>3974</v>
      </c>
      <c r="F34" s="23">
        <v>40</v>
      </c>
    </row>
    <row r="35" spans="1:6" ht="15.75" customHeight="1" x14ac:dyDescent="0.25">
      <c r="A35" s="51">
        <v>4</v>
      </c>
      <c r="B35" s="33">
        <v>16062026</v>
      </c>
      <c r="C35" s="40" t="s">
        <v>460</v>
      </c>
      <c r="D35" s="57" t="s">
        <v>461</v>
      </c>
      <c r="E35" s="23">
        <v>3972</v>
      </c>
      <c r="F35" s="23">
        <v>40</v>
      </c>
    </row>
    <row r="36" spans="1:6" ht="15.75" customHeight="1" x14ac:dyDescent="0.25">
      <c r="A36" s="51">
        <v>5</v>
      </c>
      <c r="B36" s="33">
        <v>16062026</v>
      </c>
      <c r="C36" s="51" t="s">
        <v>120</v>
      </c>
      <c r="D36" s="60" t="s">
        <v>140</v>
      </c>
      <c r="E36" s="40">
        <v>3852</v>
      </c>
      <c r="F36" s="23">
        <v>40</v>
      </c>
    </row>
    <row r="37" spans="1:6" ht="15.75" customHeight="1" x14ac:dyDescent="0.25">
      <c r="A37" s="51">
        <v>6</v>
      </c>
      <c r="B37" s="33">
        <v>16062026</v>
      </c>
      <c r="C37" s="60" t="s">
        <v>122</v>
      </c>
      <c r="D37" s="60" t="s">
        <v>142</v>
      </c>
      <c r="E37" s="40">
        <v>3985</v>
      </c>
      <c r="F37" s="23">
        <v>40</v>
      </c>
    </row>
    <row r="38" spans="1:6" ht="15.75" customHeight="1" x14ac:dyDescent="0.25">
      <c r="A38" s="51">
        <v>7</v>
      </c>
      <c r="B38" s="33">
        <v>16062026</v>
      </c>
      <c r="C38" s="60" t="s">
        <v>123</v>
      </c>
      <c r="D38" s="60" t="s">
        <v>162</v>
      </c>
      <c r="E38" s="40">
        <v>3853</v>
      </c>
      <c r="F38" s="23">
        <v>40</v>
      </c>
    </row>
    <row r="39" spans="1:6" ht="15.75" customHeight="1" x14ac:dyDescent="0.25">
      <c r="A39" s="51">
        <v>8</v>
      </c>
      <c r="B39" s="33">
        <v>16062026</v>
      </c>
      <c r="C39" s="40" t="s">
        <v>124</v>
      </c>
      <c r="D39" s="40" t="s">
        <v>143</v>
      </c>
      <c r="E39" s="40">
        <v>3857</v>
      </c>
      <c r="F39" s="23">
        <v>40</v>
      </c>
    </row>
    <row r="40" spans="1:6" ht="15.75" customHeight="1" x14ac:dyDescent="0.25">
      <c r="A40" s="51">
        <v>9</v>
      </c>
      <c r="B40" s="33">
        <v>16062026</v>
      </c>
      <c r="C40" s="40" t="s">
        <v>125</v>
      </c>
      <c r="D40" s="40" t="s">
        <v>144</v>
      </c>
      <c r="E40" s="40">
        <v>3980</v>
      </c>
      <c r="F40" s="23">
        <v>40</v>
      </c>
    </row>
    <row r="41" spans="1:6" ht="15.75" customHeight="1" x14ac:dyDescent="0.25">
      <c r="A41" s="51">
        <v>10</v>
      </c>
      <c r="B41" s="33">
        <v>16062026</v>
      </c>
      <c r="C41" s="40" t="s">
        <v>126</v>
      </c>
      <c r="D41" s="40" t="s">
        <v>145</v>
      </c>
      <c r="E41" s="40">
        <v>3855</v>
      </c>
      <c r="F41" s="23">
        <v>40</v>
      </c>
    </row>
    <row r="42" spans="1:6" ht="15.75" customHeight="1" x14ac:dyDescent="0.25">
      <c r="A42" s="51">
        <v>11</v>
      </c>
      <c r="B42" s="33">
        <v>16062026</v>
      </c>
      <c r="C42" s="40" t="s">
        <v>127</v>
      </c>
      <c r="D42" s="40" t="s">
        <v>146</v>
      </c>
      <c r="E42" s="40">
        <v>3977</v>
      </c>
      <c r="F42" s="23">
        <v>40</v>
      </c>
    </row>
    <row r="43" spans="1:6" ht="15.75" customHeight="1" x14ac:dyDescent="0.25">
      <c r="A43" s="51">
        <v>12</v>
      </c>
      <c r="B43" s="33">
        <v>16062026</v>
      </c>
      <c r="C43" s="40" t="s">
        <v>128</v>
      </c>
      <c r="D43" s="40" t="s">
        <v>147</v>
      </c>
      <c r="E43" s="40">
        <v>3975</v>
      </c>
      <c r="F43" s="23">
        <v>40</v>
      </c>
    </row>
    <row r="44" spans="1:6" ht="15.75" customHeight="1" x14ac:dyDescent="0.25">
      <c r="A44" s="51">
        <v>13</v>
      </c>
      <c r="B44" s="33">
        <v>16062026</v>
      </c>
      <c r="C44" s="60" t="s">
        <v>129</v>
      </c>
      <c r="D44" s="60" t="s">
        <v>148</v>
      </c>
      <c r="E44" s="40">
        <v>3859</v>
      </c>
      <c r="F44" s="23">
        <v>40</v>
      </c>
    </row>
    <row r="45" spans="1:6" ht="15.75" customHeight="1" x14ac:dyDescent="0.25">
      <c r="A45" s="51">
        <v>14</v>
      </c>
      <c r="B45" s="33">
        <v>16062026</v>
      </c>
      <c r="C45" s="60" t="s">
        <v>130</v>
      </c>
      <c r="D45" s="60" t="s">
        <v>149</v>
      </c>
      <c r="E45" s="40">
        <v>3856</v>
      </c>
      <c r="F45" s="23">
        <v>40</v>
      </c>
    </row>
    <row r="46" spans="1:6" ht="15.75" customHeight="1" x14ac:dyDescent="0.25">
      <c r="A46" s="51">
        <v>15</v>
      </c>
      <c r="B46" s="33">
        <v>16062026</v>
      </c>
      <c r="C46" s="60" t="s">
        <v>131</v>
      </c>
      <c r="D46" s="60">
        <v>260056887</v>
      </c>
      <c r="E46" s="40">
        <v>3854</v>
      </c>
      <c r="F46" s="23">
        <v>40</v>
      </c>
    </row>
    <row r="47" spans="1:6" ht="15.75" customHeight="1" x14ac:dyDescent="0.25">
      <c r="A47" s="51">
        <v>16</v>
      </c>
      <c r="B47" s="33">
        <v>16062026</v>
      </c>
      <c r="C47" s="60" t="s">
        <v>132</v>
      </c>
      <c r="D47" s="60" t="s">
        <v>151</v>
      </c>
      <c r="E47" s="40">
        <v>3860</v>
      </c>
      <c r="F47" s="23">
        <v>40</v>
      </c>
    </row>
    <row r="48" spans="1:6" x14ac:dyDescent="0.25">
      <c r="A48" s="51">
        <v>17</v>
      </c>
      <c r="B48" s="33">
        <v>16062026</v>
      </c>
      <c r="C48" s="60" t="s">
        <v>133</v>
      </c>
      <c r="D48" s="60" t="s">
        <v>152</v>
      </c>
      <c r="E48" s="40">
        <v>3976</v>
      </c>
      <c r="F48" s="23">
        <v>40</v>
      </c>
    </row>
    <row r="49" spans="1:6" x14ac:dyDescent="0.25">
      <c r="A49" s="51">
        <v>18</v>
      </c>
      <c r="B49" s="33">
        <v>16062026</v>
      </c>
      <c r="C49" s="60" t="s">
        <v>134</v>
      </c>
      <c r="D49" s="60" t="s">
        <v>161</v>
      </c>
      <c r="E49" s="40">
        <v>3978</v>
      </c>
      <c r="F49" s="23">
        <v>40</v>
      </c>
    </row>
    <row r="50" spans="1:6" x14ac:dyDescent="0.25">
      <c r="A50" s="51">
        <v>19</v>
      </c>
      <c r="B50" s="33">
        <v>16062026</v>
      </c>
      <c r="C50" s="60" t="s">
        <v>121</v>
      </c>
      <c r="D50" s="60" t="s">
        <v>141</v>
      </c>
      <c r="E50" s="40">
        <v>3979</v>
      </c>
      <c r="F50" s="23">
        <v>40</v>
      </c>
    </row>
  </sheetData>
  <mergeCells count="3">
    <mergeCell ref="A3:H3"/>
    <mergeCell ref="B8:B10"/>
    <mergeCell ref="B12:B14"/>
  </mergeCells>
  <dataValidations count="2">
    <dataValidation type="list" allowBlank="1" showInputMessage="1" showErrorMessage="1" sqref="F16:F20" xr:uid="{1F28965F-F8D6-413E-895D-3319F1545D65}">
      <formula1>"20,40,45,50"</formula1>
    </dataValidation>
    <dataValidation type="list" allowBlank="1" showInputMessage="1" showErrorMessage="1" sqref="F8:F14" xr:uid="{E0CCABDD-6813-424C-9293-8DD358201B4E}">
      <formula1>"20,40,45,50"</formula1>
      <formula2>0</formula2>
    </dataValidation>
  </dataValidations>
  <pageMargins left="0.31496062992125984" right="0.31496062992125984" top="0.55118110236220474" bottom="0.35433070866141736" header="0.31496062992125984" footer="0.31496062992125984"/>
  <pageSetup paperSize="9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575D3-5DE0-4732-A902-EF7AB2D8DD38}">
  <dimension ref="A1:J47"/>
  <sheetViews>
    <sheetView workbookViewId="0">
      <selection activeCell="F40" sqref="F40"/>
    </sheetView>
  </sheetViews>
  <sheetFormatPr baseColWidth="10" defaultRowHeight="15" x14ac:dyDescent="0.25"/>
  <cols>
    <col min="1" max="1" width="3.140625" style="26" bestFit="1" customWidth="1"/>
    <col min="2" max="2" width="15.5703125" style="26" bestFit="1" customWidth="1"/>
    <col min="3" max="3" width="19.28515625" style="26" customWidth="1"/>
    <col min="4" max="4" width="19.140625" style="26" customWidth="1"/>
    <col min="5" max="5" width="14.28515625" style="26" customWidth="1"/>
    <col min="6" max="6" width="13.85546875" style="26" bestFit="1" customWidth="1"/>
    <col min="7" max="7" width="12.140625" style="26" bestFit="1" customWidth="1"/>
    <col min="8" max="16384" width="11.42578125" style="26"/>
  </cols>
  <sheetData>
    <row r="1" spans="1:10" s="8" customFormat="1" ht="24.95" customHeight="1" x14ac:dyDescent="0.25">
      <c r="A1" s="7"/>
      <c r="H1" s="9">
        <f>COUNTIF(C8:C14,"&lt;&gt;")</f>
        <v>0</v>
      </c>
      <c r="I1" s="10" t="s">
        <v>8</v>
      </c>
    </row>
    <row r="2" spans="1:10" s="8" customFormat="1" ht="15.75" x14ac:dyDescent="0.25">
      <c r="A2" s="7"/>
      <c r="F2" s="9">
        <f>COUNTIFS(B19:B19,"&lt;&gt;",C19:C19,"VH")</f>
        <v>0</v>
      </c>
      <c r="G2" s="10" t="s">
        <v>7</v>
      </c>
      <c r="H2" s="9">
        <f>COUNTA(C19:C23)-F2</f>
        <v>5</v>
      </c>
      <c r="I2" s="10" t="s">
        <v>8</v>
      </c>
      <c r="J2" s="11">
        <f>COUNTIF(E19:E20,"VIDE")</f>
        <v>0</v>
      </c>
    </row>
    <row r="3" spans="1:10" s="8" customFormat="1" ht="25.5" x14ac:dyDescent="0.25">
      <c r="A3" s="148" t="s">
        <v>9</v>
      </c>
      <c r="B3" s="148"/>
      <c r="C3" s="148"/>
      <c r="D3" s="148"/>
      <c r="E3" s="148"/>
      <c r="F3" s="148"/>
      <c r="G3" s="148"/>
      <c r="H3" s="148"/>
    </row>
    <row r="4" spans="1:10" s="8" customFormat="1" ht="12.75" x14ac:dyDescent="0.25">
      <c r="A4" s="7"/>
    </row>
    <row r="5" spans="1:10" s="8" customFormat="1" ht="15.75" x14ac:dyDescent="0.25">
      <c r="A5" s="7"/>
      <c r="B5" s="12" t="s">
        <v>10</v>
      </c>
      <c r="G5" s="13">
        <v>46222</v>
      </c>
    </row>
    <row r="6" spans="1:10" s="8" customFormat="1" thickBot="1" x14ac:dyDescent="0.3">
      <c r="A6" s="7"/>
      <c r="B6" s="14"/>
    </row>
    <row r="7" spans="1:10" s="8" customFormat="1" ht="14.25" x14ac:dyDescent="0.25">
      <c r="A7" s="15" t="s">
        <v>11</v>
      </c>
      <c r="B7" s="16" t="s">
        <v>12</v>
      </c>
      <c r="C7" s="16" t="s">
        <v>13</v>
      </c>
      <c r="D7" s="16" t="s">
        <v>14</v>
      </c>
      <c r="E7" s="16" t="s">
        <v>15</v>
      </c>
      <c r="F7" s="17" t="s">
        <v>16</v>
      </c>
    </row>
    <row r="8" spans="1:10" ht="16.5" customHeight="1" x14ac:dyDescent="0.25">
      <c r="A8" s="47">
        <v>1</v>
      </c>
      <c r="B8" s="120"/>
      <c r="C8" s="89"/>
      <c r="D8" s="111"/>
      <c r="E8" s="112"/>
      <c r="F8" s="112"/>
      <c r="G8" s="31"/>
    </row>
    <row r="9" spans="1:10" ht="15.75" customHeight="1" x14ac:dyDescent="0.25">
      <c r="A9" s="47">
        <v>2</v>
      </c>
      <c r="B9" s="120"/>
      <c r="C9" s="89"/>
      <c r="D9" s="112"/>
      <c r="E9" s="112"/>
      <c r="F9" s="112"/>
      <c r="G9" s="31"/>
    </row>
    <row r="10" spans="1:10" ht="15.75" x14ac:dyDescent="0.25">
      <c r="A10" s="47">
        <v>3</v>
      </c>
      <c r="B10" s="120"/>
      <c r="C10" s="89"/>
      <c r="D10" s="112"/>
      <c r="E10" s="112"/>
      <c r="F10" s="112"/>
      <c r="G10" s="31"/>
    </row>
    <row r="11" spans="1:10" ht="15.75" x14ac:dyDescent="0.25">
      <c r="A11" s="47">
        <v>4</v>
      </c>
      <c r="B11" s="114"/>
      <c r="C11" s="89"/>
      <c r="D11" s="112"/>
      <c r="E11" s="113"/>
      <c r="F11" s="112"/>
      <c r="G11" s="31"/>
    </row>
    <row r="12" spans="1:10" ht="16.5" customHeight="1" x14ac:dyDescent="0.25">
      <c r="A12" s="47">
        <v>5</v>
      </c>
      <c r="B12" s="120"/>
      <c r="C12" s="89"/>
      <c r="D12" s="112"/>
      <c r="E12" s="113"/>
      <c r="F12" s="112"/>
      <c r="G12" s="31"/>
    </row>
    <row r="13" spans="1:10" ht="15.75" customHeight="1" x14ac:dyDescent="0.25">
      <c r="A13" s="47">
        <v>6</v>
      </c>
      <c r="B13" s="120"/>
      <c r="C13" s="89"/>
      <c r="D13" s="112"/>
      <c r="E13" s="113"/>
      <c r="F13" s="112"/>
      <c r="G13" s="31"/>
    </row>
    <row r="14" spans="1:10" ht="15.75" x14ac:dyDescent="0.25">
      <c r="A14" s="47">
        <v>7</v>
      </c>
      <c r="B14" s="120"/>
      <c r="C14" s="89"/>
      <c r="D14" s="60"/>
      <c r="E14" s="113"/>
      <c r="F14" s="112"/>
      <c r="G14" s="31"/>
    </row>
    <row r="15" spans="1:10" ht="15.75" x14ac:dyDescent="0.25">
      <c r="A15" s="7"/>
      <c r="B15" s="31"/>
      <c r="C15" s="8"/>
      <c r="D15" s="67"/>
      <c r="E15" s="67"/>
      <c r="F15" s="67"/>
      <c r="G15" s="8"/>
    </row>
    <row r="16" spans="1:10" ht="15.75" customHeight="1" x14ac:dyDescent="0.25">
      <c r="A16" s="7"/>
      <c r="B16" s="12" t="s">
        <v>17</v>
      </c>
    </row>
    <row r="17" spans="1:6" ht="15.75" customHeight="1" thickBot="1" x14ac:dyDescent="0.3">
      <c r="A17" s="7"/>
      <c r="B17" s="14"/>
      <c r="C17" s="8"/>
      <c r="D17" s="8"/>
      <c r="E17" s="8"/>
      <c r="F17" s="8"/>
    </row>
    <row r="18" spans="1:6" ht="15.75" customHeight="1" x14ac:dyDescent="0.25">
      <c r="A18" s="15" t="s">
        <v>11</v>
      </c>
      <c r="B18" s="16" t="s">
        <v>18</v>
      </c>
      <c r="C18" s="16" t="s">
        <v>19</v>
      </c>
      <c r="D18" s="16" t="s">
        <v>14</v>
      </c>
      <c r="E18" s="16" t="s">
        <v>15</v>
      </c>
      <c r="F18" s="17" t="s">
        <v>16</v>
      </c>
    </row>
    <row r="19" spans="1:6" ht="15.75" customHeight="1" x14ac:dyDescent="0.25">
      <c r="A19" s="51">
        <v>1</v>
      </c>
      <c r="B19" s="117">
        <v>19072026</v>
      </c>
      <c r="C19" s="118" t="s">
        <v>465</v>
      </c>
      <c r="D19" s="51" t="s">
        <v>352</v>
      </c>
      <c r="E19" s="87">
        <v>3971</v>
      </c>
      <c r="F19" s="119">
        <v>40</v>
      </c>
    </row>
    <row r="20" spans="1:6" ht="15.75" customHeight="1" x14ac:dyDescent="0.25">
      <c r="A20" s="51">
        <v>2</v>
      </c>
      <c r="B20" s="117">
        <v>19072026</v>
      </c>
      <c r="C20" s="116" t="s">
        <v>467</v>
      </c>
      <c r="D20" s="51" t="s">
        <v>413</v>
      </c>
      <c r="E20" s="116">
        <v>3935</v>
      </c>
      <c r="F20" s="119">
        <v>20</v>
      </c>
    </row>
    <row r="21" spans="1:6" ht="15.75" customHeight="1" x14ac:dyDescent="0.25">
      <c r="A21" s="51">
        <v>3</v>
      </c>
      <c r="B21" s="117">
        <v>19072026</v>
      </c>
      <c r="C21" s="116" t="s">
        <v>466</v>
      </c>
      <c r="D21" s="40" t="s">
        <v>415</v>
      </c>
      <c r="E21" s="116">
        <v>3939</v>
      </c>
      <c r="F21" s="119">
        <v>20</v>
      </c>
    </row>
    <row r="22" spans="1:6" ht="15.75" customHeight="1" x14ac:dyDescent="0.25">
      <c r="A22" s="51">
        <v>4</v>
      </c>
      <c r="B22" s="117">
        <v>19072026</v>
      </c>
      <c r="C22" s="116" t="s">
        <v>468</v>
      </c>
      <c r="D22" s="40" t="s">
        <v>405</v>
      </c>
      <c r="E22" s="116">
        <v>3937</v>
      </c>
      <c r="F22" s="119">
        <v>40</v>
      </c>
    </row>
    <row r="23" spans="1:6" ht="15.75" customHeight="1" x14ac:dyDescent="0.25">
      <c r="A23" s="51">
        <v>5</v>
      </c>
      <c r="B23" s="117">
        <v>19072026</v>
      </c>
      <c r="C23" s="116" t="s">
        <v>469</v>
      </c>
      <c r="D23" s="116" t="s">
        <v>407</v>
      </c>
      <c r="E23" s="116">
        <v>3936</v>
      </c>
      <c r="F23" s="119">
        <v>40</v>
      </c>
    </row>
    <row r="24" spans="1:6" ht="15.75" customHeight="1" x14ac:dyDescent="0.25">
      <c r="A24" s="7"/>
      <c r="B24" s="46"/>
      <c r="D24" s="45"/>
      <c r="E24" s="45"/>
      <c r="F24" s="45"/>
    </row>
    <row r="25" spans="1:6" ht="15.75" customHeight="1" x14ac:dyDescent="0.25"/>
    <row r="26" spans="1:6" ht="15.75" customHeight="1" x14ac:dyDescent="0.25">
      <c r="A26" s="7"/>
      <c r="B26" s="12" t="s">
        <v>20</v>
      </c>
      <c r="E26" s="8"/>
      <c r="F26" s="8"/>
    </row>
    <row r="27" spans="1:6" ht="15.75" customHeight="1" thickBot="1" x14ac:dyDescent="0.3">
      <c r="A27" s="7"/>
      <c r="B27" s="14"/>
      <c r="C27" s="8"/>
      <c r="D27" s="8"/>
      <c r="E27" s="8"/>
      <c r="F27" s="8"/>
    </row>
    <row r="28" spans="1:6" ht="15.75" customHeight="1" x14ac:dyDescent="0.25">
      <c r="A28" s="15" t="s">
        <v>11</v>
      </c>
      <c r="B28" s="16" t="s">
        <v>21</v>
      </c>
      <c r="C28" s="16" t="s">
        <v>14</v>
      </c>
      <c r="D28" s="16" t="s">
        <v>22</v>
      </c>
      <c r="E28" s="16" t="s">
        <v>23</v>
      </c>
      <c r="F28" s="17" t="s">
        <v>16</v>
      </c>
    </row>
    <row r="29" spans="1:6" ht="15.75" customHeight="1" x14ac:dyDescent="0.25">
      <c r="A29" s="51">
        <v>1</v>
      </c>
      <c r="B29" s="117">
        <v>19072026</v>
      </c>
      <c r="C29" s="51" t="s">
        <v>470</v>
      </c>
      <c r="D29" s="39">
        <v>306831</v>
      </c>
      <c r="E29" s="23">
        <v>3945</v>
      </c>
      <c r="F29" s="23">
        <v>20</v>
      </c>
    </row>
    <row r="30" spans="1:6" ht="15.75" customHeight="1" x14ac:dyDescent="0.25">
      <c r="A30" s="51">
        <v>2</v>
      </c>
      <c r="B30" s="117">
        <v>19072026</v>
      </c>
      <c r="C30" s="51" t="s">
        <v>120</v>
      </c>
      <c r="D30" s="40">
        <v>3852</v>
      </c>
      <c r="E30" s="23">
        <v>3981</v>
      </c>
      <c r="F30" s="23">
        <v>40</v>
      </c>
    </row>
    <row r="31" spans="1:6" ht="15.75" customHeight="1" x14ac:dyDescent="0.25">
      <c r="A31" s="51">
        <v>3</v>
      </c>
      <c r="B31" s="117">
        <v>19072026</v>
      </c>
      <c r="C31" s="60" t="s">
        <v>122</v>
      </c>
      <c r="D31" s="40">
        <v>3985</v>
      </c>
      <c r="E31" s="23">
        <v>3950</v>
      </c>
      <c r="F31" s="23">
        <v>40</v>
      </c>
    </row>
    <row r="32" spans="1:6" ht="15.75" customHeight="1" x14ac:dyDescent="0.25">
      <c r="A32" s="51">
        <v>4</v>
      </c>
      <c r="B32" s="117">
        <v>19072026</v>
      </c>
      <c r="C32" s="60" t="s">
        <v>123</v>
      </c>
      <c r="D32" s="40">
        <v>3853</v>
      </c>
      <c r="E32" s="23">
        <v>3982</v>
      </c>
      <c r="F32" s="23">
        <v>40</v>
      </c>
    </row>
    <row r="33" spans="1:6" ht="15.75" customHeight="1" x14ac:dyDescent="0.25">
      <c r="A33" s="51">
        <v>5</v>
      </c>
      <c r="B33" s="117">
        <v>19072026</v>
      </c>
      <c r="C33" s="40" t="s">
        <v>124</v>
      </c>
      <c r="D33" s="40">
        <v>3857</v>
      </c>
      <c r="E33" s="40">
        <v>3949</v>
      </c>
      <c r="F33" s="23">
        <v>40</v>
      </c>
    </row>
    <row r="34" spans="1:6" ht="15.75" customHeight="1" x14ac:dyDescent="0.25">
      <c r="A34" s="51">
        <v>6</v>
      </c>
      <c r="B34" s="117">
        <v>19072026</v>
      </c>
      <c r="C34" s="40" t="s">
        <v>125</v>
      </c>
      <c r="D34" s="40">
        <v>3980</v>
      </c>
      <c r="E34" s="40">
        <v>3984</v>
      </c>
      <c r="F34" s="23">
        <v>40</v>
      </c>
    </row>
    <row r="35" spans="1:6" ht="15.75" customHeight="1" x14ac:dyDescent="0.25">
      <c r="A35" s="51">
        <v>7</v>
      </c>
      <c r="B35" s="117">
        <v>19072026</v>
      </c>
      <c r="C35" s="40" t="s">
        <v>126</v>
      </c>
      <c r="D35" s="40">
        <v>3855</v>
      </c>
      <c r="E35" s="40">
        <v>3947</v>
      </c>
      <c r="F35" s="23">
        <v>40</v>
      </c>
    </row>
    <row r="36" spans="1:6" ht="15.75" customHeight="1" x14ac:dyDescent="0.25">
      <c r="A36" s="51">
        <v>8</v>
      </c>
      <c r="B36" s="117">
        <v>19072026</v>
      </c>
      <c r="C36" s="40" t="s">
        <v>127</v>
      </c>
      <c r="D36" s="40">
        <v>3977</v>
      </c>
      <c r="E36" s="40">
        <v>3987</v>
      </c>
      <c r="F36" s="23">
        <v>40</v>
      </c>
    </row>
    <row r="37" spans="1:6" ht="15.75" customHeight="1" x14ac:dyDescent="0.25">
      <c r="A37" s="51">
        <v>9</v>
      </c>
      <c r="B37" s="117">
        <v>19072026</v>
      </c>
      <c r="C37" s="40" t="s">
        <v>128</v>
      </c>
      <c r="D37" s="40">
        <v>3975</v>
      </c>
      <c r="E37" s="40">
        <v>3988</v>
      </c>
      <c r="F37" s="23">
        <v>40</v>
      </c>
    </row>
    <row r="38" spans="1:6" ht="15.75" customHeight="1" x14ac:dyDescent="0.25">
      <c r="A38" s="51">
        <v>10</v>
      </c>
      <c r="B38" s="117">
        <v>19072026</v>
      </c>
      <c r="C38" s="60" t="s">
        <v>129</v>
      </c>
      <c r="D38" s="40">
        <v>3859</v>
      </c>
      <c r="E38" s="40">
        <v>3986</v>
      </c>
      <c r="F38" s="23">
        <v>40</v>
      </c>
    </row>
    <row r="39" spans="1:6" ht="15.75" customHeight="1" x14ac:dyDescent="0.25">
      <c r="A39" s="51">
        <v>11</v>
      </c>
      <c r="B39" s="117">
        <v>19072026</v>
      </c>
      <c r="C39" s="60" t="s">
        <v>130</v>
      </c>
      <c r="D39" s="40">
        <v>3856</v>
      </c>
      <c r="E39" s="40">
        <v>3948</v>
      </c>
      <c r="F39" s="23">
        <v>40</v>
      </c>
    </row>
    <row r="40" spans="1:6" ht="15.75" customHeight="1" x14ac:dyDescent="0.25">
      <c r="A40" s="51">
        <v>12</v>
      </c>
      <c r="B40" s="117">
        <v>19072026</v>
      </c>
      <c r="C40" s="60" t="s">
        <v>131</v>
      </c>
      <c r="D40" s="40">
        <v>3854</v>
      </c>
      <c r="E40" s="40">
        <v>3946</v>
      </c>
      <c r="F40" s="23">
        <v>40</v>
      </c>
    </row>
    <row r="41" spans="1:6" ht="15.75" customHeight="1" x14ac:dyDescent="0.25">
      <c r="A41" s="51">
        <v>13</v>
      </c>
      <c r="B41" s="117">
        <v>19072026</v>
      </c>
      <c r="C41" s="60" t="s">
        <v>132</v>
      </c>
      <c r="D41" s="40">
        <v>3860</v>
      </c>
      <c r="E41" s="40">
        <v>3985</v>
      </c>
      <c r="F41" s="23">
        <v>40</v>
      </c>
    </row>
    <row r="42" spans="1:6" ht="15.75" customHeight="1" x14ac:dyDescent="0.25">
      <c r="A42" s="51">
        <v>14</v>
      </c>
      <c r="B42" s="117">
        <v>19072026</v>
      </c>
      <c r="C42" s="60" t="s">
        <v>133</v>
      </c>
      <c r="D42" s="40">
        <v>3976</v>
      </c>
      <c r="E42" s="40">
        <v>3990</v>
      </c>
      <c r="F42" s="23">
        <v>40</v>
      </c>
    </row>
    <row r="43" spans="1:6" ht="15.75" customHeight="1" x14ac:dyDescent="0.25">
      <c r="A43" s="51">
        <v>15</v>
      </c>
      <c r="B43" s="117">
        <v>19072026</v>
      </c>
      <c r="C43" s="60" t="s">
        <v>134</v>
      </c>
      <c r="D43" s="40">
        <v>3978</v>
      </c>
      <c r="E43" s="40">
        <v>3989</v>
      </c>
      <c r="F43" s="23">
        <v>40</v>
      </c>
    </row>
    <row r="44" spans="1:6" ht="15.75" customHeight="1" x14ac:dyDescent="0.25">
      <c r="A44" s="51">
        <v>16</v>
      </c>
      <c r="B44" s="117">
        <v>19072026</v>
      </c>
      <c r="C44" s="60" t="s">
        <v>121</v>
      </c>
      <c r="D44" s="40">
        <v>3979</v>
      </c>
      <c r="E44" s="40">
        <v>3983</v>
      </c>
      <c r="F44" s="23">
        <v>40</v>
      </c>
    </row>
    <row r="45" spans="1:6" x14ac:dyDescent="0.25">
      <c r="A45" s="51"/>
      <c r="B45" s="33"/>
      <c r="C45" s="60"/>
      <c r="D45" s="60"/>
      <c r="E45" s="40"/>
      <c r="F45" s="23"/>
    </row>
    <row r="46" spans="1:6" x14ac:dyDescent="0.25">
      <c r="A46" s="51"/>
      <c r="B46" s="33"/>
      <c r="C46" s="60"/>
      <c r="D46" s="60"/>
      <c r="E46" s="40"/>
      <c r="F46" s="23"/>
    </row>
    <row r="47" spans="1:6" x14ac:dyDescent="0.25">
      <c r="A47" s="51"/>
      <c r="B47" s="33"/>
      <c r="C47" s="60"/>
      <c r="D47" s="60"/>
      <c r="E47" s="40"/>
      <c r="F47" s="23"/>
    </row>
  </sheetData>
  <mergeCells count="1">
    <mergeCell ref="A3:H3"/>
  </mergeCells>
  <dataValidations count="2">
    <dataValidation type="list" allowBlank="1" showInputMessage="1" showErrorMessage="1" sqref="F8:F14" xr:uid="{08CB0CC5-9D2D-41AC-8E2A-92F5A890E50B}">
      <formula1>"20,40,45,50"</formula1>
      <formula2>0</formula2>
    </dataValidation>
    <dataValidation type="list" allowBlank="1" showInputMessage="1" showErrorMessage="1" sqref="F15" xr:uid="{2BE7CFCE-5D76-4581-BEEF-22C2049D2325}">
      <formula1>"20,40,45,50"</formula1>
    </dataValidation>
  </dataValidations>
  <pageMargins left="0.31496062992125984" right="0.31496062992125984" top="0.74803149606299213" bottom="0.55118110236220474" header="0.31496062992125984" footer="0.31496062992125984"/>
  <pageSetup paperSize="9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10D42-9323-4BAF-9BCD-CEB5A0CA4574}">
  <dimension ref="A1:J37"/>
  <sheetViews>
    <sheetView workbookViewId="0">
      <selection activeCell="D16" sqref="D16:E17"/>
    </sheetView>
  </sheetViews>
  <sheetFormatPr baseColWidth="10" defaultRowHeight="15" x14ac:dyDescent="0.25"/>
  <cols>
    <col min="1" max="1" width="3.140625" style="26" bestFit="1" customWidth="1"/>
    <col min="2" max="2" width="15.5703125" style="26" bestFit="1" customWidth="1"/>
    <col min="3" max="3" width="19.28515625" style="26" customWidth="1"/>
    <col min="4" max="4" width="19.140625" style="26" customWidth="1"/>
    <col min="5" max="5" width="14.28515625" style="26" customWidth="1"/>
    <col min="6" max="6" width="13.85546875" style="26" bestFit="1" customWidth="1"/>
    <col min="7" max="7" width="12.140625" style="26" bestFit="1" customWidth="1"/>
    <col min="8" max="16384" width="11.42578125" style="26"/>
  </cols>
  <sheetData>
    <row r="1" spans="1:10" s="8" customFormat="1" ht="24.95" customHeight="1" x14ac:dyDescent="0.25">
      <c r="A1" s="7"/>
      <c r="H1" s="9">
        <f>COUNTIF(C8:C19,"&lt;&gt;")</f>
        <v>10</v>
      </c>
      <c r="I1" s="10" t="s">
        <v>8</v>
      </c>
    </row>
    <row r="2" spans="1:10" s="8" customFormat="1" ht="15.75" x14ac:dyDescent="0.25">
      <c r="A2" s="7"/>
      <c r="F2" s="9">
        <f>COUNTIFS(B24:B24,"&lt;&gt;",C24:C24,"VH")</f>
        <v>0</v>
      </c>
      <c r="G2" s="10" t="s">
        <v>7</v>
      </c>
      <c r="H2" s="9">
        <f>COUNTA(C24:C26)-F2</f>
        <v>0</v>
      </c>
      <c r="I2" s="10" t="s">
        <v>8</v>
      </c>
      <c r="J2" s="11">
        <f>COUNTIF(E24:E25,"VIDE")</f>
        <v>0</v>
      </c>
    </row>
    <row r="3" spans="1:10" s="8" customFormat="1" ht="25.5" x14ac:dyDescent="0.25">
      <c r="A3" s="148" t="s">
        <v>9</v>
      </c>
      <c r="B3" s="148"/>
      <c r="C3" s="148"/>
      <c r="D3" s="148"/>
      <c r="E3" s="148"/>
      <c r="F3" s="148"/>
      <c r="G3" s="148"/>
      <c r="H3" s="148"/>
    </row>
    <row r="4" spans="1:10" s="8" customFormat="1" ht="12.75" x14ac:dyDescent="0.25">
      <c r="A4" s="7"/>
    </row>
    <row r="5" spans="1:10" s="8" customFormat="1" ht="15.75" x14ac:dyDescent="0.25">
      <c r="A5" s="7"/>
      <c r="B5" s="12" t="s">
        <v>10</v>
      </c>
      <c r="G5" s="13">
        <v>46223</v>
      </c>
    </row>
    <row r="6" spans="1:10" s="8" customFormat="1" thickBot="1" x14ac:dyDescent="0.3">
      <c r="A6" s="7"/>
      <c r="B6" s="14"/>
    </row>
    <row r="7" spans="1:10" s="8" customFormat="1" ht="14.25" x14ac:dyDescent="0.25">
      <c r="A7" s="15" t="s">
        <v>11</v>
      </c>
      <c r="B7" s="16" t="s">
        <v>12</v>
      </c>
      <c r="C7" s="16" t="s">
        <v>13</v>
      </c>
      <c r="D7" s="16" t="s">
        <v>14</v>
      </c>
      <c r="E7" s="16" t="s">
        <v>15</v>
      </c>
      <c r="F7" s="17" t="s">
        <v>16</v>
      </c>
    </row>
    <row r="8" spans="1:10" ht="16.5" customHeight="1" x14ac:dyDescent="0.25">
      <c r="A8" s="47">
        <v>1</v>
      </c>
      <c r="B8" s="112" t="s">
        <v>488</v>
      </c>
      <c r="C8" s="117">
        <v>20072026</v>
      </c>
      <c r="D8" s="115" t="s">
        <v>471</v>
      </c>
      <c r="E8" s="115" t="s">
        <v>472</v>
      </c>
      <c r="F8" s="112"/>
      <c r="G8" s="31"/>
    </row>
    <row r="9" spans="1:10" ht="15.75" customHeight="1" x14ac:dyDescent="0.25">
      <c r="A9" s="47">
        <v>2</v>
      </c>
      <c r="B9" s="114" t="s">
        <v>489</v>
      </c>
      <c r="C9" s="117">
        <v>20072026</v>
      </c>
      <c r="D9" s="111" t="s">
        <v>473</v>
      </c>
      <c r="E9" s="112" t="s">
        <v>474</v>
      </c>
      <c r="F9" s="112"/>
      <c r="G9" s="31"/>
    </row>
    <row r="10" spans="1:10" ht="16.5" customHeight="1" x14ac:dyDescent="0.25">
      <c r="A10" s="47">
        <v>3</v>
      </c>
      <c r="B10" s="157" t="s">
        <v>490</v>
      </c>
      <c r="C10" s="117">
        <v>20072026</v>
      </c>
      <c r="D10" s="112" t="s">
        <v>475</v>
      </c>
      <c r="E10" s="123" t="s">
        <v>492</v>
      </c>
      <c r="F10" s="112"/>
      <c r="G10" s="31"/>
    </row>
    <row r="11" spans="1:10" ht="15.75" x14ac:dyDescent="0.25">
      <c r="A11" s="47">
        <v>4</v>
      </c>
      <c r="B11" s="159"/>
      <c r="C11" s="117">
        <v>20072026</v>
      </c>
      <c r="D11" s="112" t="s">
        <v>477</v>
      </c>
      <c r="E11" s="123" t="s">
        <v>493</v>
      </c>
      <c r="F11" s="112"/>
      <c r="G11" s="31"/>
    </row>
    <row r="12" spans="1:10" ht="16.5" customHeight="1" x14ac:dyDescent="0.25">
      <c r="A12" s="47">
        <v>5</v>
      </c>
      <c r="B12" s="159"/>
      <c r="C12" s="117">
        <v>20072026</v>
      </c>
      <c r="D12" s="112" t="s">
        <v>479</v>
      </c>
      <c r="E12" s="113" t="s">
        <v>476</v>
      </c>
      <c r="F12" s="112"/>
      <c r="G12" s="31"/>
    </row>
    <row r="13" spans="1:10" ht="15.75" customHeight="1" x14ac:dyDescent="0.25">
      <c r="A13" s="47">
        <v>6</v>
      </c>
      <c r="B13" s="159"/>
      <c r="C13" s="117">
        <v>20072026</v>
      </c>
      <c r="D13" s="112" t="s">
        <v>480</v>
      </c>
      <c r="E13" s="124" t="s">
        <v>494</v>
      </c>
      <c r="F13" s="112"/>
      <c r="G13" s="31"/>
    </row>
    <row r="14" spans="1:10" ht="15.75" x14ac:dyDescent="0.25">
      <c r="A14" s="47">
        <v>7</v>
      </c>
      <c r="B14" s="159"/>
      <c r="C14" s="117">
        <v>20072026</v>
      </c>
      <c r="D14" s="112" t="s">
        <v>481</v>
      </c>
      <c r="E14" s="113" t="s">
        <v>478</v>
      </c>
      <c r="F14" s="112"/>
      <c r="G14" s="31"/>
    </row>
    <row r="15" spans="1:10" ht="15.75" x14ac:dyDescent="0.25">
      <c r="A15" s="47">
        <v>8</v>
      </c>
      <c r="B15" s="158"/>
      <c r="C15" s="117">
        <v>20072026</v>
      </c>
      <c r="D15" s="60" t="s">
        <v>482</v>
      </c>
      <c r="E15" s="113" t="s">
        <v>483</v>
      </c>
      <c r="F15" s="69"/>
      <c r="G15" s="31"/>
    </row>
    <row r="16" spans="1:10" ht="16.5" customHeight="1" x14ac:dyDescent="0.25">
      <c r="A16" s="47">
        <v>9</v>
      </c>
      <c r="B16" s="157" t="s">
        <v>491</v>
      </c>
      <c r="C16" s="117">
        <v>20072026</v>
      </c>
      <c r="D16" s="60" t="s">
        <v>484</v>
      </c>
      <c r="E16" s="113" t="s">
        <v>485</v>
      </c>
      <c r="F16" s="51"/>
      <c r="G16" s="31"/>
    </row>
    <row r="17" spans="1:7" ht="15.75" x14ac:dyDescent="0.25">
      <c r="A17" s="47">
        <v>10</v>
      </c>
      <c r="B17" s="158"/>
      <c r="C17" s="117">
        <v>20072026</v>
      </c>
      <c r="D17" s="60" t="s">
        <v>486</v>
      </c>
      <c r="E17" s="113" t="s">
        <v>487</v>
      </c>
      <c r="F17" s="51"/>
      <c r="G17" s="31"/>
    </row>
    <row r="18" spans="1:7" ht="15.75" x14ac:dyDescent="0.25">
      <c r="A18" s="47">
        <v>11</v>
      </c>
      <c r="B18" s="79"/>
      <c r="C18" s="89"/>
      <c r="D18" s="51"/>
      <c r="E18" s="51"/>
      <c r="F18" s="51"/>
      <c r="G18" s="31"/>
    </row>
    <row r="19" spans="1:7" ht="15.75" x14ac:dyDescent="0.25">
      <c r="A19" s="47">
        <v>12</v>
      </c>
      <c r="B19" s="79"/>
      <c r="C19" s="89"/>
      <c r="D19" s="51"/>
      <c r="E19" s="51"/>
      <c r="F19" s="51"/>
      <c r="G19" s="31"/>
    </row>
    <row r="20" spans="1:7" ht="15.75" x14ac:dyDescent="0.25">
      <c r="A20" s="7"/>
      <c r="B20" s="31"/>
      <c r="C20" s="8"/>
      <c r="D20" s="67"/>
      <c r="E20" s="67"/>
      <c r="F20" s="67"/>
      <c r="G20" s="8"/>
    </row>
    <row r="21" spans="1:7" ht="15.75" customHeight="1" x14ac:dyDescent="0.25">
      <c r="A21" s="7"/>
      <c r="B21" s="12" t="s">
        <v>17</v>
      </c>
    </row>
    <row r="22" spans="1:7" ht="15.75" customHeight="1" thickBot="1" x14ac:dyDescent="0.3">
      <c r="A22" s="7"/>
      <c r="B22" s="14"/>
      <c r="C22" s="8"/>
      <c r="D22" s="8"/>
      <c r="E22" s="8"/>
      <c r="F22" s="8"/>
    </row>
    <row r="23" spans="1:7" ht="15.75" customHeight="1" x14ac:dyDescent="0.25">
      <c r="A23" s="15" t="s">
        <v>11</v>
      </c>
      <c r="B23" s="16" t="s">
        <v>18</v>
      </c>
      <c r="C23" s="16" t="s">
        <v>19</v>
      </c>
      <c r="D23" s="16" t="s">
        <v>14</v>
      </c>
      <c r="E23" s="16" t="s">
        <v>15</v>
      </c>
      <c r="F23" s="17" t="s">
        <v>16</v>
      </c>
    </row>
    <row r="24" spans="1:7" ht="15.75" customHeight="1" x14ac:dyDescent="0.25">
      <c r="A24" s="51">
        <v>1</v>
      </c>
      <c r="B24" s="117">
        <v>19072026</v>
      </c>
      <c r="C24" s="118"/>
      <c r="D24" s="51"/>
      <c r="E24" s="87"/>
      <c r="F24" s="119"/>
    </row>
    <row r="25" spans="1:7" ht="15.75" customHeight="1" x14ac:dyDescent="0.25">
      <c r="A25" s="51">
        <v>2</v>
      </c>
      <c r="B25" s="117">
        <v>19072026</v>
      </c>
      <c r="C25" s="116"/>
      <c r="D25" s="51"/>
      <c r="E25" s="116"/>
      <c r="F25" s="119"/>
    </row>
    <row r="26" spans="1:7" ht="15.75" customHeight="1" x14ac:dyDescent="0.25">
      <c r="A26" s="51">
        <v>3</v>
      </c>
      <c r="B26" s="117">
        <v>19072026</v>
      </c>
      <c r="C26" s="116"/>
      <c r="D26" s="40"/>
      <c r="E26" s="116"/>
      <c r="F26" s="119"/>
    </row>
    <row r="27" spans="1:7" ht="15.75" customHeight="1" x14ac:dyDescent="0.25">
      <c r="A27" s="51"/>
      <c r="B27" s="117"/>
      <c r="C27" s="116"/>
      <c r="D27" s="40"/>
      <c r="E27" s="116"/>
      <c r="F27" s="119"/>
    </row>
    <row r="28" spans="1:7" ht="15.75" customHeight="1" x14ac:dyDescent="0.25">
      <c r="A28" s="51"/>
      <c r="B28" s="117"/>
      <c r="C28" s="116"/>
      <c r="D28" s="40"/>
      <c r="E28" s="116"/>
      <c r="F28" s="119"/>
    </row>
    <row r="29" spans="1:7" ht="15.75" customHeight="1" x14ac:dyDescent="0.25">
      <c r="A29" s="51"/>
      <c r="B29" s="117"/>
      <c r="C29" s="116"/>
      <c r="D29" s="116"/>
      <c r="E29" s="116"/>
      <c r="F29" s="119"/>
    </row>
    <row r="30" spans="1:7" ht="15.75" customHeight="1" x14ac:dyDescent="0.25">
      <c r="A30" s="7"/>
      <c r="B30" s="46"/>
      <c r="C30" s="45"/>
      <c r="D30" s="45"/>
      <c r="E30" s="45"/>
      <c r="F30" s="45"/>
    </row>
    <row r="31" spans="1:7" ht="15.75" customHeight="1" x14ac:dyDescent="0.25"/>
    <row r="32" spans="1:7" ht="15.75" customHeight="1" x14ac:dyDescent="0.25">
      <c r="A32" s="7"/>
      <c r="B32" s="12" t="s">
        <v>20</v>
      </c>
      <c r="E32" s="8"/>
      <c r="F32" s="8"/>
    </row>
    <row r="33" spans="1:6" ht="15.75" customHeight="1" thickBot="1" x14ac:dyDescent="0.3">
      <c r="A33" s="7"/>
      <c r="B33" s="14"/>
      <c r="C33" s="8"/>
      <c r="D33" s="8"/>
      <c r="E33" s="8"/>
      <c r="F33" s="8"/>
    </row>
    <row r="34" spans="1:6" ht="15.75" customHeight="1" x14ac:dyDescent="0.25">
      <c r="A34" s="15" t="s">
        <v>11</v>
      </c>
      <c r="B34" s="16" t="s">
        <v>21</v>
      </c>
      <c r="C34" s="16" t="s">
        <v>14</v>
      </c>
      <c r="D34" s="16" t="s">
        <v>22</v>
      </c>
      <c r="E34" s="16" t="s">
        <v>23</v>
      </c>
      <c r="F34" s="17" t="s">
        <v>16</v>
      </c>
    </row>
    <row r="35" spans="1:6" ht="15.75" customHeight="1" x14ac:dyDescent="0.25">
      <c r="A35" s="51">
        <v>1</v>
      </c>
      <c r="B35" s="117"/>
      <c r="C35" s="51"/>
      <c r="D35" s="39"/>
      <c r="E35" s="23"/>
      <c r="F35" s="23"/>
    </row>
    <row r="36" spans="1:6" ht="15.75" customHeight="1" x14ac:dyDescent="0.25">
      <c r="A36" s="51">
        <v>2</v>
      </c>
      <c r="B36" s="117"/>
      <c r="C36" s="51"/>
      <c r="D36" s="40"/>
      <c r="E36" s="23"/>
      <c r="F36" s="23"/>
    </row>
    <row r="37" spans="1:6" ht="15.75" customHeight="1" x14ac:dyDescent="0.25">
      <c r="A37" s="51">
        <v>3</v>
      </c>
      <c r="B37" s="117"/>
      <c r="C37" s="60"/>
      <c r="D37" s="40"/>
      <c r="E37" s="23"/>
      <c r="F37" s="23"/>
    </row>
  </sheetData>
  <mergeCells count="3">
    <mergeCell ref="A3:H3"/>
    <mergeCell ref="B16:B17"/>
    <mergeCell ref="B10:B15"/>
  </mergeCells>
  <dataValidations count="2">
    <dataValidation type="list" allowBlank="1" showInputMessage="1" showErrorMessage="1" sqref="F16:F20" xr:uid="{13BD8D3D-0FDF-478D-8AAD-A5175EB51422}">
      <formula1>"20,40,45,50"</formula1>
    </dataValidation>
    <dataValidation type="list" allowBlank="1" showInputMessage="1" showErrorMessage="1" sqref="F8:F14" xr:uid="{7C2AA3E0-7A85-4E45-B07C-1C617443D637}">
      <formula1>"20,40,45,50"</formula1>
      <formula2>0</formula2>
    </dataValidation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7E1A4-2647-4764-90ED-2F315482E72D}">
  <dimension ref="A1:J42"/>
  <sheetViews>
    <sheetView workbookViewId="0">
      <selection activeCell="O9" sqref="O9"/>
    </sheetView>
  </sheetViews>
  <sheetFormatPr baseColWidth="10" defaultRowHeight="15" x14ac:dyDescent="0.25"/>
  <cols>
    <col min="1" max="1" width="3.140625" style="26" bestFit="1" customWidth="1"/>
    <col min="2" max="2" width="15.5703125" style="26" bestFit="1" customWidth="1"/>
    <col min="3" max="3" width="19.28515625" style="26" customWidth="1"/>
    <col min="4" max="4" width="19.140625" style="26" customWidth="1"/>
    <col min="5" max="5" width="14.28515625" style="26" customWidth="1"/>
    <col min="6" max="6" width="13.85546875" style="26" bestFit="1" customWidth="1"/>
    <col min="7" max="7" width="12.140625" style="26" bestFit="1" customWidth="1"/>
    <col min="8" max="16384" width="11.42578125" style="26"/>
  </cols>
  <sheetData>
    <row r="1" spans="1:10" s="8" customFormat="1" ht="24.95" customHeight="1" x14ac:dyDescent="0.25">
      <c r="A1" s="7"/>
      <c r="H1" s="9">
        <f>COUNTIF(C8:C12,"&lt;&gt;")</f>
        <v>0</v>
      </c>
      <c r="I1" s="10" t="s">
        <v>8</v>
      </c>
    </row>
    <row r="2" spans="1:10" s="8" customFormat="1" ht="15.75" x14ac:dyDescent="0.25">
      <c r="A2" s="7"/>
      <c r="F2" s="9">
        <f>COUNTIFS(B17:B27,"&lt;&gt;",C17:C27,"VH")</f>
        <v>5</v>
      </c>
      <c r="G2" s="10" t="s">
        <v>7</v>
      </c>
      <c r="H2" s="9">
        <f>COUNTA(C17:C29)-F2</f>
        <v>5</v>
      </c>
      <c r="I2" s="10" t="s">
        <v>8</v>
      </c>
      <c r="J2" s="11">
        <f>COUNTIF(E17:E18,"VIDE")</f>
        <v>0</v>
      </c>
    </row>
    <row r="3" spans="1:10" s="8" customFormat="1" ht="25.5" x14ac:dyDescent="0.25">
      <c r="A3" s="148" t="s">
        <v>9</v>
      </c>
      <c r="B3" s="148"/>
      <c r="C3" s="148"/>
      <c r="D3" s="148"/>
      <c r="E3" s="148"/>
      <c r="F3" s="148"/>
      <c r="G3" s="148"/>
      <c r="H3" s="148"/>
    </row>
    <row r="4" spans="1:10" s="8" customFormat="1" ht="12.75" x14ac:dyDescent="0.25">
      <c r="A4" s="7"/>
    </row>
    <row r="5" spans="1:10" s="8" customFormat="1" ht="15.75" x14ac:dyDescent="0.25">
      <c r="A5" s="7"/>
      <c r="B5" s="12" t="s">
        <v>10</v>
      </c>
      <c r="G5" s="13">
        <v>46224</v>
      </c>
    </row>
    <row r="6" spans="1:10" s="8" customFormat="1" thickBot="1" x14ac:dyDescent="0.3">
      <c r="A6" s="7"/>
      <c r="B6" s="14"/>
    </row>
    <row r="7" spans="1:10" s="8" customFormat="1" ht="14.25" x14ac:dyDescent="0.25">
      <c r="A7" s="15" t="s">
        <v>11</v>
      </c>
      <c r="B7" s="16" t="s">
        <v>12</v>
      </c>
      <c r="C7" s="16" t="s">
        <v>13</v>
      </c>
      <c r="D7" s="16" t="s">
        <v>14</v>
      </c>
      <c r="E7" s="16" t="s">
        <v>15</v>
      </c>
      <c r="F7" s="17" t="s">
        <v>16</v>
      </c>
    </row>
    <row r="8" spans="1:10" ht="16.5" customHeight="1" x14ac:dyDescent="0.25">
      <c r="A8" s="47"/>
      <c r="B8" s="112"/>
      <c r="C8" s="117"/>
      <c r="D8" s="115"/>
      <c r="E8" s="115"/>
      <c r="F8" s="112"/>
      <c r="G8" s="31"/>
    </row>
    <row r="9" spans="1:10" ht="15.75" customHeight="1" x14ac:dyDescent="0.25">
      <c r="A9" s="47"/>
      <c r="B9" s="114"/>
      <c r="C9" s="117"/>
      <c r="D9" s="111"/>
      <c r="E9" s="112"/>
      <c r="F9" s="112"/>
      <c r="G9" s="31"/>
    </row>
    <row r="10" spans="1:10" ht="15.75" x14ac:dyDescent="0.25">
      <c r="A10" s="47"/>
      <c r="B10" s="120"/>
      <c r="C10" s="117"/>
      <c r="D10" s="60"/>
      <c r="E10" s="113"/>
      <c r="F10" s="51"/>
      <c r="G10" s="31"/>
    </row>
    <row r="11" spans="1:10" ht="15.75" x14ac:dyDescent="0.25">
      <c r="A11" s="47"/>
      <c r="B11" s="79"/>
      <c r="C11" s="89"/>
      <c r="D11" s="51"/>
      <c r="E11" s="51"/>
      <c r="F11" s="51"/>
      <c r="G11" s="31"/>
    </row>
    <row r="12" spans="1:10" ht="15.75" x14ac:dyDescent="0.25">
      <c r="A12" s="47"/>
      <c r="B12" s="79"/>
      <c r="C12" s="89"/>
      <c r="D12" s="51"/>
      <c r="E12" s="51"/>
      <c r="F12" s="51"/>
      <c r="G12" s="31"/>
    </row>
    <row r="13" spans="1:10" ht="15.75" x14ac:dyDescent="0.25">
      <c r="A13" s="7"/>
      <c r="B13" s="31"/>
      <c r="C13" s="8"/>
      <c r="D13" s="67"/>
      <c r="E13" s="67"/>
      <c r="F13" s="67"/>
      <c r="G13" s="8"/>
    </row>
    <row r="14" spans="1:10" ht="15.75" customHeight="1" x14ac:dyDescent="0.25">
      <c r="A14" s="7"/>
      <c r="B14" s="12" t="s">
        <v>17</v>
      </c>
    </row>
    <row r="15" spans="1:10" ht="15.75" customHeight="1" thickBot="1" x14ac:dyDescent="0.3">
      <c r="A15" s="7"/>
      <c r="B15" s="14"/>
      <c r="C15" s="8"/>
      <c r="D15" s="8"/>
      <c r="E15" s="8"/>
      <c r="F15" s="8"/>
    </row>
    <row r="16" spans="1:10" ht="15.75" customHeight="1" x14ac:dyDescent="0.25">
      <c r="A16" s="15" t="s">
        <v>11</v>
      </c>
      <c r="B16" s="16" t="s">
        <v>18</v>
      </c>
      <c r="C16" s="16" t="s">
        <v>19</v>
      </c>
      <c r="D16" s="16" t="s">
        <v>14</v>
      </c>
      <c r="E16" s="16" t="s">
        <v>15</v>
      </c>
      <c r="F16" s="17" t="s">
        <v>16</v>
      </c>
    </row>
    <row r="17" spans="1:6" ht="15.75" customHeight="1" x14ac:dyDescent="0.25">
      <c r="A17" s="51">
        <v>1</v>
      </c>
      <c r="B17" s="125">
        <v>21072026</v>
      </c>
      <c r="C17" s="126" t="s">
        <v>7</v>
      </c>
      <c r="D17" s="39" t="s">
        <v>499</v>
      </c>
      <c r="E17" s="39" t="s">
        <v>500</v>
      </c>
      <c r="F17" s="119"/>
    </row>
    <row r="18" spans="1:6" ht="15.75" customHeight="1" x14ac:dyDescent="0.25">
      <c r="A18" s="51">
        <v>2</v>
      </c>
      <c r="B18" s="125">
        <v>21072026</v>
      </c>
      <c r="C18" s="126" t="s">
        <v>7</v>
      </c>
      <c r="D18" s="39" t="s">
        <v>501</v>
      </c>
      <c r="E18" s="39" t="s">
        <v>500</v>
      </c>
      <c r="F18" s="119"/>
    </row>
    <row r="19" spans="1:6" ht="15.75" customHeight="1" x14ac:dyDescent="0.25">
      <c r="A19" s="51">
        <v>3</v>
      </c>
      <c r="B19" s="125">
        <v>21072026</v>
      </c>
      <c r="C19" s="126" t="s">
        <v>7</v>
      </c>
      <c r="D19" s="39" t="s">
        <v>503</v>
      </c>
      <c r="E19" s="39" t="s">
        <v>502</v>
      </c>
      <c r="F19" s="119"/>
    </row>
    <row r="20" spans="1:6" ht="15.75" customHeight="1" x14ac:dyDescent="0.25">
      <c r="A20" s="51">
        <v>4</v>
      </c>
      <c r="B20" s="125">
        <v>21072026</v>
      </c>
      <c r="C20" s="39" t="s">
        <v>7</v>
      </c>
      <c r="D20" s="39" t="s">
        <v>504</v>
      </c>
      <c r="E20" s="39" t="s">
        <v>502</v>
      </c>
      <c r="F20" s="119"/>
    </row>
    <row r="21" spans="1:6" ht="15.75" customHeight="1" x14ac:dyDescent="0.25">
      <c r="A21" s="51">
        <v>5</v>
      </c>
      <c r="B21" s="125">
        <v>21072026</v>
      </c>
      <c r="C21" s="126" t="s">
        <v>7</v>
      </c>
      <c r="D21" s="39" t="s">
        <v>505</v>
      </c>
      <c r="E21" s="39" t="s">
        <v>502</v>
      </c>
      <c r="F21" s="119"/>
    </row>
    <row r="22" spans="1:6" ht="15.75" customHeight="1" x14ac:dyDescent="0.25">
      <c r="A22" s="51">
        <v>6</v>
      </c>
      <c r="B22" s="125">
        <v>21072026</v>
      </c>
      <c r="C22" s="126" t="s">
        <v>506</v>
      </c>
      <c r="D22" s="39" t="s">
        <v>25</v>
      </c>
      <c r="E22" s="39">
        <v>3913</v>
      </c>
      <c r="F22" s="119"/>
    </row>
    <row r="23" spans="1:6" ht="15.75" customHeight="1" x14ac:dyDescent="0.25">
      <c r="A23" s="51">
        <v>7</v>
      </c>
      <c r="B23" s="125">
        <v>21072026</v>
      </c>
      <c r="C23" s="126" t="s">
        <v>192</v>
      </c>
      <c r="D23" s="39" t="s">
        <v>42</v>
      </c>
      <c r="E23" s="39">
        <v>3916</v>
      </c>
      <c r="F23" s="119"/>
    </row>
    <row r="24" spans="1:6" ht="15.75" customHeight="1" x14ac:dyDescent="0.25">
      <c r="A24" s="51">
        <v>8</v>
      </c>
      <c r="B24" s="125">
        <v>21072026</v>
      </c>
      <c r="C24" s="126" t="s">
        <v>507</v>
      </c>
      <c r="D24" s="39" t="s">
        <v>48</v>
      </c>
      <c r="E24" s="39">
        <v>3896</v>
      </c>
      <c r="F24" s="119"/>
    </row>
    <row r="25" spans="1:6" ht="15.75" customHeight="1" x14ac:dyDescent="0.25">
      <c r="A25" s="51">
        <v>9</v>
      </c>
      <c r="B25" s="125">
        <v>21072026</v>
      </c>
      <c r="C25" s="126" t="s">
        <v>508</v>
      </c>
      <c r="D25" s="39" t="s">
        <v>40</v>
      </c>
      <c r="E25" s="39">
        <v>3842</v>
      </c>
      <c r="F25" s="119"/>
    </row>
    <row r="26" spans="1:6" ht="15.75" customHeight="1" x14ac:dyDescent="0.25">
      <c r="A26" s="51">
        <v>10</v>
      </c>
      <c r="B26" s="125">
        <v>21072026</v>
      </c>
      <c r="C26" s="126" t="s">
        <v>509</v>
      </c>
      <c r="D26" s="39" t="s">
        <v>510</v>
      </c>
      <c r="E26" s="39">
        <v>3841</v>
      </c>
      <c r="F26" s="119"/>
    </row>
    <row r="27" spans="1:6" ht="15.75" customHeight="1" x14ac:dyDescent="0.25">
      <c r="A27" s="51"/>
      <c r="B27" s="117"/>
      <c r="C27" s="116"/>
      <c r="D27" s="116"/>
      <c r="E27" s="116"/>
      <c r="F27" s="119"/>
    </row>
    <row r="28" spans="1:6" ht="15.75" customHeight="1" x14ac:dyDescent="0.25">
      <c r="A28" s="7"/>
      <c r="B28" s="46"/>
      <c r="C28" s="45"/>
      <c r="D28" s="45"/>
      <c r="E28" s="45"/>
      <c r="F28" s="45"/>
    </row>
    <row r="29" spans="1:6" ht="15.75" customHeight="1" x14ac:dyDescent="0.25"/>
    <row r="30" spans="1:6" ht="15.75" customHeight="1" x14ac:dyDescent="0.25">
      <c r="A30" s="7"/>
      <c r="B30" s="12" t="s">
        <v>20</v>
      </c>
      <c r="E30" s="8"/>
      <c r="F30" s="8"/>
    </row>
    <row r="31" spans="1:6" ht="15.75" customHeight="1" thickBot="1" x14ac:dyDescent="0.3">
      <c r="A31" s="7"/>
      <c r="B31" s="14"/>
      <c r="C31" s="8"/>
      <c r="D31" s="8"/>
      <c r="E31" s="8"/>
      <c r="F31" s="8"/>
    </row>
    <row r="32" spans="1:6" ht="15.75" customHeight="1" x14ac:dyDescent="0.25">
      <c r="A32" s="15" t="s">
        <v>11</v>
      </c>
      <c r="B32" s="16" t="s">
        <v>21</v>
      </c>
      <c r="C32" s="16" t="s">
        <v>14</v>
      </c>
      <c r="D32" s="16" t="s">
        <v>22</v>
      </c>
      <c r="E32" s="16" t="s">
        <v>23</v>
      </c>
      <c r="F32" s="17" t="s">
        <v>16</v>
      </c>
    </row>
    <row r="33" spans="1:6" ht="15.75" customHeight="1" x14ac:dyDescent="0.25">
      <c r="A33" s="51">
        <v>1</v>
      </c>
      <c r="B33" s="117">
        <v>21072026</v>
      </c>
      <c r="C33" s="51" t="s">
        <v>495</v>
      </c>
      <c r="D33" s="39" t="s">
        <v>497</v>
      </c>
      <c r="E33" s="23">
        <v>3931</v>
      </c>
      <c r="F33" s="23"/>
    </row>
    <row r="34" spans="1:6" ht="15.75" customHeight="1" x14ac:dyDescent="0.25">
      <c r="A34" s="51">
        <v>2</v>
      </c>
      <c r="B34" s="117">
        <v>21072026</v>
      </c>
      <c r="C34" s="51" t="s">
        <v>496</v>
      </c>
      <c r="D34" s="40" t="s">
        <v>498</v>
      </c>
      <c r="E34" s="23">
        <v>3851</v>
      </c>
      <c r="F34" s="23"/>
    </row>
    <row r="35" spans="1:6" ht="15.75" customHeight="1" x14ac:dyDescent="0.25">
      <c r="A35" s="51">
        <v>3</v>
      </c>
      <c r="B35" s="117">
        <v>21072026</v>
      </c>
      <c r="C35" s="91" t="s">
        <v>114</v>
      </c>
      <c r="D35" s="39">
        <v>35596</v>
      </c>
      <c r="E35" s="23">
        <v>3943</v>
      </c>
      <c r="F35" s="23"/>
    </row>
    <row r="36" spans="1:6" ht="15.75" customHeight="1" x14ac:dyDescent="0.25">
      <c r="A36" s="51">
        <v>4</v>
      </c>
      <c r="B36" s="117">
        <v>21072026</v>
      </c>
      <c r="C36" s="91" t="s">
        <v>511</v>
      </c>
      <c r="D36" s="39" t="s">
        <v>361</v>
      </c>
      <c r="E36" s="23">
        <v>3942</v>
      </c>
      <c r="F36" s="23"/>
    </row>
    <row r="37" spans="1:6" ht="15.75" customHeight="1" x14ac:dyDescent="0.25">
      <c r="A37" s="51">
        <v>5</v>
      </c>
      <c r="B37" s="117">
        <v>21072026</v>
      </c>
      <c r="C37" s="91" t="s">
        <v>513</v>
      </c>
      <c r="D37" s="39" t="s">
        <v>512</v>
      </c>
      <c r="E37" s="23">
        <v>3944</v>
      </c>
      <c r="F37" s="23"/>
    </row>
    <row r="38" spans="1:6" ht="15.75" customHeight="1" x14ac:dyDescent="0.25">
      <c r="A38" s="51">
        <v>6</v>
      </c>
      <c r="B38" s="117">
        <v>21072027</v>
      </c>
      <c r="C38" s="40" t="s">
        <v>601</v>
      </c>
      <c r="D38" s="116" t="s">
        <v>602</v>
      </c>
      <c r="E38" s="23">
        <v>3961</v>
      </c>
      <c r="F38" s="23"/>
    </row>
    <row r="39" spans="1:6" ht="15.75" customHeight="1" x14ac:dyDescent="0.25">
      <c r="A39" s="51">
        <v>7</v>
      </c>
      <c r="B39" s="117"/>
      <c r="C39" s="91"/>
      <c r="D39" s="39"/>
      <c r="E39" s="23"/>
      <c r="F39" s="23"/>
    </row>
    <row r="40" spans="1:6" ht="15.75" customHeight="1" x14ac:dyDescent="0.25">
      <c r="A40" s="51"/>
      <c r="B40" s="117"/>
      <c r="C40" s="51"/>
      <c r="D40" s="40"/>
      <c r="E40" s="23"/>
      <c r="F40" s="23"/>
    </row>
    <row r="41" spans="1:6" ht="15.75" customHeight="1" x14ac:dyDescent="0.25">
      <c r="A41" s="51"/>
      <c r="B41" s="117"/>
      <c r="C41" s="51"/>
      <c r="D41" s="40"/>
      <c r="E41" s="23"/>
      <c r="F41" s="23"/>
    </row>
    <row r="42" spans="1:6" ht="15.75" customHeight="1" x14ac:dyDescent="0.25">
      <c r="A42" s="51">
        <v>3</v>
      </c>
      <c r="B42" s="117"/>
      <c r="C42" s="60"/>
      <c r="D42" s="40"/>
      <c r="E42" s="23"/>
      <c r="F42" s="23"/>
    </row>
  </sheetData>
  <mergeCells count="1">
    <mergeCell ref="A3:H3"/>
  </mergeCells>
  <phoneticPr fontId="13" type="noConversion"/>
  <dataValidations count="2">
    <dataValidation type="list" allowBlank="1" showInputMessage="1" showErrorMessage="1" sqref="F8:F9" xr:uid="{7D27F366-8C23-40E9-BD81-52E500980DC5}">
      <formula1>"20,40,45,50"</formula1>
      <formula2>0</formula2>
    </dataValidation>
    <dataValidation type="list" allowBlank="1" showInputMessage="1" showErrorMessage="1" sqref="F10:F13" xr:uid="{8DF2165E-7738-4BBA-8194-FF4E29837521}">
      <formula1>"20,40,45,50"</formula1>
    </dataValidation>
  </dataValidations>
  <pageMargins left="0.31496062992125984" right="0.31496062992125984" top="0.74803149606299213" bottom="0.74803149606299213" header="0.31496062992125984" footer="0.31496062992125984"/>
  <pageSetup paperSize="9"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379-FD4E-46A0-B46E-00929242994B}">
  <dimension ref="A1:J51"/>
  <sheetViews>
    <sheetView workbookViewId="0">
      <selection activeCell="A3" sqref="A3:H3"/>
    </sheetView>
  </sheetViews>
  <sheetFormatPr baseColWidth="10" defaultRowHeight="15" x14ac:dyDescent="0.25"/>
  <cols>
    <col min="1" max="1" width="3.140625" style="26" bestFit="1" customWidth="1"/>
    <col min="2" max="2" width="15.5703125" style="26" bestFit="1" customWidth="1"/>
    <col min="3" max="3" width="19.28515625" style="26" customWidth="1"/>
    <col min="4" max="4" width="19.140625" style="26" customWidth="1"/>
    <col min="5" max="5" width="14.28515625" style="26" customWidth="1"/>
    <col min="6" max="6" width="13.85546875" style="26" bestFit="1" customWidth="1"/>
    <col min="7" max="7" width="12.140625" style="26" bestFit="1" customWidth="1"/>
    <col min="8" max="16384" width="11.42578125" style="26"/>
  </cols>
  <sheetData>
    <row r="1" spans="1:10" s="8" customFormat="1" ht="24.95" customHeight="1" x14ac:dyDescent="0.25">
      <c r="A1" s="7"/>
      <c r="H1" s="9">
        <f>COUNTIF(C7:C16,"&lt;&gt;")</f>
        <v>9</v>
      </c>
      <c r="I1" s="10" t="s">
        <v>8</v>
      </c>
    </row>
    <row r="2" spans="1:10" s="8" customFormat="1" ht="15.75" x14ac:dyDescent="0.25">
      <c r="A2" s="7"/>
      <c r="F2" s="9">
        <f>COUNTIFS(B21:B45,"&lt;&gt;",C21:C45,"VH")</f>
        <v>0</v>
      </c>
      <c r="G2" s="10" t="s">
        <v>7</v>
      </c>
      <c r="H2" s="9">
        <f>COUNTA(C21:C45)-CF2</f>
        <v>25</v>
      </c>
      <c r="I2" s="10" t="s">
        <v>8</v>
      </c>
      <c r="J2" s="11">
        <f>COUNTIF(E21:E27,"VIDE")</f>
        <v>0</v>
      </c>
    </row>
    <row r="3" spans="1:10" s="8" customFormat="1" ht="25.5" x14ac:dyDescent="0.25">
      <c r="A3" s="148" t="s">
        <v>9</v>
      </c>
      <c r="B3" s="148"/>
      <c r="C3" s="148"/>
      <c r="D3" s="148"/>
      <c r="E3" s="148"/>
      <c r="F3" s="148"/>
      <c r="G3" s="148"/>
      <c r="H3" s="148"/>
    </row>
    <row r="4" spans="1:10" s="8" customFormat="1" ht="15.75" x14ac:dyDescent="0.25">
      <c r="A4" s="7"/>
      <c r="B4" s="12" t="s">
        <v>10</v>
      </c>
      <c r="G4" s="13">
        <v>46225</v>
      </c>
    </row>
    <row r="5" spans="1:10" s="8" customFormat="1" thickBot="1" x14ac:dyDescent="0.3">
      <c r="A5" s="7"/>
      <c r="B5" s="14"/>
    </row>
    <row r="6" spans="1:10" s="8" customFormat="1" ht="14.25" x14ac:dyDescent="0.25">
      <c r="A6" s="15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7" t="s">
        <v>16</v>
      </c>
      <c r="G6" s="17" t="s">
        <v>257</v>
      </c>
    </row>
    <row r="7" spans="1:10" ht="16.5" customHeight="1" x14ac:dyDescent="0.25">
      <c r="A7" s="47">
        <v>1</v>
      </c>
      <c r="B7" s="132" t="s">
        <v>526</v>
      </c>
      <c r="C7" s="125">
        <v>22072026</v>
      </c>
      <c r="D7" s="127" t="s">
        <v>514</v>
      </c>
      <c r="E7" s="127" t="s">
        <v>515</v>
      </c>
      <c r="F7" s="112">
        <v>40</v>
      </c>
      <c r="G7" s="31"/>
    </row>
    <row r="8" spans="1:10" ht="16.5" customHeight="1" x14ac:dyDescent="0.25">
      <c r="A8" s="47">
        <v>2</v>
      </c>
      <c r="B8" s="133" t="s">
        <v>527</v>
      </c>
      <c r="C8" s="125">
        <v>22072026</v>
      </c>
      <c r="D8" s="128" t="s">
        <v>516</v>
      </c>
      <c r="E8" s="129" t="s">
        <v>517</v>
      </c>
      <c r="F8" s="112">
        <v>20</v>
      </c>
      <c r="G8" s="31"/>
    </row>
    <row r="9" spans="1:10" ht="16.5" customHeight="1" x14ac:dyDescent="0.25">
      <c r="A9" s="47">
        <v>3</v>
      </c>
      <c r="B9" s="160" t="s">
        <v>528</v>
      </c>
      <c r="C9" s="125">
        <v>22072026</v>
      </c>
      <c r="D9" s="129" t="s">
        <v>518</v>
      </c>
      <c r="E9" s="129" t="s">
        <v>529</v>
      </c>
      <c r="F9" s="112">
        <v>20</v>
      </c>
      <c r="G9" s="31"/>
    </row>
    <row r="10" spans="1:10" ht="16.5" customHeight="1" x14ac:dyDescent="0.25">
      <c r="A10" s="47">
        <v>4</v>
      </c>
      <c r="B10" s="160"/>
      <c r="C10" s="125">
        <v>22072026</v>
      </c>
      <c r="D10" s="129" t="s">
        <v>519</v>
      </c>
      <c r="E10" s="129" t="s">
        <v>530</v>
      </c>
      <c r="F10" s="112">
        <v>20</v>
      </c>
      <c r="G10" s="31"/>
    </row>
    <row r="11" spans="1:10" ht="16.5" customHeight="1" x14ac:dyDescent="0.25">
      <c r="A11" s="47">
        <v>5</v>
      </c>
      <c r="B11" s="160"/>
      <c r="C11" s="125">
        <v>22072026</v>
      </c>
      <c r="D11" s="129" t="s">
        <v>520</v>
      </c>
      <c r="E11" s="130" t="s">
        <v>531</v>
      </c>
      <c r="F11" s="112">
        <v>20</v>
      </c>
      <c r="G11" s="31"/>
    </row>
    <row r="12" spans="1:10" ht="16.5" customHeight="1" x14ac:dyDescent="0.25">
      <c r="A12" s="47">
        <v>6</v>
      </c>
      <c r="B12" s="160"/>
      <c r="C12" s="125">
        <v>22072026</v>
      </c>
      <c r="D12" s="129" t="s">
        <v>521</v>
      </c>
      <c r="E12" s="130" t="s">
        <v>532</v>
      </c>
      <c r="F12" s="112">
        <v>20</v>
      </c>
    </row>
    <row r="13" spans="1:10" ht="16.5" customHeight="1" x14ac:dyDescent="0.25">
      <c r="A13" s="47">
        <v>7</v>
      </c>
      <c r="B13" s="160"/>
      <c r="C13" s="125">
        <v>22072026</v>
      </c>
      <c r="D13" s="129" t="s">
        <v>522</v>
      </c>
      <c r="E13" s="130" t="s">
        <v>533</v>
      </c>
      <c r="F13" s="112">
        <v>20</v>
      </c>
      <c r="G13" s="31"/>
    </row>
    <row r="14" spans="1:10" ht="15.75" customHeight="1" thickBot="1" x14ac:dyDescent="0.3">
      <c r="A14" s="47">
        <v>8</v>
      </c>
      <c r="B14" s="160"/>
      <c r="C14" s="125">
        <v>22072026</v>
      </c>
      <c r="D14" s="131" t="s">
        <v>523</v>
      </c>
      <c r="E14" s="130" t="s">
        <v>534</v>
      </c>
      <c r="F14" s="112">
        <v>20</v>
      </c>
      <c r="G14" s="31"/>
    </row>
    <row r="15" spans="1:10" ht="15.75" x14ac:dyDescent="0.25">
      <c r="A15" s="47">
        <v>9</v>
      </c>
      <c r="B15" s="133" t="s">
        <v>657</v>
      </c>
      <c r="C15" s="125">
        <v>22072026</v>
      </c>
      <c r="D15" s="131" t="s">
        <v>524</v>
      </c>
      <c r="E15" s="130" t="s">
        <v>525</v>
      </c>
      <c r="F15" s="145" t="s">
        <v>256</v>
      </c>
      <c r="G15" s="31">
        <v>46232</v>
      </c>
    </row>
    <row r="16" spans="1:10" ht="15.75" x14ac:dyDescent="0.25">
      <c r="A16" s="47"/>
      <c r="B16" s="79"/>
      <c r="C16" s="89"/>
      <c r="D16" s="51"/>
      <c r="E16" s="51"/>
      <c r="F16" s="51"/>
      <c r="G16" s="31"/>
    </row>
    <row r="17" spans="1:7" ht="15.75" x14ac:dyDescent="0.25">
      <c r="A17" s="7"/>
      <c r="B17" s="31"/>
      <c r="C17" s="8"/>
      <c r="D17" s="67"/>
      <c r="E17" s="67"/>
      <c r="F17" s="67"/>
      <c r="G17" s="8"/>
    </row>
    <row r="18" spans="1:7" ht="15.75" customHeight="1" x14ac:dyDescent="0.25">
      <c r="A18" s="7"/>
      <c r="B18" s="12" t="s">
        <v>17</v>
      </c>
    </row>
    <row r="19" spans="1:7" ht="15.75" customHeight="1" thickBot="1" x14ac:dyDescent="0.3">
      <c r="A19" s="7"/>
      <c r="B19" s="14"/>
      <c r="C19" s="8"/>
      <c r="D19" s="8"/>
      <c r="E19" s="8"/>
      <c r="F19" s="8"/>
    </row>
    <row r="20" spans="1:7" ht="15.75" customHeight="1" x14ac:dyDescent="0.25">
      <c r="A20" s="15" t="s">
        <v>11</v>
      </c>
      <c r="B20" s="16" t="s">
        <v>18</v>
      </c>
      <c r="C20" s="16" t="s">
        <v>19</v>
      </c>
      <c r="D20" s="16" t="s">
        <v>14</v>
      </c>
      <c r="E20" s="16" t="s">
        <v>15</v>
      </c>
      <c r="F20" s="17" t="s">
        <v>16</v>
      </c>
    </row>
    <row r="21" spans="1:7" ht="15.75" customHeight="1" x14ac:dyDescent="0.25">
      <c r="A21" s="51">
        <v>1</v>
      </c>
      <c r="B21" s="125">
        <v>22072026</v>
      </c>
      <c r="C21" s="134" t="s">
        <v>556</v>
      </c>
      <c r="D21" s="51" t="s">
        <v>120</v>
      </c>
      <c r="E21" s="39">
        <v>3981</v>
      </c>
      <c r="F21" s="51"/>
    </row>
    <row r="22" spans="1:7" ht="15.75" customHeight="1" x14ac:dyDescent="0.25">
      <c r="A22" s="51">
        <v>2</v>
      </c>
      <c r="B22" s="125">
        <v>22072026</v>
      </c>
      <c r="C22" s="134" t="s">
        <v>537</v>
      </c>
      <c r="D22" s="87" t="s">
        <v>122</v>
      </c>
      <c r="E22" s="39">
        <v>3950</v>
      </c>
      <c r="F22" s="51"/>
    </row>
    <row r="23" spans="1:7" ht="15.75" customHeight="1" x14ac:dyDescent="0.25">
      <c r="A23" s="51">
        <v>3</v>
      </c>
      <c r="B23" s="125">
        <v>22072026</v>
      </c>
      <c r="C23" s="134" t="s">
        <v>559</v>
      </c>
      <c r="D23" s="87" t="s">
        <v>123</v>
      </c>
      <c r="E23" s="39">
        <v>3982</v>
      </c>
      <c r="F23" s="51"/>
    </row>
    <row r="24" spans="1:7" ht="15.75" customHeight="1" x14ac:dyDescent="0.25">
      <c r="A24" s="51">
        <v>4</v>
      </c>
      <c r="B24" s="125">
        <v>22072026</v>
      </c>
      <c r="C24" s="134" t="s">
        <v>542</v>
      </c>
      <c r="D24" s="51" t="s">
        <v>124</v>
      </c>
      <c r="E24" s="51">
        <v>3949</v>
      </c>
      <c r="F24" s="51"/>
    </row>
    <row r="25" spans="1:7" ht="15.75" customHeight="1" x14ac:dyDescent="0.25">
      <c r="A25" s="51">
        <v>5</v>
      </c>
      <c r="B25" s="125">
        <v>22072026</v>
      </c>
      <c r="C25" s="134" t="s">
        <v>540</v>
      </c>
      <c r="D25" s="51" t="s">
        <v>125</v>
      </c>
      <c r="E25" s="51">
        <v>3984</v>
      </c>
      <c r="F25" s="51"/>
    </row>
    <row r="26" spans="1:7" ht="15.75" customHeight="1" x14ac:dyDescent="0.25">
      <c r="A26" s="51">
        <v>6</v>
      </c>
      <c r="B26" s="125">
        <v>22072026</v>
      </c>
      <c r="C26" s="134" t="s">
        <v>544</v>
      </c>
      <c r="D26" s="51" t="s">
        <v>126</v>
      </c>
      <c r="E26" s="51">
        <v>3947</v>
      </c>
      <c r="F26" s="51"/>
    </row>
    <row r="27" spans="1:7" ht="15.75" customHeight="1" x14ac:dyDescent="0.25">
      <c r="A27" s="51">
        <v>7</v>
      </c>
      <c r="B27" s="125">
        <v>22072026</v>
      </c>
      <c r="C27" s="87" t="s">
        <v>535</v>
      </c>
      <c r="D27" s="51" t="s">
        <v>127</v>
      </c>
      <c r="E27" s="51">
        <v>3987</v>
      </c>
      <c r="F27" s="51"/>
    </row>
    <row r="28" spans="1:7" ht="15.75" customHeight="1" x14ac:dyDescent="0.25">
      <c r="A28" s="51">
        <v>8</v>
      </c>
      <c r="B28" s="125">
        <v>22072026</v>
      </c>
      <c r="C28" s="87" t="s">
        <v>538</v>
      </c>
      <c r="D28" s="51" t="s">
        <v>128</v>
      </c>
      <c r="E28" s="51">
        <v>3988</v>
      </c>
      <c r="F28" s="51"/>
    </row>
    <row r="29" spans="1:7" ht="15.75" customHeight="1" x14ac:dyDescent="0.25">
      <c r="A29" s="51">
        <v>9</v>
      </c>
      <c r="B29" s="125">
        <v>22072026</v>
      </c>
      <c r="C29" s="87" t="s">
        <v>548</v>
      </c>
      <c r="D29" s="87" t="s">
        <v>129</v>
      </c>
      <c r="E29" s="51">
        <v>3986</v>
      </c>
      <c r="F29" s="51"/>
    </row>
    <row r="30" spans="1:7" ht="15.75" customHeight="1" x14ac:dyDescent="0.25">
      <c r="A30" s="51">
        <v>10</v>
      </c>
      <c r="B30" s="125">
        <v>22072026</v>
      </c>
      <c r="C30" s="87" t="s">
        <v>543</v>
      </c>
      <c r="D30" s="87" t="s">
        <v>130</v>
      </c>
      <c r="E30" s="51">
        <v>3948</v>
      </c>
      <c r="F30" s="51"/>
    </row>
    <row r="31" spans="1:7" ht="15.75" customHeight="1" x14ac:dyDescent="0.25">
      <c r="A31" s="51">
        <v>11</v>
      </c>
      <c r="B31" s="125">
        <v>22072026</v>
      </c>
      <c r="C31" s="87" t="s">
        <v>545</v>
      </c>
      <c r="D31" s="87" t="s">
        <v>131</v>
      </c>
      <c r="E31" s="51">
        <v>3946</v>
      </c>
      <c r="F31" s="51"/>
    </row>
    <row r="32" spans="1:7" ht="15.75" customHeight="1" x14ac:dyDescent="0.25">
      <c r="A32" s="51">
        <v>12</v>
      </c>
      <c r="B32" s="125">
        <v>22072026</v>
      </c>
      <c r="C32" s="87" t="s">
        <v>547</v>
      </c>
      <c r="D32" s="87" t="s">
        <v>132</v>
      </c>
      <c r="E32" s="51">
        <v>3985</v>
      </c>
      <c r="F32" s="51"/>
    </row>
    <row r="33" spans="1:6" ht="15.75" customHeight="1" x14ac:dyDescent="0.25">
      <c r="A33" s="51">
        <v>13</v>
      </c>
      <c r="B33" s="125">
        <v>22072026</v>
      </c>
      <c r="C33" s="87" t="s">
        <v>541</v>
      </c>
      <c r="D33" s="87" t="s">
        <v>133</v>
      </c>
      <c r="E33" s="51">
        <v>3990</v>
      </c>
      <c r="F33" s="51"/>
    </row>
    <row r="34" spans="1:6" ht="15.75" customHeight="1" x14ac:dyDescent="0.25">
      <c r="A34" s="51">
        <v>14</v>
      </c>
      <c r="B34" s="125">
        <v>22072026</v>
      </c>
      <c r="C34" s="87" t="s">
        <v>536</v>
      </c>
      <c r="D34" s="87" t="s">
        <v>134</v>
      </c>
      <c r="E34" s="51">
        <v>3989</v>
      </c>
      <c r="F34" s="51"/>
    </row>
    <row r="35" spans="1:6" ht="15.75" customHeight="1" x14ac:dyDescent="0.25">
      <c r="A35" s="51">
        <v>15</v>
      </c>
      <c r="B35" s="125">
        <v>22072026</v>
      </c>
      <c r="C35" s="134" t="s">
        <v>539</v>
      </c>
      <c r="D35" s="87" t="s">
        <v>121</v>
      </c>
      <c r="E35" s="51">
        <v>3983</v>
      </c>
      <c r="F35" s="51"/>
    </row>
    <row r="36" spans="1:6" ht="15.75" customHeight="1" x14ac:dyDescent="0.25">
      <c r="A36" s="51">
        <v>16</v>
      </c>
      <c r="B36" s="125">
        <v>22072026</v>
      </c>
      <c r="C36" s="87" t="s">
        <v>549</v>
      </c>
      <c r="D36" s="87" t="s">
        <v>552</v>
      </c>
      <c r="E36" s="87" t="s">
        <v>153</v>
      </c>
      <c r="F36" s="51"/>
    </row>
    <row r="37" spans="1:6" ht="15.75" customHeight="1" x14ac:dyDescent="0.25">
      <c r="A37" s="51">
        <v>17</v>
      </c>
      <c r="B37" s="125">
        <v>22072026</v>
      </c>
      <c r="C37" s="87" t="s">
        <v>546</v>
      </c>
      <c r="D37" s="87" t="s">
        <v>553</v>
      </c>
      <c r="E37" s="87" t="s">
        <v>154</v>
      </c>
      <c r="F37" s="51"/>
    </row>
    <row r="38" spans="1:6" ht="15.75" customHeight="1" x14ac:dyDescent="0.25">
      <c r="A38" s="51">
        <v>18</v>
      </c>
      <c r="B38" s="125">
        <v>22072026</v>
      </c>
      <c r="C38" s="87" t="s">
        <v>550</v>
      </c>
      <c r="D38" s="51" t="s">
        <v>224</v>
      </c>
      <c r="E38" s="23">
        <v>3973</v>
      </c>
      <c r="F38" s="51"/>
    </row>
    <row r="39" spans="1:6" ht="15.75" customHeight="1" x14ac:dyDescent="0.25">
      <c r="A39" s="51">
        <v>19</v>
      </c>
      <c r="B39" s="125">
        <v>22072026</v>
      </c>
      <c r="C39" s="87" t="s">
        <v>551</v>
      </c>
      <c r="D39" s="51" t="s">
        <v>460</v>
      </c>
      <c r="E39" s="87">
        <v>3972</v>
      </c>
      <c r="F39" s="51"/>
    </row>
    <row r="40" spans="1:6" ht="15.75" customHeight="1" x14ac:dyDescent="0.25">
      <c r="A40" s="51">
        <v>20</v>
      </c>
      <c r="B40" s="125">
        <v>22072026</v>
      </c>
      <c r="C40" s="87" t="s">
        <v>554</v>
      </c>
      <c r="D40" s="51" t="s">
        <v>555</v>
      </c>
      <c r="E40" s="87">
        <v>3938</v>
      </c>
      <c r="F40" s="51"/>
    </row>
    <row r="41" spans="1:6" ht="15.75" customHeight="1" x14ac:dyDescent="0.25">
      <c r="A41" s="51">
        <v>20</v>
      </c>
      <c r="B41" s="125">
        <v>22072026</v>
      </c>
      <c r="C41" s="87" t="s">
        <v>194</v>
      </c>
      <c r="D41" s="51" t="s">
        <v>29</v>
      </c>
      <c r="E41" s="87">
        <v>3846</v>
      </c>
      <c r="F41" s="51"/>
    </row>
    <row r="42" spans="1:6" ht="15.75" customHeight="1" x14ac:dyDescent="0.25">
      <c r="A42" s="51">
        <v>20</v>
      </c>
      <c r="B42" s="125">
        <v>22072026</v>
      </c>
      <c r="C42" s="87" t="s">
        <v>193</v>
      </c>
      <c r="D42" s="51" t="s">
        <v>34</v>
      </c>
      <c r="E42" s="87">
        <v>3845</v>
      </c>
      <c r="F42" s="51"/>
    </row>
    <row r="43" spans="1:6" ht="15.75" customHeight="1" x14ac:dyDescent="0.25">
      <c r="A43" s="51">
        <v>20</v>
      </c>
      <c r="B43" s="125">
        <v>22072026</v>
      </c>
      <c r="C43" s="87" t="s">
        <v>198</v>
      </c>
      <c r="D43" s="51" t="s">
        <v>38</v>
      </c>
      <c r="E43" s="87">
        <v>3994</v>
      </c>
      <c r="F43" s="51"/>
    </row>
    <row r="44" spans="1:6" ht="15.75" customHeight="1" x14ac:dyDescent="0.25">
      <c r="A44" s="51">
        <v>20</v>
      </c>
      <c r="B44" s="125">
        <v>22072026</v>
      </c>
      <c r="C44" s="87" t="s">
        <v>557</v>
      </c>
      <c r="D44" s="51" t="s">
        <v>558</v>
      </c>
      <c r="E44" s="87">
        <v>3845</v>
      </c>
      <c r="F44" s="51"/>
    </row>
    <row r="45" spans="1:6" ht="15.75" customHeight="1" x14ac:dyDescent="0.25">
      <c r="A45" s="51">
        <v>20</v>
      </c>
      <c r="B45" s="125">
        <v>22072026</v>
      </c>
      <c r="C45" s="87" t="s">
        <v>195</v>
      </c>
      <c r="D45" s="51" t="s">
        <v>26</v>
      </c>
      <c r="E45" s="87">
        <v>3843</v>
      </c>
      <c r="F45" s="51"/>
    </row>
    <row r="46" spans="1:6" ht="15.75" customHeight="1" x14ac:dyDescent="0.25"/>
    <row r="47" spans="1:6" ht="15.75" customHeight="1" x14ac:dyDescent="0.25">
      <c r="A47" s="7"/>
      <c r="B47" s="12" t="s">
        <v>20</v>
      </c>
      <c r="E47" s="8"/>
      <c r="F47" s="8"/>
    </row>
    <row r="48" spans="1:6" ht="15.75" hidden="1" customHeight="1" thickBot="1" x14ac:dyDescent="0.3">
      <c r="A48" s="7"/>
      <c r="B48" s="14"/>
      <c r="C48" s="8"/>
      <c r="D48" s="8"/>
      <c r="E48" s="8"/>
      <c r="F48" s="8"/>
    </row>
    <row r="49" spans="1:6" ht="15.75" hidden="1" customHeight="1" x14ac:dyDescent="0.25">
      <c r="A49" s="15" t="s">
        <v>11</v>
      </c>
      <c r="B49" s="16" t="s">
        <v>21</v>
      </c>
      <c r="C49" s="16" t="s">
        <v>14</v>
      </c>
      <c r="D49" s="16" t="s">
        <v>22</v>
      </c>
      <c r="E49" s="16" t="s">
        <v>23</v>
      </c>
      <c r="F49" s="17" t="s">
        <v>16</v>
      </c>
    </row>
    <row r="50" spans="1:6" ht="15.75" hidden="1" customHeight="1" x14ac:dyDescent="0.25">
      <c r="A50" s="51">
        <v>1</v>
      </c>
      <c r="B50" s="117"/>
      <c r="C50" s="51"/>
      <c r="D50" s="39"/>
      <c r="E50" s="23"/>
      <c r="F50" s="23"/>
    </row>
    <row r="51" spans="1:6" ht="15.75" hidden="1" customHeight="1" x14ac:dyDescent="0.25">
      <c r="A51" s="51">
        <v>2</v>
      </c>
      <c r="B51" s="117"/>
      <c r="C51" s="51"/>
      <c r="D51" s="40"/>
      <c r="E51" s="23"/>
      <c r="F51" s="23"/>
    </row>
  </sheetData>
  <mergeCells count="2">
    <mergeCell ref="A3:H3"/>
    <mergeCell ref="B9:B14"/>
  </mergeCells>
  <phoneticPr fontId="13" type="noConversion"/>
  <dataValidations count="3">
    <dataValidation type="list" allowBlank="1" showInputMessage="1" showErrorMessage="1" sqref="F7:F14" xr:uid="{B1E54C59-7E9B-4576-94A3-8FAD935FFFDC}">
      <formula1>"20,40,45,50"</formula1>
      <formula2>0</formula2>
    </dataValidation>
    <dataValidation type="list" allowBlank="1" showInputMessage="1" showErrorMessage="1" sqref="F16:F17" xr:uid="{2DFF144A-B1C7-46B1-AA19-1B948CFD563F}">
      <formula1>"20,40,45,50"</formula1>
    </dataValidation>
    <dataValidation type="list" allowBlank="1" showInputMessage="1" showErrorMessage="1" sqref="F15" xr:uid="{A8E3CC47-F23F-4A6D-8729-6B8ED6CBF49C}">
      <formula1>"20,40,45,50,GROUPAGE"</formula1>
    </dataValidation>
  </dataValidations>
  <pageMargins left="0.31496062992125984" right="0.31496062992125984" top="0.74803149606299213" bottom="0.74803149606299213" header="0.31496062992125984" footer="0.31496062992125984"/>
  <pageSetup paperSize="9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19DF-EBA3-4284-88A7-EF21D89D6B47}">
  <dimension ref="A1:J35"/>
  <sheetViews>
    <sheetView workbookViewId="0">
      <selection activeCell="E29" sqref="E29"/>
    </sheetView>
  </sheetViews>
  <sheetFormatPr baseColWidth="10" defaultRowHeight="15" x14ac:dyDescent="0.25"/>
  <cols>
    <col min="1" max="1" width="3.140625" style="26" bestFit="1" customWidth="1"/>
    <col min="2" max="2" width="15.5703125" style="26" bestFit="1" customWidth="1"/>
    <col min="3" max="3" width="19.28515625" style="26" customWidth="1"/>
    <col min="4" max="4" width="19.140625" style="26" customWidth="1"/>
    <col min="5" max="5" width="14.28515625" style="26" customWidth="1"/>
    <col min="6" max="6" width="13.85546875" style="26" bestFit="1" customWidth="1"/>
    <col min="7" max="7" width="12.140625" style="26" bestFit="1" customWidth="1"/>
    <col min="8" max="10" width="11.42578125" style="26"/>
    <col min="11" max="11" width="14.7109375" style="26" bestFit="1" customWidth="1"/>
    <col min="12" max="16384" width="11.42578125" style="26"/>
  </cols>
  <sheetData>
    <row r="1" spans="1:10" s="8" customFormat="1" ht="24.95" customHeight="1" x14ac:dyDescent="0.25">
      <c r="A1" s="7"/>
      <c r="H1" s="9">
        <f>COUNTIF(C8:C17,"&lt;&gt;")</f>
        <v>0</v>
      </c>
      <c r="I1" s="10" t="s">
        <v>8</v>
      </c>
    </row>
    <row r="2" spans="1:10" s="8" customFormat="1" ht="15.75" x14ac:dyDescent="0.25">
      <c r="A2" s="7"/>
      <c r="F2" s="9">
        <f>COUNTIFS(B22:B28,"&lt;&gt;",C22:C28,"VH")</f>
        <v>0</v>
      </c>
      <c r="G2" s="10" t="s">
        <v>7</v>
      </c>
      <c r="H2" s="9">
        <f>COUNTA(C22:C28)-CE2</f>
        <v>6</v>
      </c>
      <c r="I2" s="10" t="s">
        <v>8</v>
      </c>
      <c r="J2" s="11">
        <f>COUNTIF(E22:E27,"VIDE")</f>
        <v>0</v>
      </c>
    </row>
    <row r="3" spans="1:10" s="8" customFormat="1" ht="25.5" x14ac:dyDescent="0.25">
      <c r="A3" s="148" t="s">
        <v>9</v>
      </c>
      <c r="B3" s="148"/>
      <c r="C3" s="148"/>
      <c r="D3" s="148"/>
      <c r="E3" s="148"/>
      <c r="F3" s="148"/>
      <c r="G3" s="148"/>
      <c r="H3" s="148"/>
    </row>
    <row r="4" spans="1:10" s="8" customFormat="1" ht="12.75" x14ac:dyDescent="0.25">
      <c r="A4" s="7"/>
    </row>
    <row r="5" spans="1:10" s="8" customFormat="1" ht="15.75" x14ac:dyDescent="0.25">
      <c r="A5" s="7"/>
      <c r="B5" s="12" t="s">
        <v>10</v>
      </c>
      <c r="G5" s="13">
        <v>46226</v>
      </c>
    </row>
    <row r="6" spans="1:10" s="8" customFormat="1" thickBot="1" x14ac:dyDescent="0.3">
      <c r="A6" s="7"/>
      <c r="B6" s="14"/>
    </row>
    <row r="7" spans="1:10" s="8" customFormat="1" ht="14.25" x14ac:dyDescent="0.25">
      <c r="A7" s="15" t="s">
        <v>11</v>
      </c>
      <c r="B7" s="16" t="s">
        <v>12</v>
      </c>
      <c r="C7" s="16" t="s">
        <v>13</v>
      </c>
      <c r="D7" s="16" t="s">
        <v>14</v>
      </c>
      <c r="E7" s="16" t="s">
        <v>15</v>
      </c>
      <c r="F7" s="17" t="s">
        <v>16</v>
      </c>
    </row>
    <row r="8" spans="1:10" ht="16.5" customHeight="1" x14ac:dyDescent="0.25">
      <c r="A8" s="47"/>
      <c r="B8" s="132"/>
      <c r="C8" s="125"/>
      <c r="D8" s="127"/>
      <c r="E8" s="127"/>
      <c r="F8" s="112"/>
      <c r="G8" s="31"/>
    </row>
    <row r="9" spans="1:10" ht="16.5" customHeight="1" x14ac:dyDescent="0.25">
      <c r="A9" s="47"/>
      <c r="B9" s="133"/>
      <c r="C9" s="125"/>
      <c r="D9" s="128"/>
      <c r="E9" s="129"/>
      <c r="F9" s="112"/>
      <c r="G9" s="31"/>
    </row>
    <row r="10" spans="1:10" ht="16.5" customHeight="1" x14ac:dyDescent="0.25">
      <c r="A10" s="47"/>
      <c r="B10" s="135"/>
      <c r="C10" s="125"/>
      <c r="D10" s="129"/>
      <c r="E10" s="129"/>
      <c r="F10" s="112"/>
      <c r="G10" s="31"/>
    </row>
    <row r="11" spans="1:10" ht="16.5" customHeight="1" x14ac:dyDescent="0.25">
      <c r="A11" s="47"/>
      <c r="B11" s="135"/>
      <c r="C11" s="125"/>
      <c r="D11" s="129"/>
      <c r="E11" s="129"/>
      <c r="F11" s="112"/>
      <c r="G11" s="31"/>
    </row>
    <row r="12" spans="1:10" ht="16.5" customHeight="1" x14ac:dyDescent="0.25">
      <c r="A12" s="47"/>
      <c r="B12" s="135"/>
      <c r="C12" s="125"/>
      <c r="D12" s="129"/>
      <c r="E12" s="130"/>
      <c r="F12" s="112"/>
      <c r="G12" s="31"/>
    </row>
    <row r="13" spans="1:10" ht="16.5" customHeight="1" x14ac:dyDescent="0.25">
      <c r="A13" s="47"/>
      <c r="B13" s="135"/>
      <c r="C13" s="125"/>
      <c r="D13" s="129"/>
      <c r="E13" s="130"/>
      <c r="F13" s="112"/>
      <c r="G13" s="31"/>
    </row>
    <row r="14" spans="1:10" ht="16.5" customHeight="1" x14ac:dyDescent="0.25">
      <c r="A14" s="47"/>
      <c r="B14" s="135"/>
      <c r="C14" s="125"/>
      <c r="D14" s="129"/>
      <c r="E14" s="130"/>
      <c r="F14" s="112"/>
      <c r="G14" s="31"/>
    </row>
    <row r="15" spans="1:10" ht="15.75" customHeight="1" x14ac:dyDescent="0.25">
      <c r="A15" s="47"/>
      <c r="B15" s="135"/>
      <c r="C15" s="125"/>
      <c r="D15" s="131"/>
      <c r="E15" s="130"/>
      <c r="F15" s="112"/>
      <c r="G15" s="31"/>
    </row>
    <row r="16" spans="1:10" ht="15.75" x14ac:dyDescent="0.25">
      <c r="A16" s="47"/>
      <c r="B16" s="133"/>
      <c r="C16" s="125"/>
      <c r="D16" s="131"/>
      <c r="E16" s="130"/>
      <c r="F16" s="51"/>
      <c r="G16" s="31"/>
    </row>
    <row r="17" spans="1:7" ht="15.75" x14ac:dyDescent="0.25">
      <c r="A17" s="47"/>
      <c r="B17" s="79"/>
      <c r="C17" s="89"/>
      <c r="D17" s="51"/>
      <c r="E17" s="51"/>
      <c r="F17" s="51"/>
      <c r="G17" s="31"/>
    </row>
    <row r="18" spans="1:7" ht="15.75" x14ac:dyDescent="0.25">
      <c r="A18" s="7"/>
      <c r="B18" s="31"/>
      <c r="C18" s="8"/>
      <c r="D18" s="67"/>
      <c r="E18" s="67"/>
      <c r="F18" s="67"/>
      <c r="G18" s="8"/>
    </row>
    <row r="19" spans="1:7" ht="15.75" customHeight="1" x14ac:dyDescent="0.25">
      <c r="A19" s="7"/>
      <c r="B19" s="12" t="s">
        <v>17</v>
      </c>
    </row>
    <row r="20" spans="1:7" ht="15.75" customHeight="1" thickBot="1" x14ac:dyDescent="0.3">
      <c r="A20" s="7"/>
      <c r="B20" s="14"/>
      <c r="C20" s="8"/>
      <c r="D20" s="8"/>
      <c r="E20" s="8"/>
      <c r="F20" s="8"/>
    </row>
    <row r="21" spans="1:7" ht="15.75" customHeight="1" x14ac:dyDescent="0.25">
      <c r="A21" s="15" t="s">
        <v>11</v>
      </c>
      <c r="B21" s="16" t="s">
        <v>18</v>
      </c>
      <c r="C21" s="16" t="s">
        <v>19</v>
      </c>
      <c r="D21" s="16" t="s">
        <v>14</v>
      </c>
      <c r="E21" s="16" t="s">
        <v>15</v>
      </c>
      <c r="F21" s="17" t="s">
        <v>16</v>
      </c>
    </row>
    <row r="22" spans="1:7" ht="15.75" customHeight="1" x14ac:dyDescent="0.25">
      <c r="A22" s="51">
        <v>1</v>
      </c>
      <c r="B22" s="125">
        <v>23072026</v>
      </c>
      <c r="C22" s="134" t="s">
        <v>561</v>
      </c>
      <c r="D22" s="23" t="s">
        <v>27</v>
      </c>
      <c r="E22" s="23">
        <v>3899</v>
      </c>
      <c r="F22" s="51"/>
    </row>
    <row r="23" spans="1:7" ht="15.75" customHeight="1" x14ac:dyDescent="0.25">
      <c r="A23" s="51">
        <v>2</v>
      </c>
      <c r="B23" s="125">
        <v>23072026</v>
      </c>
      <c r="C23" s="134" t="s">
        <v>507</v>
      </c>
      <c r="D23" s="23" t="s">
        <v>30</v>
      </c>
      <c r="E23" s="23">
        <v>3850</v>
      </c>
      <c r="F23" s="51"/>
    </row>
    <row r="24" spans="1:7" ht="15.75" customHeight="1" x14ac:dyDescent="0.25">
      <c r="A24" s="51">
        <v>3</v>
      </c>
      <c r="B24" s="125">
        <v>23072026</v>
      </c>
      <c r="C24" s="134" t="s">
        <v>509</v>
      </c>
      <c r="D24" s="23" t="s">
        <v>32</v>
      </c>
      <c r="E24" s="23">
        <v>3893</v>
      </c>
      <c r="F24" s="51"/>
    </row>
    <row r="25" spans="1:7" ht="15.75" customHeight="1" x14ac:dyDescent="0.25">
      <c r="A25" s="51">
        <v>4</v>
      </c>
      <c r="B25" s="125">
        <v>23072026</v>
      </c>
      <c r="C25" s="87" t="s">
        <v>192</v>
      </c>
      <c r="D25" s="23" t="s">
        <v>36</v>
      </c>
      <c r="E25" s="23">
        <v>3847</v>
      </c>
      <c r="F25" s="51"/>
    </row>
    <row r="26" spans="1:7" ht="15.75" customHeight="1" x14ac:dyDescent="0.25">
      <c r="A26" s="51">
        <v>5</v>
      </c>
      <c r="B26" s="125">
        <v>23072026</v>
      </c>
      <c r="C26" s="87" t="s">
        <v>560</v>
      </c>
      <c r="D26" s="23" t="s">
        <v>37</v>
      </c>
      <c r="E26" s="23">
        <v>3849</v>
      </c>
      <c r="F26" s="51"/>
    </row>
    <row r="27" spans="1:7" ht="15.75" customHeight="1" x14ac:dyDescent="0.25">
      <c r="A27" s="51">
        <v>6</v>
      </c>
      <c r="B27" s="125">
        <v>23072026</v>
      </c>
      <c r="C27" s="87" t="s">
        <v>508</v>
      </c>
      <c r="D27" s="23" t="s">
        <v>41</v>
      </c>
      <c r="E27" s="23">
        <v>3848</v>
      </c>
      <c r="F27" s="51"/>
    </row>
    <row r="28" spans="1:7" ht="15.75" customHeight="1" x14ac:dyDescent="0.25">
      <c r="A28" s="51"/>
      <c r="B28" s="125"/>
      <c r="C28" s="87"/>
      <c r="D28" s="51"/>
      <c r="E28" s="87"/>
      <c r="F28" s="51"/>
    </row>
    <row r="29" spans="1:7" ht="15.75" customHeight="1" x14ac:dyDescent="0.25">
      <c r="A29" s="7"/>
      <c r="B29" s="46"/>
      <c r="C29" s="45"/>
      <c r="D29" s="45"/>
      <c r="E29" s="45"/>
      <c r="F29" s="45"/>
    </row>
    <row r="30" spans="1:7" ht="15.75" customHeight="1" x14ac:dyDescent="0.25"/>
    <row r="31" spans="1:7" ht="15.75" customHeight="1" x14ac:dyDescent="0.25">
      <c r="A31" s="7"/>
      <c r="B31" s="12" t="s">
        <v>20</v>
      </c>
      <c r="E31" s="8"/>
      <c r="F31" s="8"/>
    </row>
    <row r="32" spans="1:7" ht="15.75" customHeight="1" thickBot="1" x14ac:dyDescent="0.3">
      <c r="A32" s="7"/>
      <c r="B32" s="14"/>
      <c r="C32" s="8"/>
      <c r="D32" s="8"/>
      <c r="E32" s="8"/>
      <c r="F32" s="8"/>
    </row>
    <row r="33" spans="1:6" ht="15.75" customHeight="1" x14ac:dyDescent="0.25">
      <c r="A33" s="15" t="s">
        <v>11</v>
      </c>
      <c r="B33" s="16" t="s">
        <v>21</v>
      </c>
      <c r="C33" s="16" t="s">
        <v>14</v>
      </c>
      <c r="D33" s="16" t="s">
        <v>22</v>
      </c>
      <c r="E33" s="16" t="s">
        <v>23</v>
      </c>
      <c r="F33" s="17" t="s">
        <v>16</v>
      </c>
    </row>
    <row r="34" spans="1:6" ht="15.75" customHeight="1" x14ac:dyDescent="0.25">
      <c r="A34" s="51">
        <v>1</v>
      </c>
      <c r="B34" s="117"/>
      <c r="C34" s="51"/>
      <c r="D34" s="39"/>
      <c r="E34" s="23"/>
      <c r="F34" s="23"/>
    </row>
    <row r="35" spans="1:6" ht="15.75" customHeight="1" x14ac:dyDescent="0.25">
      <c r="A35" s="51">
        <v>2</v>
      </c>
      <c r="B35" s="117"/>
      <c r="C35" s="51"/>
      <c r="D35" s="40"/>
      <c r="E35" s="23"/>
      <c r="F35" s="23"/>
    </row>
  </sheetData>
  <mergeCells count="1">
    <mergeCell ref="A3:H3"/>
  </mergeCells>
  <dataValidations count="2">
    <dataValidation type="list" allowBlank="1" showInputMessage="1" showErrorMessage="1" sqref="F16:F18" xr:uid="{B15B72EA-BCAD-4298-ADFF-F24A817A5364}">
      <formula1>"20,40,45,50"</formula1>
    </dataValidation>
    <dataValidation type="list" allowBlank="1" showInputMessage="1" showErrorMessage="1" sqref="F8:F15" xr:uid="{CCF5E0AF-D7BF-4654-97C0-9E6FAB786DCC}">
      <formula1>"20,40,45,50"</formula1>
      <formula2>0</formula2>
    </dataValidation>
  </dataValidations>
  <pageMargins left="0.31496062992125984" right="0.31496062992125984" top="0.74803149606299213" bottom="0.74803149606299213" header="0.31496062992125984" footer="0.31496062992125984"/>
  <pageSetup paperSize="9" orientation="portrait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1A60-7AA9-4234-8E7B-562947F58E45}">
  <dimension ref="A1:J46"/>
  <sheetViews>
    <sheetView topLeftCell="A3" workbookViewId="0">
      <selection activeCell="A3" sqref="A3:H3"/>
    </sheetView>
  </sheetViews>
  <sheetFormatPr baseColWidth="10" defaultRowHeight="15" x14ac:dyDescent="0.25"/>
  <cols>
    <col min="1" max="1" width="3.140625" style="26" bestFit="1" customWidth="1"/>
    <col min="2" max="2" width="15.5703125" style="26" bestFit="1" customWidth="1"/>
    <col min="3" max="3" width="19.28515625" style="26" customWidth="1"/>
    <col min="4" max="4" width="19.140625" style="26" customWidth="1"/>
    <col min="5" max="5" width="14.28515625" style="26" customWidth="1"/>
    <col min="6" max="6" width="13.85546875" style="26" bestFit="1" customWidth="1"/>
    <col min="7" max="7" width="12.140625" style="26" bestFit="1" customWidth="1"/>
    <col min="8" max="10" width="11.42578125" style="26"/>
    <col min="11" max="11" width="14.7109375" style="26" bestFit="1" customWidth="1"/>
    <col min="12" max="16384" width="11.42578125" style="26"/>
  </cols>
  <sheetData>
    <row r="1" spans="1:10" s="8" customFormat="1" ht="24.95" customHeight="1" x14ac:dyDescent="0.25">
      <c r="A1" s="7"/>
      <c r="H1" s="9">
        <f>COUNTIF(C8:C17,"&lt;&gt;")</f>
        <v>10</v>
      </c>
      <c r="I1" s="10" t="s">
        <v>8</v>
      </c>
    </row>
    <row r="2" spans="1:10" s="8" customFormat="1" ht="15.75" x14ac:dyDescent="0.25">
      <c r="A2" s="7"/>
      <c r="F2" s="9">
        <f>COUNTIFS(B22:B35,"&lt;&gt;",C22:C35,"VH")</f>
        <v>0</v>
      </c>
      <c r="G2" s="10" t="s">
        <v>7</v>
      </c>
      <c r="H2" s="9">
        <f>COUNTA(C22:C40)-CE2</f>
        <v>19</v>
      </c>
      <c r="I2" s="10" t="s">
        <v>8</v>
      </c>
      <c r="J2" s="11">
        <f>COUNTIF(E22:E40,"VIDE")</f>
        <v>0</v>
      </c>
    </row>
    <row r="3" spans="1:10" s="8" customFormat="1" ht="25.5" x14ac:dyDescent="0.25">
      <c r="A3" s="148" t="s">
        <v>9</v>
      </c>
      <c r="B3" s="148"/>
      <c r="C3" s="148"/>
      <c r="D3" s="148"/>
      <c r="E3" s="148"/>
      <c r="F3" s="148"/>
      <c r="G3" s="148"/>
      <c r="H3" s="148"/>
    </row>
    <row r="4" spans="1:10" s="8" customFormat="1" ht="12.75" x14ac:dyDescent="0.25">
      <c r="A4" s="7"/>
    </row>
    <row r="5" spans="1:10" s="8" customFormat="1" ht="15.75" x14ac:dyDescent="0.25">
      <c r="A5" s="7"/>
      <c r="B5" s="12" t="s">
        <v>10</v>
      </c>
      <c r="G5" s="13">
        <v>46229</v>
      </c>
    </row>
    <row r="6" spans="1:10" s="8" customFormat="1" thickBot="1" x14ac:dyDescent="0.3">
      <c r="A6" s="7"/>
      <c r="B6" s="14"/>
    </row>
    <row r="7" spans="1:10" s="8" customFormat="1" ht="14.25" x14ac:dyDescent="0.25">
      <c r="A7" s="15" t="s">
        <v>11</v>
      </c>
      <c r="B7" s="16" t="s">
        <v>12</v>
      </c>
      <c r="C7" s="16" t="s">
        <v>13</v>
      </c>
      <c r="D7" s="16" t="s">
        <v>14</v>
      </c>
      <c r="E7" s="16" t="s">
        <v>15</v>
      </c>
      <c r="F7" s="17" t="s">
        <v>16</v>
      </c>
    </row>
    <row r="8" spans="1:10" ht="16.5" customHeight="1" x14ac:dyDescent="0.25">
      <c r="A8" s="51">
        <v>1</v>
      </c>
      <c r="B8" s="112" t="s">
        <v>586</v>
      </c>
      <c r="C8" s="125">
        <v>26072026</v>
      </c>
      <c r="D8" s="138" t="s">
        <v>562</v>
      </c>
      <c r="E8" s="138" t="s">
        <v>563</v>
      </c>
      <c r="F8" s="112" t="s">
        <v>564</v>
      </c>
      <c r="G8" s="31"/>
    </row>
    <row r="9" spans="1:10" ht="16.5" customHeight="1" x14ac:dyDescent="0.25">
      <c r="A9" s="51">
        <v>2</v>
      </c>
      <c r="B9" s="156" t="s">
        <v>584</v>
      </c>
      <c r="C9" s="125">
        <v>26072026</v>
      </c>
      <c r="D9" s="139" t="s">
        <v>565</v>
      </c>
      <c r="E9" s="112" t="s">
        <v>566</v>
      </c>
      <c r="F9" s="112" t="s">
        <v>567</v>
      </c>
      <c r="G9" s="31"/>
    </row>
    <row r="10" spans="1:10" ht="16.5" customHeight="1" x14ac:dyDescent="0.25">
      <c r="A10" s="51">
        <v>3</v>
      </c>
      <c r="B10" s="156"/>
      <c r="C10" s="125">
        <v>26072026</v>
      </c>
      <c r="D10" s="112" t="s">
        <v>568</v>
      </c>
      <c r="E10" s="112" t="s">
        <v>569</v>
      </c>
      <c r="F10" s="112" t="s">
        <v>567</v>
      </c>
      <c r="G10" s="31"/>
    </row>
    <row r="11" spans="1:10" ht="16.5" customHeight="1" x14ac:dyDescent="0.25">
      <c r="A11" s="51">
        <v>4</v>
      </c>
      <c r="B11" s="156"/>
      <c r="C11" s="125">
        <v>26072026</v>
      </c>
      <c r="D11" s="112" t="s">
        <v>570</v>
      </c>
      <c r="E11" s="112" t="s">
        <v>571</v>
      </c>
      <c r="F11" s="112" t="s">
        <v>567</v>
      </c>
      <c r="G11" s="31"/>
    </row>
    <row r="12" spans="1:10" ht="16.5" customHeight="1" x14ac:dyDescent="0.25">
      <c r="A12" s="51">
        <v>5</v>
      </c>
      <c r="B12" s="156"/>
      <c r="C12" s="125">
        <v>26072026</v>
      </c>
      <c r="D12" s="112" t="s">
        <v>572</v>
      </c>
      <c r="E12" s="113" t="s">
        <v>573</v>
      </c>
      <c r="F12" s="112" t="s">
        <v>567</v>
      </c>
      <c r="G12" s="31"/>
    </row>
    <row r="13" spans="1:10" ht="16.5" customHeight="1" x14ac:dyDescent="0.25">
      <c r="A13" s="51">
        <v>6</v>
      </c>
      <c r="B13" s="156"/>
      <c r="C13" s="125">
        <v>26072026</v>
      </c>
      <c r="D13" s="112" t="s">
        <v>574</v>
      </c>
      <c r="E13" s="113" t="s">
        <v>575</v>
      </c>
      <c r="F13" s="112" t="s">
        <v>567</v>
      </c>
      <c r="G13" s="31"/>
    </row>
    <row r="14" spans="1:10" ht="16.5" customHeight="1" x14ac:dyDescent="0.25">
      <c r="A14" s="51">
        <v>7</v>
      </c>
      <c r="B14" s="156"/>
      <c r="C14" s="125">
        <v>26072026</v>
      </c>
      <c r="D14" s="112" t="s">
        <v>576</v>
      </c>
      <c r="E14" s="113" t="s">
        <v>577</v>
      </c>
      <c r="F14" s="112" t="s">
        <v>567</v>
      </c>
      <c r="G14" s="31"/>
    </row>
    <row r="15" spans="1:10" ht="15.75" customHeight="1" x14ac:dyDescent="0.25">
      <c r="A15" s="51">
        <v>8</v>
      </c>
      <c r="B15" s="156"/>
      <c r="C15" s="125">
        <v>26072026</v>
      </c>
      <c r="D15" s="60" t="s">
        <v>578</v>
      </c>
      <c r="E15" s="113" t="s">
        <v>579</v>
      </c>
      <c r="F15" s="112" t="s">
        <v>567</v>
      </c>
      <c r="G15" s="31"/>
    </row>
    <row r="16" spans="1:10" ht="15.75" x14ac:dyDescent="0.25">
      <c r="A16" s="51">
        <v>9</v>
      </c>
      <c r="B16" s="156"/>
      <c r="C16" s="125">
        <v>26072026</v>
      </c>
      <c r="D16" s="60" t="s">
        <v>580</v>
      </c>
      <c r="E16" s="113" t="s">
        <v>581</v>
      </c>
      <c r="F16" s="112" t="s">
        <v>567</v>
      </c>
      <c r="G16" s="31"/>
    </row>
    <row r="17" spans="1:7" ht="15.75" x14ac:dyDescent="0.25">
      <c r="A17" s="51">
        <v>10</v>
      </c>
      <c r="B17" s="114" t="s">
        <v>585</v>
      </c>
      <c r="C17" s="125">
        <v>26072026</v>
      </c>
      <c r="D17" s="60" t="s">
        <v>582</v>
      </c>
      <c r="E17" s="113" t="s">
        <v>583</v>
      </c>
      <c r="F17" s="112" t="s">
        <v>442</v>
      </c>
      <c r="G17" s="31"/>
    </row>
    <row r="18" spans="1:7" ht="15.75" x14ac:dyDescent="0.25">
      <c r="A18" s="7"/>
      <c r="B18" s="31"/>
      <c r="C18" s="8"/>
      <c r="D18" s="67"/>
      <c r="E18" s="67"/>
      <c r="F18" s="67"/>
      <c r="G18" s="8"/>
    </row>
    <row r="19" spans="1:7" ht="15.75" customHeight="1" x14ac:dyDescent="0.25">
      <c r="A19" s="7"/>
      <c r="B19" s="12" t="s">
        <v>17</v>
      </c>
    </row>
    <row r="20" spans="1:7" ht="15.75" customHeight="1" thickBot="1" x14ac:dyDescent="0.3">
      <c r="A20" s="7"/>
      <c r="B20" s="14"/>
      <c r="C20" s="8"/>
      <c r="D20" s="8"/>
      <c r="E20" s="8"/>
      <c r="F20" s="8"/>
    </row>
    <row r="21" spans="1:7" ht="15.75" customHeight="1" x14ac:dyDescent="0.25">
      <c r="A21" s="15" t="s">
        <v>11</v>
      </c>
      <c r="B21" s="16" t="s">
        <v>18</v>
      </c>
      <c r="C21" s="16" t="s">
        <v>19</v>
      </c>
      <c r="D21" s="16" t="s">
        <v>14</v>
      </c>
      <c r="E21" s="16" t="s">
        <v>15</v>
      </c>
      <c r="F21" s="17" t="s">
        <v>16</v>
      </c>
    </row>
    <row r="22" spans="1:7" ht="15.75" customHeight="1" x14ac:dyDescent="0.25">
      <c r="A22" s="51">
        <v>1</v>
      </c>
      <c r="B22" s="125">
        <v>26072026</v>
      </c>
      <c r="C22" s="134" t="s">
        <v>195</v>
      </c>
      <c r="D22" s="39" t="s">
        <v>28</v>
      </c>
      <c r="E22" s="39">
        <v>3897</v>
      </c>
      <c r="F22" s="51"/>
    </row>
    <row r="23" spans="1:7" ht="15.75" customHeight="1" x14ac:dyDescent="0.25">
      <c r="A23" s="51">
        <v>2</v>
      </c>
      <c r="B23" s="125">
        <v>26072026</v>
      </c>
      <c r="C23" s="134" t="s">
        <v>561</v>
      </c>
      <c r="D23" s="39" t="s">
        <v>33</v>
      </c>
      <c r="E23" s="39">
        <v>3918</v>
      </c>
      <c r="F23" s="51"/>
    </row>
    <row r="24" spans="1:7" ht="15.75" customHeight="1" x14ac:dyDescent="0.25">
      <c r="A24" s="51">
        <v>3</v>
      </c>
      <c r="B24" s="125">
        <v>26072026</v>
      </c>
      <c r="C24" s="134" t="s">
        <v>587</v>
      </c>
      <c r="D24" s="39" t="s">
        <v>35</v>
      </c>
      <c r="E24" s="39">
        <v>3891</v>
      </c>
      <c r="F24" s="51"/>
    </row>
    <row r="25" spans="1:7" ht="15.75" customHeight="1" x14ac:dyDescent="0.25">
      <c r="A25" s="51">
        <v>4</v>
      </c>
      <c r="B25" s="125">
        <v>26072026</v>
      </c>
      <c r="C25" s="87" t="s">
        <v>509</v>
      </c>
      <c r="D25" s="39" t="s">
        <v>39</v>
      </c>
      <c r="E25" s="39">
        <v>3895</v>
      </c>
      <c r="F25" s="51"/>
    </row>
    <row r="26" spans="1:7" ht="15.75" customHeight="1" x14ac:dyDescent="0.25">
      <c r="A26" s="51">
        <v>5</v>
      </c>
      <c r="B26" s="125">
        <v>26072026</v>
      </c>
      <c r="C26" s="87" t="s">
        <v>588</v>
      </c>
      <c r="D26" s="39" t="s">
        <v>43</v>
      </c>
      <c r="E26" s="39">
        <v>3919</v>
      </c>
      <c r="F26" s="51"/>
    </row>
    <row r="27" spans="1:7" ht="15.75" customHeight="1" x14ac:dyDescent="0.25">
      <c r="A27" s="51">
        <v>6</v>
      </c>
      <c r="B27" s="125">
        <v>26072026</v>
      </c>
      <c r="C27" s="87" t="s">
        <v>589</v>
      </c>
      <c r="D27" s="39" t="s">
        <v>44</v>
      </c>
      <c r="E27" s="39">
        <v>3914</v>
      </c>
      <c r="F27" s="51"/>
    </row>
    <row r="28" spans="1:7" ht="15.75" customHeight="1" x14ac:dyDescent="0.25">
      <c r="A28" s="51">
        <v>7</v>
      </c>
      <c r="B28" s="125">
        <v>26072026</v>
      </c>
      <c r="C28" s="87" t="s">
        <v>590</v>
      </c>
      <c r="D28" s="39" t="s">
        <v>45</v>
      </c>
      <c r="E28" s="39">
        <v>3920</v>
      </c>
      <c r="F28" s="51"/>
    </row>
    <row r="29" spans="1:7" ht="15.75" customHeight="1" x14ac:dyDescent="0.25">
      <c r="A29" s="51">
        <v>8</v>
      </c>
      <c r="B29" s="125">
        <v>26072026</v>
      </c>
      <c r="C29" s="87" t="s">
        <v>560</v>
      </c>
      <c r="D29" s="39" t="s">
        <v>46</v>
      </c>
      <c r="E29" s="39">
        <v>3917</v>
      </c>
      <c r="F29" s="51"/>
    </row>
    <row r="30" spans="1:7" ht="15.75" customHeight="1" x14ac:dyDescent="0.25">
      <c r="A30" s="51">
        <v>9</v>
      </c>
      <c r="B30" s="125">
        <v>26072026</v>
      </c>
      <c r="C30" s="87" t="s">
        <v>507</v>
      </c>
      <c r="D30" s="39" t="s">
        <v>47</v>
      </c>
      <c r="E30" s="39">
        <v>3911</v>
      </c>
      <c r="F30" s="51"/>
    </row>
    <row r="31" spans="1:7" ht="15.75" customHeight="1" x14ac:dyDescent="0.25">
      <c r="A31" s="51">
        <v>10</v>
      </c>
      <c r="B31" s="125">
        <v>26072026</v>
      </c>
      <c r="C31" s="87" t="s">
        <v>508</v>
      </c>
      <c r="D31" s="39" t="s">
        <v>50</v>
      </c>
      <c r="E31" s="39">
        <v>3915</v>
      </c>
      <c r="F31" s="51"/>
    </row>
    <row r="32" spans="1:7" ht="15.75" customHeight="1" x14ac:dyDescent="0.25">
      <c r="A32" s="51">
        <v>11</v>
      </c>
      <c r="B32" s="125">
        <v>26072026</v>
      </c>
      <c r="C32" s="87" t="s">
        <v>593</v>
      </c>
      <c r="D32" s="87" t="s">
        <v>368</v>
      </c>
      <c r="E32" s="39" t="s">
        <v>369</v>
      </c>
      <c r="F32" s="51"/>
    </row>
    <row r="33" spans="1:6" ht="15.75" customHeight="1" x14ac:dyDescent="0.25">
      <c r="A33" s="51">
        <v>12</v>
      </c>
      <c r="B33" s="125">
        <v>26072026</v>
      </c>
      <c r="C33" s="87" t="s">
        <v>546</v>
      </c>
      <c r="D33" s="51" t="s">
        <v>370</v>
      </c>
      <c r="E33" s="39" t="s">
        <v>371</v>
      </c>
      <c r="F33" s="51"/>
    </row>
    <row r="34" spans="1:6" ht="15.75" customHeight="1" x14ac:dyDescent="0.25">
      <c r="A34" s="51">
        <v>13</v>
      </c>
      <c r="B34" s="125">
        <v>26072026</v>
      </c>
      <c r="C34" s="87" t="s">
        <v>594</v>
      </c>
      <c r="D34" s="51" t="s">
        <v>372</v>
      </c>
      <c r="E34" s="51" t="s">
        <v>373</v>
      </c>
      <c r="F34" s="51"/>
    </row>
    <row r="35" spans="1:6" ht="15.75" customHeight="1" x14ac:dyDescent="0.25">
      <c r="A35" s="51">
        <v>14</v>
      </c>
      <c r="B35" s="125">
        <v>26072026</v>
      </c>
      <c r="C35" s="87" t="s">
        <v>595</v>
      </c>
      <c r="D35" s="51" t="s">
        <v>374</v>
      </c>
      <c r="E35" s="51" t="s">
        <v>375</v>
      </c>
      <c r="F35" s="51"/>
    </row>
    <row r="36" spans="1:6" ht="15.75" customHeight="1" x14ac:dyDescent="0.25">
      <c r="A36" s="51">
        <v>15</v>
      </c>
      <c r="B36" s="125">
        <v>26072026</v>
      </c>
      <c r="C36" s="87" t="s">
        <v>596</v>
      </c>
      <c r="D36" s="51" t="s">
        <v>376</v>
      </c>
      <c r="E36" s="51" t="s">
        <v>377</v>
      </c>
      <c r="F36" s="51"/>
    </row>
    <row r="37" spans="1:6" ht="15.75" customHeight="1" x14ac:dyDescent="0.25">
      <c r="A37" s="51">
        <v>16</v>
      </c>
      <c r="B37" s="125">
        <v>26072026</v>
      </c>
      <c r="C37" s="87" t="s">
        <v>597</v>
      </c>
      <c r="D37" s="51" t="s">
        <v>378</v>
      </c>
      <c r="E37" s="51" t="s">
        <v>379</v>
      </c>
      <c r="F37" s="51"/>
    </row>
    <row r="38" spans="1:6" ht="15.75" customHeight="1" x14ac:dyDescent="0.25">
      <c r="A38" s="51">
        <v>17</v>
      </c>
      <c r="B38" s="125">
        <v>26072026</v>
      </c>
      <c r="C38" s="87" t="s">
        <v>600</v>
      </c>
      <c r="D38" s="51" t="s">
        <v>451</v>
      </c>
      <c r="E38" s="51" t="s">
        <v>452</v>
      </c>
      <c r="F38" s="51"/>
    </row>
    <row r="39" spans="1:6" ht="15.75" customHeight="1" x14ac:dyDescent="0.25">
      <c r="A39" s="51">
        <v>18</v>
      </c>
      <c r="B39" s="125">
        <v>26072026</v>
      </c>
      <c r="C39" s="87" t="s">
        <v>599</v>
      </c>
      <c r="D39" s="51" t="s">
        <v>453</v>
      </c>
      <c r="E39" s="51" t="s">
        <v>454</v>
      </c>
      <c r="F39" s="51"/>
    </row>
    <row r="40" spans="1:6" ht="15.75" customHeight="1" x14ac:dyDescent="0.25">
      <c r="A40" s="51">
        <v>19</v>
      </c>
      <c r="B40" s="125">
        <v>26072026</v>
      </c>
      <c r="C40" s="87" t="s">
        <v>598</v>
      </c>
      <c r="D40" s="51" t="s">
        <v>455</v>
      </c>
      <c r="E40" s="51" t="s">
        <v>456</v>
      </c>
      <c r="F40" s="51"/>
    </row>
    <row r="41" spans="1:6" ht="15.75" customHeight="1" x14ac:dyDescent="0.25">
      <c r="A41" s="103"/>
      <c r="B41" s="136"/>
      <c r="C41" s="137"/>
      <c r="D41" s="103"/>
      <c r="E41" s="103"/>
      <c r="F41" s="103"/>
    </row>
    <row r="42" spans="1:6" ht="15.75" customHeight="1" x14ac:dyDescent="0.25">
      <c r="A42" s="7"/>
      <c r="B42" s="12" t="s">
        <v>20</v>
      </c>
      <c r="E42" s="8"/>
      <c r="F42" s="8"/>
    </row>
    <row r="43" spans="1:6" ht="15.75" customHeight="1" thickBot="1" x14ac:dyDescent="0.3">
      <c r="A43" s="7"/>
      <c r="B43" s="14"/>
      <c r="C43" s="8"/>
      <c r="D43" s="8"/>
      <c r="E43" s="8"/>
      <c r="F43" s="8"/>
    </row>
    <row r="44" spans="1:6" ht="15.75" customHeight="1" x14ac:dyDescent="0.25">
      <c r="A44" s="15" t="s">
        <v>11</v>
      </c>
      <c r="B44" s="16" t="s">
        <v>21</v>
      </c>
      <c r="C44" s="16" t="s">
        <v>14</v>
      </c>
      <c r="D44" s="16" t="s">
        <v>22</v>
      </c>
      <c r="E44" s="16" t="s">
        <v>23</v>
      </c>
      <c r="F44" s="17" t="s">
        <v>16</v>
      </c>
    </row>
    <row r="45" spans="1:6" ht="15.75" customHeight="1" x14ac:dyDescent="0.25">
      <c r="A45" s="51">
        <v>1</v>
      </c>
      <c r="B45" s="125">
        <v>26072026</v>
      </c>
      <c r="C45" s="51" t="s">
        <v>591</v>
      </c>
      <c r="E45" s="39">
        <v>3962</v>
      </c>
      <c r="F45" s="23"/>
    </row>
    <row r="46" spans="1:6" ht="15.75" customHeight="1" x14ac:dyDescent="0.25">
      <c r="A46" s="51">
        <v>2</v>
      </c>
      <c r="B46" s="125">
        <v>26072026</v>
      </c>
      <c r="C46" s="51" t="s">
        <v>592</v>
      </c>
      <c r="D46" s="40"/>
      <c r="E46" s="23">
        <v>3941</v>
      </c>
      <c r="F46" s="23"/>
    </row>
  </sheetData>
  <mergeCells count="2">
    <mergeCell ref="A3:H3"/>
    <mergeCell ref="B9:B16"/>
  </mergeCells>
  <dataValidations count="2">
    <dataValidation type="list" allowBlank="1" showInputMessage="1" showErrorMessage="1" sqref="F8:F17" xr:uid="{AA60C855-3460-4431-8DB4-EFD3C08A9967}">
      <formula1>"20,40,45,50"</formula1>
      <formula2>0</formula2>
    </dataValidation>
    <dataValidation type="list" allowBlank="1" showInputMessage="1" showErrorMessage="1" sqref="F18" xr:uid="{96C11C0B-7362-4982-AF61-D2E93F5209D4}">
      <formula1>"20,40,45,50"</formula1>
    </dataValidation>
  </dataValidations>
  <pageMargins left="0.11811023622047245" right="0.11811023622047245" top="0.74803149606299213" bottom="0.35433070866141736" header="0.31496062992125984" footer="0.31496062992125984"/>
  <pageSetup paperSize="9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1EFF5-EF40-46A8-89CE-8350048A3503}">
  <dimension ref="A1:J37"/>
  <sheetViews>
    <sheetView workbookViewId="0">
      <selection activeCell="I9" sqref="I9"/>
    </sheetView>
  </sheetViews>
  <sheetFormatPr baseColWidth="10" defaultRowHeight="15" x14ac:dyDescent="0.25"/>
  <cols>
    <col min="1" max="1" width="3.140625" style="26" bestFit="1" customWidth="1"/>
    <col min="2" max="2" width="15.5703125" style="26" bestFit="1" customWidth="1"/>
    <col min="3" max="3" width="19.28515625" style="26" customWidth="1"/>
    <col min="4" max="4" width="19.140625" style="26" customWidth="1"/>
    <col min="5" max="5" width="14.28515625" style="26" customWidth="1"/>
    <col min="6" max="6" width="13.85546875" style="26" bestFit="1" customWidth="1"/>
    <col min="7" max="7" width="12.140625" style="26" bestFit="1" customWidth="1"/>
    <col min="8" max="10" width="11.42578125" style="26"/>
    <col min="11" max="11" width="14.7109375" style="26" bestFit="1" customWidth="1"/>
    <col min="12" max="16384" width="11.42578125" style="26"/>
  </cols>
  <sheetData>
    <row r="1" spans="1:10" s="8" customFormat="1" ht="24.95" customHeight="1" x14ac:dyDescent="0.25">
      <c r="A1" s="7"/>
      <c r="H1" s="9">
        <f>COUNTIF(C8:C11,"&lt;&gt;")</f>
        <v>0</v>
      </c>
      <c r="I1" s="10" t="s">
        <v>8</v>
      </c>
    </row>
    <row r="2" spans="1:10" s="8" customFormat="1" ht="15.75" x14ac:dyDescent="0.25">
      <c r="A2" s="7"/>
      <c r="F2" s="9">
        <f>COUNTIFS(B16:B22,"&lt;&gt;",C16:C22,"VH")</f>
        <v>0</v>
      </c>
      <c r="G2" s="10" t="s">
        <v>7</v>
      </c>
      <c r="H2" s="9">
        <f>COUNTA(C16:C22)-CE2</f>
        <v>4</v>
      </c>
      <c r="I2" s="10" t="s">
        <v>8</v>
      </c>
      <c r="J2" s="11">
        <f>COUNTIF(E16:E21,"VIDE")</f>
        <v>0</v>
      </c>
    </row>
    <row r="3" spans="1:10" s="8" customFormat="1" ht="25.5" x14ac:dyDescent="0.25">
      <c r="A3" s="148" t="s">
        <v>9</v>
      </c>
      <c r="B3" s="148"/>
      <c r="C3" s="148"/>
      <c r="D3" s="148"/>
      <c r="E3" s="148"/>
      <c r="F3" s="148"/>
      <c r="G3" s="148"/>
      <c r="H3" s="148"/>
    </row>
    <row r="4" spans="1:10" s="8" customFormat="1" ht="12.75" x14ac:dyDescent="0.25">
      <c r="A4" s="7"/>
    </row>
    <row r="5" spans="1:10" s="8" customFormat="1" ht="15.75" x14ac:dyDescent="0.25">
      <c r="A5" s="7"/>
      <c r="B5" s="12" t="s">
        <v>10</v>
      </c>
      <c r="G5" s="13">
        <v>46230</v>
      </c>
    </row>
    <row r="6" spans="1:10" s="8" customFormat="1" thickBot="1" x14ac:dyDescent="0.3">
      <c r="A6" s="7"/>
      <c r="B6" s="14"/>
    </row>
    <row r="7" spans="1:10" s="8" customFormat="1" ht="14.25" x14ac:dyDescent="0.25">
      <c r="A7" s="15" t="s">
        <v>11</v>
      </c>
      <c r="B7" s="16" t="s">
        <v>12</v>
      </c>
      <c r="C7" s="16" t="s">
        <v>13</v>
      </c>
      <c r="D7" s="16" t="s">
        <v>14</v>
      </c>
      <c r="E7" s="16" t="s">
        <v>15</v>
      </c>
      <c r="F7" s="17" t="s">
        <v>16</v>
      </c>
    </row>
    <row r="8" spans="1:10" ht="16.5" customHeight="1" x14ac:dyDescent="0.25">
      <c r="A8" s="47"/>
      <c r="B8" s="132"/>
      <c r="C8" s="125"/>
      <c r="D8" s="127"/>
      <c r="E8" s="127"/>
      <c r="F8" s="112"/>
      <c r="G8" s="31"/>
    </row>
    <row r="9" spans="1:10" ht="16.5" customHeight="1" x14ac:dyDescent="0.25">
      <c r="A9" s="47"/>
      <c r="B9" s="133"/>
      <c r="C9" s="125"/>
      <c r="D9" s="128"/>
      <c r="E9" s="129"/>
      <c r="F9" s="112"/>
      <c r="G9" s="31"/>
    </row>
    <row r="10" spans="1:10" ht="15.75" x14ac:dyDescent="0.25">
      <c r="A10" s="47"/>
      <c r="B10" s="133"/>
      <c r="C10" s="125"/>
      <c r="D10" s="131"/>
      <c r="E10" s="130"/>
      <c r="F10" s="51"/>
      <c r="G10" s="31"/>
    </row>
    <row r="11" spans="1:10" ht="15.75" x14ac:dyDescent="0.25">
      <c r="A11" s="47"/>
      <c r="B11" s="79"/>
      <c r="C11" s="89"/>
      <c r="D11" s="51"/>
      <c r="E11" s="51"/>
      <c r="F11" s="51"/>
      <c r="G11" s="31"/>
    </row>
    <row r="12" spans="1:10" ht="15.75" x14ac:dyDescent="0.25">
      <c r="A12" s="7"/>
      <c r="B12" s="31"/>
      <c r="C12" s="8"/>
      <c r="D12" s="67"/>
      <c r="E12" s="67"/>
      <c r="F12" s="67"/>
      <c r="G12" s="8"/>
    </row>
    <row r="13" spans="1:10" ht="15.75" customHeight="1" x14ac:dyDescent="0.25">
      <c r="A13" s="7"/>
      <c r="B13" s="12" t="s">
        <v>17</v>
      </c>
    </row>
    <row r="14" spans="1:10" ht="15.75" customHeight="1" thickBot="1" x14ac:dyDescent="0.3">
      <c r="A14" s="7"/>
      <c r="B14" s="14"/>
      <c r="C14" s="8"/>
      <c r="D14" s="8"/>
      <c r="E14" s="8"/>
      <c r="F14" s="8"/>
    </row>
    <row r="15" spans="1:10" ht="15.75" customHeight="1" x14ac:dyDescent="0.25">
      <c r="A15" s="15" t="s">
        <v>11</v>
      </c>
      <c r="B15" s="16" t="s">
        <v>18</v>
      </c>
      <c r="C15" s="16" t="s">
        <v>19</v>
      </c>
      <c r="D15" s="16" t="s">
        <v>14</v>
      </c>
      <c r="E15" s="16" t="s">
        <v>15</v>
      </c>
      <c r="F15" s="17" t="s">
        <v>16</v>
      </c>
    </row>
    <row r="16" spans="1:10" ht="15.75" customHeight="1" x14ac:dyDescent="0.25">
      <c r="A16" s="51">
        <v>1</v>
      </c>
      <c r="B16" s="125">
        <v>27072026</v>
      </c>
      <c r="C16" s="134" t="s">
        <v>198</v>
      </c>
      <c r="D16" s="23" t="s">
        <v>31</v>
      </c>
      <c r="E16" s="23">
        <v>3892</v>
      </c>
      <c r="F16" s="51"/>
    </row>
    <row r="17" spans="1:6" ht="15.75" customHeight="1" x14ac:dyDescent="0.25">
      <c r="A17" s="51">
        <v>2</v>
      </c>
      <c r="B17" s="125">
        <v>27072026</v>
      </c>
      <c r="C17" s="134" t="s">
        <v>607</v>
      </c>
      <c r="D17" s="23" t="s">
        <v>513</v>
      </c>
      <c r="E17" s="23">
        <v>3944</v>
      </c>
      <c r="F17" s="51"/>
    </row>
    <row r="18" spans="1:6" ht="15.75" customHeight="1" x14ac:dyDescent="0.25">
      <c r="A18" s="51">
        <v>3</v>
      </c>
      <c r="B18" s="125">
        <v>27072026</v>
      </c>
      <c r="C18" s="134" t="s">
        <v>610</v>
      </c>
      <c r="D18" s="51" t="s">
        <v>591</v>
      </c>
      <c r="E18" s="39">
        <v>3962</v>
      </c>
      <c r="F18" s="51"/>
    </row>
    <row r="19" spans="1:6" ht="15.75" customHeight="1" x14ac:dyDescent="0.25">
      <c r="A19" s="51">
        <v>4</v>
      </c>
      <c r="B19" s="125">
        <v>27072026</v>
      </c>
      <c r="C19" s="87" t="s">
        <v>469</v>
      </c>
      <c r="D19" s="51" t="s">
        <v>592</v>
      </c>
      <c r="E19" s="23">
        <v>3941</v>
      </c>
      <c r="F19" s="51"/>
    </row>
    <row r="20" spans="1:6" ht="15.75" customHeight="1" x14ac:dyDescent="0.25">
      <c r="A20" s="51">
        <v>5</v>
      </c>
      <c r="B20" s="125"/>
      <c r="C20" s="87"/>
      <c r="D20" s="23"/>
      <c r="E20" s="23"/>
      <c r="F20" s="51"/>
    </row>
    <row r="21" spans="1:6" ht="15.75" customHeight="1" x14ac:dyDescent="0.25">
      <c r="A21" s="51">
        <v>6</v>
      </c>
      <c r="B21" s="125"/>
      <c r="C21" s="87"/>
      <c r="D21" s="23"/>
      <c r="E21" s="23"/>
      <c r="F21" s="51"/>
    </row>
    <row r="22" spans="1:6" ht="15.75" customHeight="1" x14ac:dyDescent="0.25">
      <c r="A22" s="51"/>
      <c r="B22" s="125"/>
      <c r="C22" s="87"/>
      <c r="D22" s="51"/>
      <c r="E22" s="87"/>
      <c r="F22" s="51"/>
    </row>
    <row r="23" spans="1:6" ht="15.75" customHeight="1" x14ac:dyDescent="0.25">
      <c r="A23" s="7"/>
      <c r="B23" s="46"/>
      <c r="C23" s="45"/>
      <c r="D23" s="45"/>
      <c r="E23" s="45"/>
      <c r="F23" s="45"/>
    </row>
    <row r="24" spans="1:6" ht="15.75" customHeight="1" x14ac:dyDescent="0.25"/>
    <row r="25" spans="1:6" ht="15.75" customHeight="1" x14ac:dyDescent="0.25">
      <c r="A25" s="7"/>
      <c r="B25" s="12" t="s">
        <v>20</v>
      </c>
      <c r="E25" s="8"/>
      <c r="F25" s="8"/>
    </row>
    <row r="26" spans="1:6" ht="15.75" customHeight="1" thickBot="1" x14ac:dyDescent="0.3">
      <c r="A26" s="7"/>
      <c r="B26" s="14"/>
      <c r="C26" s="8"/>
      <c r="D26" s="8"/>
      <c r="E26" s="8"/>
      <c r="F26" s="8"/>
    </row>
    <row r="27" spans="1:6" ht="15.75" customHeight="1" x14ac:dyDescent="0.25">
      <c r="A27" s="15" t="s">
        <v>11</v>
      </c>
      <c r="B27" s="16" t="s">
        <v>21</v>
      </c>
      <c r="C27" s="16" t="s">
        <v>14</v>
      </c>
      <c r="D27" s="16" t="s">
        <v>22</v>
      </c>
      <c r="E27" s="16" t="s">
        <v>23</v>
      </c>
      <c r="F27" s="17" t="s">
        <v>16</v>
      </c>
    </row>
    <row r="28" spans="1:6" ht="15.75" customHeight="1" x14ac:dyDescent="0.25">
      <c r="A28" s="51">
        <v>1</v>
      </c>
      <c r="B28" s="125">
        <v>27072026</v>
      </c>
      <c r="C28" s="51" t="s">
        <v>115</v>
      </c>
      <c r="D28" s="39">
        <v>896535</v>
      </c>
      <c r="E28" s="119">
        <v>3963</v>
      </c>
      <c r="F28" s="119">
        <v>40</v>
      </c>
    </row>
    <row r="29" spans="1:6" ht="15.75" customHeight="1" x14ac:dyDescent="0.25">
      <c r="A29" s="51">
        <v>2</v>
      </c>
      <c r="B29" s="125">
        <v>27072026</v>
      </c>
      <c r="C29" s="40" t="s">
        <v>116</v>
      </c>
      <c r="D29" s="39">
        <v>896540</v>
      </c>
      <c r="E29" s="119">
        <v>3964</v>
      </c>
      <c r="F29" s="119">
        <v>40</v>
      </c>
    </row>
    <row r="30" spans="1:6" ht="15.75" customHeight="1" x14ac:dyDescent="0.25">
      <c r="A30" s="51">
        <v>3</v>
      </c>
      <c r="B30" s="125">
        <v>27072026</v>
      </c>
      <c r="C30" s="40" t="s">
        <v>117</v>
      </c>
      <c r="D30" s="57">
        <v>896539</v>
      </c>
      <c r="E30" s="119">
        <v>3966</v>
      </c>
      <c r="F30" s="119">
        <v>40</v>
      </c>
    </row>
    <row r="31" spans="1:6" ht="15.75" customHeight="1" x14ac:dyDescent="0.25">
      <c r="A31" s="51">
        <v>4</v>
      </c>
      <c r="B31" s="125">
        <v>27072026</v>
      </c>
      <c r="C31" s="51" t="s">
        <v>118</v>
      </c>
      <c r="D31" s="58">
        <v>896531</v>
      </c>
      <c r="E31" s="119">
        <v>3965</v>
      </c>
      <c r="F31" s="119">
        <v>40</v>
      </c>
    </row>
    <row r="32" spans="1:6" ht="15.75" customHeight="1" x14ac:dyDescent="0.25">
      <c r="A32" s="51">
        <v>5</v>
      </c>
      <c r="B32" s="125">
        <v>27072026</v>
      </c>
      <c r="C32" s="51" t="s">
        <v>354</v>
      </c>
      <c r="D32" s="39" t="s">
        <v>355</v>
      </c>
      <c r="E32" s="119">
        <v>3969</v>
      </c>
      <c r="F32" s="119">
        <v>20</v>
      </c>
    </row>
    <row r="33" spans="1:6" x14ac:dyDescent="0.25">
      <c r="A33" s="141">
        <v>6</v>
      </c>
      <c r="B33" s="125">
        <v>27072026</v>
      </c>
      <c r="C33" s="51" t="s">
        <v>356</v>
      </c>
      <c r="D33" s="39" t="s">
        <v>357</v>
      </c>
      <c r="E33" s="40">
        <v>3970</v>
      </c>
      <c r="F33" s="40">
        <v>40</v>
      </c>
    </row>
    <row r="34" spans="1:6" x14ac:dyDescent="0.25">
      <c r="A34" s="141">
        <v>7</v>
      </c>
      <c r="B34" s="125">
        <v>27072026</v>
      </c>
      <c r="C34" s="40" t="s">
        <v>608</v>
      </c>
      <c r="D34" s="51">
        <v>917966</v>
      </c>
      <c r="E34" s="40">
        <v>3968</v>
      </c>
      <c r="F34" s="51">
        <v>40</v>
      </c>
    </row>
    <row r="35" spans="1:6" x14ac:dyDescent="0.25">
      <c r="A35" s="141">
        <v>8</v>
      </c>
      <c r="B35" s="125">
        <v>27072026</v>
      </c>
      <c r="C35" s="51" t="s">
        <v>609</v>
      </c>
      <c r="D35" s="51">
        <v>917967</v>
      </c>
      <c r="E35" s="40">
        <v>3967</v>
      </c>
      <c r="F35" s="51">
        <v>20</v>
      </c>
    </row>
    <row r="36" spans="1:6" x14ac:dyDescent="0.25">
      <c r="A36" s="141">
        <v>9</v>
      </c>
      <c r="B36" s="125">
        <v>27072026</v>
      </c>
      <c r="C36" s="40" t="s">
        <v>601</v>
      </c>
      <c r="D36" s="116">
        <v>3961</v>
      </c>
      <c r="E36" s="40">
        <v>3991</v>
      </c>
      <c r="F36" s="40">
        <v>40</v>
      </c>
    </row>
    <row r="37" spans="1:6" x14ac:dyDescent="0.25">
      <c r="F37" s="140"/>
    </row>
  </sheetData>
  <mergeCells count="1">
    <mergeCell ref="A3:H3"/>
  </mergeCells>
  <dataValidations count="2">
    <dataValidation type="list" allowBlank="1" showInputMessage="1" showErrorMessage="1" sqref="F8:F9" xr:uid="{F82EC6AE-DF37-4D52-A340-456939083A0D}">
      <formula1>"20,40,45,50"</formula1>
      <formula2>0</formula2>
    </dataValidation>
    <dataValidation type="list" allowBlank="1" showInputMessage="1" showErrorMessage="1" sqref="F10:F12 F34:F35" xr:uid="{B8DE89CC-EFD1-45A7-A591-104FD093BB91}">
      <formula1>"20,40,45,50"</formula1>
    </dataValidation>
  </dataValidations>
  <pageMargins left="0.31496062992125984" right="0.11811023622047245" top="0.74803149606299213" bottom="0.15748031496062992" header="0.31496062992125984" footer="0.31496062992125984"/>
  <pageSetup paperSize="9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FC2B6-E3CB-4BB2-A4AB-180065D69F0E}">
  <dimension ref="A1:J36"/>
  <sheetViews>
    <sheetView workbookViewId="0">
      <selection activeCell="J11" sqref="J11"/>
    </sheetView>
  </sheetViews>
  <sheetFormatPr baseColWidth="10" defaultRowHeight="15" x14ac:dyDescent="0.25"/>
  <cols>
    <col min="1" max="1" width="3.140625" style="26" bestFit="1" customWidth="1"/>
    <col min="2" max="2" width="15.5703125" style="26" bestFit="1" customWidth="1"/>
    <col min="3" max="3" width="19.28515625" style="26" customWidth="1"/>
    <col min="4" max="4" width="19.140625" style="26" customWidth="1"/>
    <col min="5" max="5" width="14.28515625" style="26" customWidth="1"/>
    <col min="6" max="6" width="13.85546875" style="26" bestFit="1" customWidth="1"/>
    <col min="7" max="7" width="12.140625" style="26" bestFit="1" customWidth="1"/>
    <col min="8" max="10" width="11.42578125" style="26"/>
    <col min="11" max="11" width="14.7109375" style="26" bestFit="1" customWidth="1"/>
    <col min="12" max="16384" width="11.42578125" style="26"/>
  </cols>
  <sheetData>
    <row r="1" spans="1:10" s="8" customFormat="1" ht="24.95" customHeight="1" x14ac:dyDescent="0.25">
      <c r="A1" s="7"/>
      <c r="H1" s="9">
        <f>COUNTIF(C8:C11,"&lt;&gt;")</f>
        <v>0</v>
      </c>
      <c r="I1" s="10" t="s">
        <v>8</v>
      </c>
    </row>
    <row r="2" spans="1:10" s="8" customFormat="1" ht="15.75" x14ac:dyDescent="0.25">
      <c r="A2" s="7"/>
      <c r="F2" s="9">
        <f>COUNTIFS(B16:B21,"&lt;&gt;",C16:C21,"VH")</f>
        <v>0</v>
      </c>
      <c r="G2" s="10" t="s">
        <v>7</v>
      </c>
      <c r="H2" s="9">
        <f>COUNTA(C16:C21)-CE2</f>
        <v>0</v>
      </c>
      <c r="I2" s="10" t="s">
        <v>8</v>
      </c>
      <c r="J2" s="11">
        <f>COUNTIF(E16:E21,"VIDE")</f>
        <v>0</v>
      </c>
    </row>
    <row r="3" spans="1:10" s="8" customFormat="1" ht="25.5" x14ac:dyDescent="0.25">
      <c r="A3" s="148" t="s">
        <v>9</v>
      </c>
      <c r="B3" s="148"/>
      <c r="C3" s="148"/>
      <c r="D3" s="148"/>
      <c r="E3" s="148"/>
      <c r="F3" s="148"/>
      <c r="G3" s="148"/>
      <c r="H3" s="148"/>
    </row>
    <row r="4" spans="1:10" s="8" customFormat="1" ht="12.75" x14ac:dyDescent="0.25">
      <c r="A4" s="7"/>
    </row>
    <row r="5" spans="1:10" s="8" customFormat="1" ht="15.75" x14ac:dyDescent="0.25">
      <c r="A5" s="7"/>
      <c r="B5" s="12" t="s">
        <v>10</v>
      </c>
      <c r="G5" s="13">
        <v>46231</v>
      </c>
    </row>
    <row r="6" spans="1:10" s="8" customFormat="1" thickBot="1" x14ac:dyDescent="0.3">
      <c r="A6" s="7"/>
      <c r="B6" s="14"/>
    </row>
    <row r="7" spans="1:10" s="8" customFormat="1" ht="14.25" x14ac:dyDescent="0.25">
      <c r="A7" s="15" t="s">
        <v>11</v>
      </c>
      <c r="B7" s="16" t="s">
        <v>12</v>
      </c>
      <c r="C7" s="16" t="s">
        <v>13</v>
      </c>
      <c r="D7" s="16" t="s">
        <v>14</v>
      </c>
      <c r="E7" s="16" t="s">
        <v>15</v>
      </c>
      <c r="F7" s="17" t="s">
        <v>16</v>
      </c>
    </row>
    <row r="8" spans="1:10" ht="16.5" customHeight="1" x14ac:dyDescent="0.25">
      <c r="A8" s="47"/>
      <c r="B8" s="132"/>
      <c r="C8" s="125"/>
      <c r="D8" s="127"/>
      <c r="E8" s="127"/>
      <c r="F8" s="112"/>
      <c r="G8" s="31"/>
    </row>
    <row r="9" spans="1:10" ht="16.5" customHeight="1" x14ac:dyDescent="0.25">
      <c r="A9" s="47"/>
      <c r="B9" s="133"/>
      <c r="C9" s="125"/>
      <c r="D9" s="128"/>
      <c r="E9" s="129"/>
      <c r="F9" s="112"/>
      <c r="G9" s="31"/>
    </row>
    <row r="10" spans="1:10" ht="15.75" x14ac:dyDescent="0.25">
      <c r="A10" s="47"/>
      <c r="B10" s="133"/>
      <c r="C10" s="125"/>
      <c r="D10" s="131"/>
      <c r="E10" s="130"/>
      <c r="F10" s="51"/>
      <c r="G10" s="31"/>
    </row>
    <row r="11" spans="1:10" ht="15.75" x14ac:dyDescent="0.25">
      <c r="A11" s="47"/>
      <c r="B11" s="79"/>
      <c r="C11" s="89"/>
      <c r="D11" s="51"/>
      <c r="E11" s="51"/>
      <c r="F11" s="51"/>
      <c r="G11" s="31"/>
    </row>
    <row r="12" spans="1:10" ht="15.75" x14ac:dyDescent="0.25">
      <c r="A12" s="7"/>
      <c r="B12" s="31"/>
      <c r="C12" s="8"/>
      <c r="D12" s="67"/>
      <c r="E12" s="67"/>
      <c r="F12" s="67"/>
      <c r="G12" s="8"/>
    </row>
    <row r="13" spans="1:10" ht="15.75" customHeight="1" x14ac:dyDescent="0.25">
      <c r="A13" s="7"/>
      <c r="B13" s="12" t="s">
        <v>17</v>
      </c>
    </row>
    <row r="14" spans="1:10" ht="15.75" customHeight="1" thickBot="1" x14ac:dyDescent="0.3">
      <c r="A14" s="7"/>
      <c r="B14" s="14"/>
      <c r="C14" s="8"/>
      <c r="D14" s="8"/>
      <c r="E14" s="8"/>
      <c r="F14" s="8"/>
    </row>
    <row r="15" spans="1:10" ht="15.75" customHeight="1" x14ac:dyDescent="0.25">
      <c r="A15" s="15" t="s">
        <v>11</v>
      </c>
      <c r="B15" s="16" t="s">
        <v>18</v>
      </c>
      <c r="C15" s="16" t="s">
        <v>19</v>
      </c>
      <c r="D15" s="16" t="s">
        <v>14</v>
      </c>
      <c r="E15" s="16" t="s">
        <v>15</v>
      </c>
      <c r="F15" s="17" t="s">
        <v>16</v>
      </c>
    </row>
    <row r="16" spans="1:10" ht="15.75" customHeight="1" x14ac:dyDescent="0.25">
      <c r="A16" s="51">
        <v>1</v>
      </c>
      <c r="B16" s="125"/>
      <c r="C16" s="134"/>
      <c r="D16" s="23"/>
      <c r="E16" s="23"/>
      <c r="F16" s="51"/>
    </row>
    <row r="17" spans="1:6" ht="15.75" customHeight="1" x14ac:dyDescent="0.25">
      <c r="A17" s="51">
        <v>2</v>
      </c>
      <c r="B17" s="125"/>
      <c r="C17" s="134"/>
      <c r="D17" s="23"/>
      <c r="E17" s="23"/>
      <c r="F17" s="51"/>
    </row>
    <row r="18" spans="1:6" ht="15.75" customHeight="1" x14ac:dyDescent="0.25">
      <c r="A18" s="51">
        <v>3</v>
      </c>
      <c r="B18" s="125"/>
      <c r="C18" s="134"/>
      <c r="D18" s="51"/>
      <c r="E18" s="39"/>
      <c r="F18" s="51"/>
    </row>
    <row r="19" spans="1:6" ht="15.75" customHeight="1" x14ac:dyDescent="0.25">
      <c r="A19" s="51">
        <v>4</v>
      </c>
      <c r="B19" s="125"/>
      <c r="C19" s="87"/>
      <c r="D19" s="51"/>
      <c r="E19" s="23"/>
      <c r="F19" s="51"/>
    </row>
    <row r="20" spans="1:6" ht="15.75" customHeight="1" x14ac:dyDescent="0.25">
      <c r="A20" s="51">
        <v>5</v>
      </c>
      <c r="B20" s="125"/>
      <c r="C20" s="87"/>
      <c r="D20" s="23"/>
      <c r="E20" s="23"/>
      <c r="F20" s="51"/>
    </row>
    <row r="21" spans="1:6" ht="15.75" customHeight="1" x14ac:dyDescent="0.25">
      <c r="A21" s="51">
        <v>6</v>
      </c>
      <c r="B21" s="125"/>
      <c r="C21" s="87"/>
      <c r="D21" s="23"/>
      <c r="E21" s="23"/>
      <c r="F21" s="51"/>
    </row>
    <row r="22" spans="1:6" ht="15.75" customHeight="1" x14ac:dyDescent="0.25">
      <c r="A22" s="7"/>
      <c r="B22" s="46"/>
      <c r="C22" s="45"/>
      <c r="D22" s="45"/>
      <c r="E22" s="45"/>
      <c r="F22" s="45"/>
    </row>
    <row r="23" spans="1:6" ht="15.75" customHeight="1" x14ac:dyDescent="0.25"/>
    <row r="24" spans="1:6" ht="15.75" customHeight="1" x14ac:dyDescent="0.25">
      <c r="A24" s="7"/>
      <c r="B24" s="12" t="s">
        <v>20</v>
      </c>
      <c r="E24" s="8"/>
      <c r="F24" s="8"/>
    </row>
    <row r="25" spans="1:6" ht="15.75" customHeight="1" thickBot="1" x14ac:dyDescent="0.3">
      <c r="A25" s="7"/>
      <c r="B25" s="14"/>
      <c r="C25" s="8"/>
      <c r="D25" s="8"/>
      <c r="E25" s="8"/>
      <c r="F25" s="8"/>
    </row>
    <row r="26" spans="1:6" ht="15.75" customHeight="1" x14ac:dyDescent="0.25">
      <c r="A26" s="15" t="s">
        <v>11</v>
      </c>
      <c r="B26" s="16" t="s">
        <v>21</v>
      </c>
      <c r="C26" s="16" t="s">
        <v>14</v>
      </c>
      <c r="D26" s="16" t="s">
        <v>22</v>
      </c>
      <c r="E26" s="16" t="s">
        <v>23</v>
      </c>
      <c r="F26" s="17" t="s">
        <v>16</v>
      </c>
    </row>
    <row r="27" spans="1:6" ht="15.75" customHeight="1" x14ac:dyDescent="0.25">
      <c r="A27" s="51">
        <v>1</v>
      </c>
      <c r="B27" s="125">
        <v>27072026</v>
      </c>
      <c r="C27" s="69" t="s">
        <v>358</v>
      </c>
      <c r="D27" s="69" t="s">
        <v>611</v>
      </c>
      <c r="E27" s="119">
        <v>3995</v>
      </c>
      <c r="F27" s="119">
        <v>40</v>
      </c>
    </row>
    <row r="28" spans="1:6" ht="15.75" customHeight="1" x14ac:dyDescent="0.25">
      <c r="A28" s="51">
        <v>2</v>
      </c>
      <c r="B28" s="125">
        <v>27072026</v>
      </c>
      <c r="C28" s="144" t="s">
        <v>254</v>
      </c>
      <c r="D28" s="69" t="s">
        <v>255</v>
      </c>
      <c r="E28" s="119">
        <v>3993</v>
      </c>
      <c r="F28" s="119">
        <v>40</v>
      </c>
    </row>
    <row r="29" spans="1:6" ht="15.75" customHeight="1" x14ac:dyDescent="0.25">
      <c r="A29" s="51">
        <v>3</v>
      </c>
      <c r="B29" s="125">
        <v>27072026</v>
      </c>
      <c r="C29" s="69" t="s">
        <v>612</v>
      </c>
      <c r="D29" s="69" t="s">
        <v>613</v>
      </c>
      <c r="E29" s="119">
        <v>3992</v>
      </c>
      <c r="F29" s="119">
        <v>40</v>
      </c>
    </row>
    <row r="30" spans="1:6" ht="15.75" customHeight="1" x14ac:dyDescent="0.25">
      <c r="A30" s="51">
        <v>4</v>
      </c>
      <c r="B30" s="125">
        <v>27072026</v>
      </c>
      <c r="C30" s="69" t="s">
        <v>605</v>
      </c>
      <c r="D30" s="69" t="s">
        <v>606</v>
      </c>
      <c r="E30" s="119">
        <v>3994</v>
      </c>
      <c r="F30" s="119">
        <v>40</v>
      </c>
    </row>
    <row r="31" spans="1:6" ht="15.75" customHeight="1" x14ac:dyDescent="0.25">
      <c r="A31" s="51">
        <v>5</v>
      </c>
      <c r="B31" s="125">
        <v>27072026</v>
      </c>
      <c r="C31" s="128" t="s">
        <v>516</v>
      </c>
      <c r="D31" s="129" t="s">
        <v>517</v>
      </c>
      <c r="E31" s="119">
        <v>3996</v>
      </c>
      <c r="F31" s="119">
        <v>20</v>
      </c>
    </row>
    <row r="32" spans="1:6" x14ac:dyDescent="0.25">
      <c r="A32" s="141">
        <v>6</v>
      </c>
      <c r="B32" s="125"/>
      <c r="C32" s="51"/>
      <c r="D32" s="39"/>
      <c r="E32" s="40"/>
      <c r="F32" s="40"/>
    </row>
    <row r="33" spans="1:6" x14ac:dyDescent="0.25">
      <c r="A33" s="141">
        <v>7</v>
      </c>
      <c r="B33" s="125"/>
      <c r="C33" s="40"/>
      <c r="D33" s="51"/>
      <c r="E33" s="40"/>
      <c r="F33" s="51"/>
    </row>
    <row r="34" spans="1:6" x14ac:dyDescent="0.25">
      <c r="A34" s="141">
        <v>8</v>
      </c>
      <c r="B34" s="125"/>
      <c r="C34" s="51"/>
      <c r="D34" s="51"/>
      <c r="E34" s="40"/>
      <c r="F34" s="51"/>
    </row>
    <row r="35" spans="1:6" x14ac:dyDescent="0.25">
      <c r="A35" s="141">
        <v>9</v>
      </c>
      <c r="B35" s="125"/>
      <c r="C35" s="40"/>
      <c r="D35" s="116"/>
      <c r="E35" s="40"/>
      <c r="F35" s="40"/>
    </row>
    <row r="36" spans="1:6" x14ac:dyDescent="0.25">
      <c r="F36" s="140"/>
    </row>
  </sheetData>
  <mergeCells count="1">
    <mergeCell ref="A3:H3"/>
  </mergeCells>
  <dataValidations count="2">
    <dataValidation type="list" allowBlank="1" showInputMessage="1" showErrorMessage="1" sqref="F10:F12 F33:F34" xr:uid="{704A8869-6DD8-4141-94A8-DE4A558E0141}">
      <formula1>"20,40,45,50"</formula1>
    </dataValidation>
    <dataValidation type="list" allowBlank="1" showInputMessage="1" showErrorMessage="1" sqref="F8:F9" xr:uid="{E7DDA54C-A89E-4BA2-BF70-DE35792C56EB}">
      <formula1>"20,40,45,50"</formula1>
      <formula2>0</formula2>
    </dataValidation>
  </dataValidations>
  <pageMargins left="0.31496062992125984" right="0.11811023622047245" top="0.74803149606299213" bottom="0.74803149606299213" header="0.11811023622047245" footer="0.31496062992125984"/>
  <pageSetup paperSize="9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38A7-6E63-4718-B710-EB8FE233D457}">
  <dimension ref="A1:M43"/>
  <sheetViews>
    <sheetView workbookViewId="0">
      <selection activeCell="E9" sqref="E9"/>
    </sheetView>
  </sheetViews>
  <sheetFormatPr baseColWidth="10" defaultRowHeight="15" x14ac:dyDescent="0.25"/>
  <cols>
    <col min="1" max="1" width="3.140625" style="26" bestFit="1" customWidth="1"/>
    <col min="2" max="2" width="15.5703125" style="26" bestFit="1" customWidth="1"/>
    <col min="3" max="3" width="19.28515625" style="26" customWidth="1"/>
    <col min="4" max="4" width="19.140625" style="26" customWidth="1"/>
    <col min="5" max="5" width="14.28515625" style="26" customWidth="1"/>
    <col min="6" max="6" width="13.85546875" style="26" bestFit="1" customWidth="1"/>
    <col min="7" max="7" width="12.140625" style="26" bestFit="1" customWidth="1"/>
    <col min="8" max="10" width="11.42578125" style="26"/>
    <col min="11" max="11" width="14.7109375" style="26" bestFit="1" customWidth="1"/>
    <col min="12" max="16384" width="11.42578125" style="26"/>
  </cols>
  <sheetData>
    <row r="1" spans="1:10" s="8" customFormat="1" ht="24.95" customHeight="1" x14ac:dyDescent="0.25">
      <c r="A1" s="7"/>
      <c r="H1" s="9">
        <f>COUNTIF(C8:C20,"&lt;&gt;")</f>
        <v>11</v>
      </c>
      <c r="I1" s="10" t="s">
        <v>8</v>
      </c>
    </row>
    <row r="2" spans="1:10" s="8" customFormat="1" ht="15.75" x14ac:dyDescent="0.25">
      <c r="A2" s="7"/>
      <c r="F2" s="9">
        <f>COUNTIFS(B25:B30,"&lt;&gt;",C25:C30,"VH")</f>
        <v>0</v>
      </c>
      <c r="G2" s="10" t="s">
        <v>7</v>
      </c>
      <c r="H2" s="9">
        <f>COUNTA(C25:C30)-CE2</f>
        <v>6</v>
      </c>
      <c r="I2" s="10" t="s">
        <v>8</v>
      </c>
      <c r="J2" s="11">
        <f>COUNTIF(E25:E30,"VIDE")</f>
        <v>0</v>
      </c>
    </row>
    <row r="3" spans="1:10" s="8" customFormat="1" ht="25.5" x14ac:dyDescent="0.25">
      <c r="A3" s="148" t="s">
        <v>9</v>
      </c>
      <c r="B3" s="148"/>
      <c r="C3" s="148"/>
      <c r="D3" s="148"/>
      <c r="E3" s="148"/>
      <c r="F3" s="148"/>
      <c r="G3" s="148"/>
      <c r="H3" s="148"/>
    </row>
    <row r="4" spans="1:10" s="8" customFormat="1" ht="12.75" x14ac:dyDescent="0.25">
      <c r="A4" s="7"/>
    </row>
    <row r="5" spans="1:10" s="8" customFormat="1" ht="15.75" x14ac:dyDescent="0.25">
      <c r="A5" s="7"/>
      <c r="B5" s="12" t="s">
        <v>10</v>
      </c>
      <c r="G5" s="13">
        <v>46232</v>
      </c>
    </row>
    <row r="6" spans="1:10" s="8" customFormat="1" thickBot="1" x14ac:dyDescent="0.3">
      <c r="A6" s="7"/>
      <c r="B6" s="14"/>
    </row>
    <row r="7" spans="1:10" s="8" customFormat="1" ht="14.25" x14ac:dyDescent="0.25">
      <c r="A7" s="15" t="s">
        <v>11</v>
      </c>
      <c r="B7" s="16" t="s">
        <v>12</v>
      </c>
      <c r="C7" s="16" t="s">
        <v>13</v>
      </c>
      <c r="D7" s="16" t="s">
        <v>14</v>
      </c>
      <c r="E7" s="16" t="s">
        <v>15</v>
      </c>
      <c r="F7" s="17" t="s">
        <v>16</v>
      </c>
    </row>
    <row r="8" spans="1:10" ht="16.5" customHeight="1" x14ac:dyDescent="0.25">
      <c r="A8" s="47">
        <v>1</v>
      </c>
      <c r="B8" s="112" t="s">
        <v>638</v>
      </c>
      <c r="C8" s="125">
        <v>29072026</v>
      </c>
      <c r="D8" s="115" t="s">
        <v>614</v>
      </c>
      <c r="E8" s="115" t="s">
        <v>615</v>
      </c>
      <c r="F8" s="112" t="s">
        <v>442</v>
      </c>
      <c r="G8" s="31"/>
    </row>
    <row r="9" spans="1:10" ht="16.5" customHeight="1" x14ac:dyDescent="0.25">
      <c r="A9" s="47">
        <v>2</v>
      </c>
      <c r="B9" s="114" t="s">
        <v>639</v>
      </c>
      <c r="C9" s="125">
        <v>29072026</v>
      </c>
      <c r="D9" s="111" t="s">
        <v>616</v>
      </c>
      <c r="E9" s="112" t="s">
        <v>617</v>
      </c>
      <c r="F9" s="112" t="s">
        <v>442</v>
      </c>
      <c r="G9" s="31"/>
    </row>
    <row r="10" spans="1:10" ht="16.5" customHeight="1" x14ac:dyDescent="0.25">
      <c r="A10" s="47">
        <v>3</v>
      </c>
      <c r="B10" s="114" t="s">
        <v>640</v>
      </c>
      <c r="C10" s="125"/>
      <c r="D10" s="112" t="s">
        <v>618</v>
      </c>
      <c r="E10" s="112" t="s">
        <v>619</v>
      </c>
      <c r="F10" s="112" t="s">
        <v>567</v>
      </c>
      <c r="G10" s="31"/>
    </row>
    <row r="11" spans="1:10" ht="16.5" customHeight="1" x14ac:dyDescent="0.25">
      <c r="A11" s="47">
        <v>4</v>
      </c>
      <c r="B11" s="114" t="s">
        <v>641</v>
      </c>
      <c r="C11" s="125">
        <v>29072026</v>
      </c>
      <c r="D11" s="112" t="s">
        <v>620</v>
      </c>
      <c r="E11" s="112" t="s">
        <v>621</v>
      </c>
      <c r="F11" s="112" t="s">
        <v>442</v>
      </c>
      <c r="G11" s="31"/>
    </row>
    <row r="12" spans="1:10" ht="16.5" customHeight="1" x14ac:dyDescent="0.25">
      <c r="A12" s="47">
        <v>5</v>
      </c>
      <c r="B12" s="114" t="s">
        <v>642</v>
      </c>
      <c r="C12" s="125">
        <v>29072026</v>
      </c>
      <c r="D12" s="112" t="s">
        <v>622</v>
      </c>
      <c r="E12" s="113" t="s">
        <v>623</v>
      </c>
      <c r="F12" s="112" t="s">
        <v>442</v>
      </c>
      <c r="G12" s="31"/>
    </row>
    <row r="13" spans="1:10" ht="16.5" customHeight="1" x14ac:dyDescent="0.25">
      <c r="A13" s="47">
        <v>6</v>
      </c>
      <c r="B13" s="114" t="s">
        <v>645</v>
      </c>
      <c r="C13" s="125">
        <v>29072026</v>
      </c>
      <c r="D13" s="112" t="s">
        <v>624</v>
      </c>
      <c r="E13" s="113" t="s">
        <v>625</v>
      </c>
      <c r="F13" s="112" t="s">
        <v>442</v>
      </c>
      <c r="G13" s="31"/>
    </row>
    <row r="14" spans="1:10" ht="16.5" customHeight="1" x14ac:dyDescent="0.25">
      <c r="A14" s="47">
        <v>7</v>
      </c>
      <c r="B14" s="156" t="s">
        <v>643</v>
      </c>
      <c r="C14" s="125">
        <v>29072026</v>
      </c>
      <c r="D14" s="112" t="s">
        <v>626</v>
      </c>
      <c r="E14" s="113" t="s">
        <v>627</v>
      </c>
      <c r="F14" s="112" t="s">
        <v>442</v>
      </c>
      <c r="G14" s="31"/>
    </row>
    <row r="15" spans="1:10" ht="16.5" customHeight="1" x14ac:dyDescent="0.25">
      <c r="A15" s="47">
        <v>8</v>
      </c>
      <c r="B15" s="156"/>
      <c r="C15" s="125">
        <v>29072026</v>
      </c>
      <c r="D15" s="60" t="s">
        <v>628</v>
      </c>
      <c r="E15" s="113" t="s">
        <v>629</v>
      </c>
      <c r="F15" s="112" t="s">
        <v>442</v>
      </c>
      <c r="G15" s="31"/>
    </row>
    <row r="16" spans="1:10" ht="16.5" customHeight="1" x14ac:dyDescent="0.25">
      <c r="A16" s="47">
        <v>9</v>
      </c>
      <c r="B16" s="156" t="s">
        <v>644</v>
      </c>
      <c r="C16" s="125">
        <v>29072026</v>
      </c>
      <c r="D16" s="60" t="s">
        <v>630</v>
      </c>
      <c r="E16" s="113" t="s">
        <v>631</v>
      </c>
      <c r="F16" s="112" t="s">
        <v>442</v>
      </c>
      <c r="G16" s="31"/>
    </row>
    <row r="17" spans="1:13" ht="16.5" customHeight="1" x14ac:dyDescent="0.25">
      <c r="A17" s="47">
        <v>10</v>
      </c>
      <c r="B17" s="156"/>
      <c r="C17" s="125">
        <v>29072026</v>
      </c>
      <c r="D17" s="60" t="s">
        <v>632</v>
      </c>
      <c r="E17" s="113" t="s">
        <v>633</v>
      </c>
      <c r="F17" s="112" t="s">
        <v>442</v>
      </c>
      <c r="G17" s="31"/>
    </row>
    <row r="18" spans="1:13" ht="16.5" customHeight="1" x14ac:dyDescent="0.25">
      <c r="A18" s="47">
        <v>11</v>
      </c>
      <c r="B18" s="114" t="s">
        <v>646</v>
      </c>
      <c r="C18" s="125">
        <v>29072026</v>
      </c>
      <c r="D18" s="112" t="s">
        <v>634</v>
      </c>
      <c r="E18" s="113" t="s">
        <v>635</v>
      </c>
      <c r="F18" s="112" t="s">
        <v>567</v>
      </c>
      <c r="G18" s="31"/>
    </row>
    <row r="19" spans="1:13" ht="16.5" customHeight="1" x14ac:dyDescent="0.25">
      <c r="A19" s="47">
        <v>12</v>
      </c>
      <c r="B19" s="114" t="s">
        <v>647</v>
      </c>
      <c r="C19" s="125">
        <v>29072026</v>
      </c>
      <c r="D19" s="112" t="s">
        <v>636</v>
      </c>
      <c r="E19" s="112" t="s">
        <v>637</v>
      </c>
      <c r="F19" s="112" t="s">
        <v>567</v>
      </c>
      <c r="G19" s="31"/>
    </row>
    <row r="20" spans="1:13" ht="15.75" x14ac:dyDescent="0.25">
      <c r="A20" s="47"/>
      <c r="B20" s="133"/>
      <c r="C20" s="125"/>
      <c r="D20" s="131"/>
      <c r="E20" s="130"/>
      <c r="F20" s="51"/>
      <c r="G20" s="31"/>
    </row>
    <row r="21" spans="1:13" ht="15.75" x14ac:dyDescent="0.25">
      <c r="A21" s="7"/>
      <c r="B21" s="31"/>
      <c r="C21" s="8"/>
      <c r="D21" s="67"/>
      <c r="E21" s="67"/>
      <c r="F21" s="67"/>
      <c r="G21" s="8"/>
    </row>
    <row r="22" spans="1:13" ht="15.75" customHeight="1" x14ac:dyDescent="0.25">
      <c r="A22" s="7"/>
      <c r="B22" s="12" t="s">
        <v>17</v>
      </c>
    </row>
    <row r="23" spans="1:13" ht="15.75" customHeight="1" thickBot="1" x14ac:dyDescent="0.3">
      <c r="A23" s="7"/>
      <c r="B23" s="14"/>
      <c r="C23" s="8"/>
      <c r="D23" s="8"/>
      <c r="E23" s="8"/>
      <c r="F23" s="8"/>
    </row>
    <row r="24" spans="1:13" ht="15.75" customHeight="1" x14ac:dyDescent="0.25">
      <c r="A24" s="15" t="s">
        <v>11</v>
      </c>
      <c r="B24" s="16" t="s">
        <v>18</v>
      </c>
      <c r="C24" s="16" t="s">
        <v>19</v>
      </c>
      <c r="D24" s="16" t="s">
        <v>14</v>
      </c>
      <c r="E24" s="16" t="s">
        <v>15</v>
      </c>
      <c r="F24" s="17" t="s">
        <v>16</v>
      </c>
    </row>
    <row r="25" spans="1:13" ht="15.75" customHeight="1" x14ac:dyDescent="0.25">
      <c r="A25" s="51">
        <v>1</v>
      </c>
      <c r="B25" s="125">
        <v>29072026</v>
      </c>
      <c r="C25" s="134" t="s">
        <v>648</v>
      </c>
      <c r="D25" s="116" t="s">
        <v>245</v>
      </c>
      <c r="E25" s="40">
        <v>3928</v>
      </c>
      <c r="F25" s="51">
        <v>40</v>
      </c>
    </row>
    <row r="26" spans="1:13" ht="15.75" customHeight="1" x14ac:dyDescent="0.25">
      <c r="A26" s="51">
        <v>2</v>
      </c>
      <c r="B26" s="125">
        <v>29072026</v>
      </c>
      <c r="C26" s="134" t="s">
        <v>652</v>
      </c>
      <c r="D26" s="23" t="s">
        <v>608</v>
      </c>
      <c r="E26" s="23">
        <v>3968</v>
      </c>
      <c r="F26" s="51">
        <v>40</v>
      </c>
      <c r="I26" s="142"/>
      <c r="J26" s="142"/>
      <c r="K26" s="142"/>
      <c r="L26" s="142"/>
      <c r="M26" s="142"/>
    </row>
    <row r="27" spans="1:13" ht="15.75" customHeight="1" x14ac:dyDescent="0.25">
      <c r="A27" s="51">
        <v>3</v>
      </c>
      <c r="B27" s="125">
        <v>29072026</v>
      </c>
      <c r="C27" s="134" t="s">
        <v>653</v>
      </c>
      <c r="D27" s="51" t="s">
        <v>609</v>
      </c>
      <c r="E27" s="39">
        <v>3967</v>
      </c>
      <c r="F27" s="51">
        <v>40</v>
      </c>
      <c r="I27" s="142"/>
      <c r="J27" s="142"/>
      <c r="K27" s="142"/>
      <c r="L27" s="142"/>
      <c r="M27" s="142"/>
    </row>
    <row r="28" spans="1:13" ht="15.75" customHeight="1" x14ac:dyDescent="0.25">
      <c r="A28" s="51">
        <v>4</v>
      </c>
      <c r="B28" s="125">
        <v>29072026</v>
      </c>
      <c r="C28" s="87" t="s">
        <v>656</v>
      </c>
      <c r="D28" s="58" t="s">
        <v>511</v>
      </c>
      <c r="E28" s="23">
        <v>3942</v>
      </c>
      <c r="F28" s="51">
        <v>40</v>
      </c>
    </row>
    <row r="29" spans="1:13" ht="15.75" customHeight="1" x14ac:dyDescent="0.25">
      <c r="A29" s="51">
        <v>5</v>
      </c>
      <c r="B29" s="125">
        <v>29072026</v>
      </c>
      <c r="C29" s="87" t="s">
        <v>654</v>
      </c>
      <c r="D29" s="116" t="s">
        <v>364</v>
      </c>
      <c r="E29" s="40" t="s">
        <v>164</v>
      </c>
      <c r="F29" s="51">
        <v>45</v>
      </c>
    </row>
    <row r="30" spans="1:13" ht="15.75" customHeight="1" x14ac:dyDescent="0.25">
      <c r="A30" s="51">
        <v>6</v>
      </c>
      <c r="B30" s="125">
        <v>29072026</v>
      </c>
      <c r="C30" s="87" t="s">
        <v>655</v>
      </c>
      <c r="D30" s="58" t="s">
        <v>651</v>
      </c>
      <c r="E30" s="23">
        <v>3800</v>
      </c>
      <c r="F30" s="51">
        <v>40</v>
      </c>
    </row>
    <row r="31" spans="1:13" ht="15.75" customHeight="1" x14ac:dyDescent="0.25">
      <c r="A31" s="103"/>
      <c r="B31" s="136"/>
      <c r="C31" s="137"/>
      <c r="D31"/>
      <c r="E31" s="45"/>
      <c r="F31" s="103"/>
    </row>
    <row r="32" spans="1:13" ht="15.75" customHeight="1" x14ac:dyDescent="0.25">
      <c r="A32" s="103"/>
      <c r="B32" s="136"/>
      <c r="C32" s="137"/>
      <c r="D32"/>
      <c r="E32" s="45"/>
      <c r="F32" s="103"/>
    </row>
    <row r="33" spans="1:6" ht="15.75" customHeight="1" x14ac:dyDescent="0.25">
      <c r="A33" s="7"/>
      <c r="B33" s="12" t="s">
        <v>20</v>
      </c>
      <c r="E33" s="8"/>
      <c r="F33" s="8"/>
    </row>
    <row r="34" spans="1:6" ht="15.75" customHeight="1" thickBot="1" x14ac:dyDescent="0.3">
      <c r="A34" s="7"/>
      <c r="B34" s="14"/>
      <c r="C34" s="8"/>
      <c r="D34" s="8"/>
      <c r="E34" s="8"/>
      <c r="F34" s="8"/>
    </row>
    <row r="35" spans="1:6" ht="15.75" customHeight="1" x14ac:dyDescent="0.25">
      <c r="A35" s="15" t="s">
        <v>11</v>
      </c>
      <c r="B35" s="16" t="s">
        <v>21</v>
      </c>
      <c r="C35" s="16" t="s">
        <v>14</v>
      </c>
      <c r="D35" s="16" t="s">
        <v>22</v>
      </c>
      <c r="E35" s="16" t="s">
        <v>23</v>
      </c>
      <c r="F35" s="17" t="s">
        <v>16</v>
      </c>
    </row>
    <row r="36" spans="1:6" ht="15.75" customHeight="1" x14ac:dyDescent="0.25">
      <c r="A36" s="51">
        <v>1</v>
      </c>
      <c r="B36" s="125">
        <v>29072026</v>
      </c>
      <c r="C36" s="40" t="s">
        <v>440</v>
      </c>
      <c r="D36" s="40">
        <v>3739580</v>
      </c>
      <c r="E36" s="119">
        <v>3998</v>
      </c>
      <c r="F36" s="119">
        <v>40</v>
      </c>
    </row>
    <row r="37" spans="1:6" ht="15.75" customHeight="1" x14ac:dyDescent="0.25">
      <c r="A37" s="51">
        <v>2</v>
      </c>
      <c r="B37" s="125">
        <v>29072026</v>
      </c>
      <c r="C37" s="58" t="s">
        <v>524</v>
      </c>
      <c r="D37" s="58" t="s">
        <v>525</v>
      </c>
      <c r="E37" s="119">
        <v>3997</v>
      </c>
      <c r="F37" s="119">
        <v>20</v>
      </c>
    </row>
    <row r="38" spans="1:6" ht="15.75" customHeight="1" x14ac:dyDescent="0.25">
      <c r="A38" s="51">
        <v>3</v>
      </c>
      <c r="B38" s="125">
        <v>29072026</v>
      </c>
      <c r="C38" s="40" t="s">
        <v>649</v>
      </c>
      <c r="D38" s="40">
        <v>1098005</v>
      </c>
      <c r="E38" s="119">
        <v>3912</v>
      </c>
      <c r="F38" s="119">
        <v>40</v>
      </c>
    </row>
    <row r="39" spans="1:6" ht="15.75" customHeight="1" x14ac:dyDescent="0.25">
      <c r="A39" s="51">
        <v>4</v>
      </c>
      <c r="B39" s="125">
        <v>29072026</v>
      </c>
      <c r="C39" s="40" t="s">
        <v>650</v>
      </c>
      <c r="D39" s="40">
        <v>1098006</v>
      </c>
      <c r="E39" s="119">
        <v>4000</v>
      </c>
      <c r="F39" s="119">
        <v>40</v>
      </c>
    </row>
    <row r="40" spans="1:6" ht="15.75" customHeight="1" x14ac:dyDescent="0.25">
      <c r="A40" s="51">
        <v>5</v>
      </c>
      <c r="B40" s="125">
        <v>29072026</v>
      </c>
      <c r="C40" s="112" t="s">
        <v>603</v>
      </c>
      <c r="D40" s="112" t="s">
        <v>604</v>
      </c>
      <c r="E40" s="119">
        <v>3951</v>
      </c>
      <c r="F40" s="119">
        <v>40</v>
      </c>
    </row>
    <row r="41" spans="1:6" x14ac:dyDescent="0.25">
      <c r="A41" s="141">
        <v>6</v>
      </c>
      <c r="B41" s="125"/>
      <c r="C41" s="51"/>
      <c r="D41" s="39"/>
      <c r="E41" s="40"/>
      <c r="F41" s="40"/>
    </row>
    <row r="42" spans="1:6" x14ac:dyDescent="0.25">
      <c r="A42" s="141">
        <v>7</v>
      </c>
      <c r="B42" s="125"/>
      <c r="C42" s="40"/>
      <c r="D42" s="51"/>
      <c r="E42" s="40"/>
      <c r="F42" s="51"/>
    </row>
    <row r="43" spans="1:6" x14ac:dyDescent="0.25">
      <c r="F43" s="140"/>
    </row>
  </sheetData>
  <mergeCells count="3">
    <mergeCell ref="A3:H3"/>
    <mergeCell ref="B14:B15"/>
    <mergeCell ref="B16:B17"/>
  </mergeCells>
  <dataValidations count="2">
    <dataValidation type="list" allowBlank="1" showInputMessage="1" showErrorMessage="1" sqref="F8:F19" xr:uid="{90691FF8-A011-48C7-916A-F6C746385A0E}">
      <formula1>"20,40,45,50"</formula1>
      <formula2>0</formula2>
    </dataValidation>
    <dataValidation type="list" allowBlank="1" showInputMessage="1" showErrorMessage="1" sqref="F42 F20:F21" xr:uid="{3C647403-2C3B-4FCA-AB6C-C56967AE19C4}">
      <formula1>"20,40,45,50"</formula1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E27EF-A09C-4D7A-ACEF-FFD2523935A4}">
  <dimension ref="A1:M43"/>
  <sheetViews>
    <sheetView workbookViewId="0">
      <selection activeCell="A3" sqref="A3:H3"/>
    </sheetView>
  </sheetViews>
  <sheetFormatPr baseColWidth="10" defaultRowHeight="15" x14ac:dyDescent="0.25"/>
  <cols>
    <col min="1" max="1" width="3.140625" style="26" bestFit="1" customWidth="1"/>
    <col min="2" max="2" width="15.5703125" style="26" bestFit="1" customWidth="1"/>
    <col min="3" max="3" width="19.28515625" style="26" customWidth="1"/>
    <col min="4" max="4" width="19.140625" style="26" customWidth="1"/>
    <col min="5" max="5" width="14.28515625" style="26" customWidth="1"/>
    <col min="6" max="6" width="13.85546875" style="26" bestFit="1" customWidth="1"/>
    <col min="7" max="7" width="12.140625" style="26" bestFit="1" customWidth="1"/>
    <col min="8" max="10" width="11.42578125" style="26"/>
    <col min="11" max="11" width="14.7109375" style="26" bestFit="1" customWidth="1"/>
    <col min="12" max="16384" width="11.42578125" style="26"/>
  </cols>
  <sheetData>
    <row r="1" spans="1:13" s="8" customFormat="1" ht="24.95" customHeight="1" x14ac:dyDescent="0.25">
      <c r="A1" s="7"/>
      <c r="H1" s="9">
        <f>COUNTIF(C8:C10,"&lt;&gt;")</f>
        <v>1</v>
      </c>
      <c r="I1" s="10" t="s">
        <v>8</v>
      </c>
    </row>
    <row r="2" spans="1:13" s="8" customFormat="1" ht="15.75" x14ac:dyDescent="0.25">
      <c r="A2" s="7"/>
      <c r="F2" s="9">
        <f>COUNTIFS(B15:B20,"&lt;&gt;",C15:C20,"VH")</f>
        <v>0</v>
      </c>
      <c r="G2" s="10" t="s">
        <v>7</v>
      </c>
      <c r="H2" s="9">
        <f>COUNTA(C15:C24)-CE2</f>
        <v>10</v>
      </c>
      <c r="I2" s="10" t="s">
        <v>8</v>
      </c>
      <c r="J2" s="11">
        <f>COUNTIF(E15:E20,"VIDE")</f>
        <v>0</v>
      </c>
    </row>
    <row r="3" spans="1:13" s="8" customFormat="1" ht="25.5" x14ac:dyDescent="0.25">
      <c r="A3" s="148" t="s">
        <v>9</v>
      </c>
      <c r="B3" s="148"/>
      <c r="C3" s="148"/>
      <c r="D3" s="148"/>
      <c r="E3" s="148"/>
      <c r="F3" s="148"/>
      <c r="G3" s="148"/>
      <c r="H3" s="148"/>
    </row>
    <row r="4" spans="1:13" s="8" customFormat="1" ht="12.75" x14ac:dyDescent="0.25">
      <c r="A4" s="7"/>
    </row>
    <row r="5" spans="1:13" s="8" customFormat="1" ht="15.75" x14ac:dyDescent="0.25">
      <c r="A5" s="7"/>
      <c r="B5" s="12" t="s">
        <v>10</v>
      </c>
      <c r="G5" s="13">
        <v>46233</v>
      </c>
    </row>
    <row r="6" spans="1:13" s="8" customFormat="1" thickBot="1" x14ac:dyDescent="0.3">
      <c r="A6" s="7"/>
      <c r="B6" s="14"/>
    </row>
    <row r="7" spans="1:13" s="8" customFormat="1" ht="14.25" x14ac:dyDescent="0.25">
      <c r="A7" s="15" t="s">
        <v>11</v>
      </c>
      <c r="B7" s="16" t="s">
        <v>12</v>
      </c>
      <c r="C7" s="16" t="s">
        <v>13</v>
      </c>
      <c r="D7" s="16" t="s">
        <v>14</v>
      </c>
      <c r="E7" s="16" t="s">
        <v>15</v>
      </c>
      <c r="F7" s="17" t="s">
        <v>16</v>
      </c>
    </row>
    <row r="8" spans="1:13" ht="16.5" customHeight="1" x14ac:dyDescent="0.25">
      <c r="A8" s="47">
        <v>3</v>
      </c>
      <c r="B8" s="114" t="s">
        <v>640</v>
      </c>
      <c r="C8" s="125">
        <v>30072026</v>
      </c>
      <c r="D8" s="112" t="s">
        <v>618</v>
      </c>
      <c r="E8" s="112" t="s">
        <v>619</v>
      </c>
      <c r="F8" s="112" t="s">
        <v>567</v>
      </c>
      <c r="G8" s="31"/>
    </row>
    <row r="9" spans="1:13" ht="16.5" customHeight="1" x14ac:dyDescent="0.25">
      <c r="A9" s="47"/>
      <c r="B9" s="114"/>
      <c r="C9" s="125"/>
      <c r="D9" s="112"/>
      <c r="E9" s="112"/>
      <c r="F9" s="112"/>
      <c r="G9" s="31"/>
    </row>
    <row r="10" spans="1:13" ht="15.75" x14ac:dyDescent="0.25">
      <c r="A10" s="47"/>
      <c r="B10" s="133"/>
      <c r="C10" s="125"/>
      <c r="D10" s="131"/>
      <c r="E10" s="130"/>
      <c r="F10" s="51"/>
      <c r="G10" s="31"/>
    </row>
    <row r="11" spans="1:13" ht="15.75" x14ac:dyDescent="0.25">
      <c r="A11" s="7"/>
      <c r="B11" s="31"/>
      <c r="C11" s="8"/>
      <c r="D11" s="67"/>
      <c r="E11" s="67"/>
      <c r="F11" s="67"/>
      <c r="G11" s="8"/>
    </row>
    <row r="12" spans="1:13" ht="15.75" customHeight="1" x14ac:dyDescent="0.25">
      <c r="A12" s="7"/>
      <c r="B12" s="12" t="s">
        <v>17</v>
      </c>
    </row>
    <row r="13" spans="1:13" ht="15.75" customHeight="1" thickBot="1" x14ac:dyDescent="0.3">
      <c r="A13" s="7"/>
      <c r="B13" s="14"/>
      <c r="C13" s="8"/>
      <c r="D13" s="8"/>
      <c r="E13" s="8"/>
      <c r="F13" s="8"/>
    </row>
    <row r="14" spans="1:13" ht="15.75" customHeight="1" x14ac:dyDescent="0.25">
      <c r="A14" s="15" t="s">
        <v>11</v>
      </c>
      <c r="B14" s="16" t="s">
        <v>18</v>
      </c>
      <c r="C14" s="16" t="s">
        <v>19</v>
      </c>
      <c r="D14" s="16" t="s">
        <v>14</v>
      </c>
      <c r="E14" s="16" t="s">
        <v>15</v>
      </c>
      <c r="F14" s="17" t="s">
        <v>16</v>
      </c>
    </row>
    <row r="15" spans="1:13" ht="15.75" customHeight="1" x14ac:dyDescent="0.25">
      <c r="A15" s="51">
        <v>1</v>
      </c>
      <c r="B15" s="125">
        <v>30072026</v>
      </c>
      <c r="C15" s="134" t="s">
        <v>667</v>
      </c>
      <c r="D15" s="51" t="s">
        <v>115</v>
      </c>
      <c r="E15" s="39">
        <v>3963</v>
      </c>
      <c r="F15" s="51">
        <v>40</v>
      </c>
    </row>
    <row r="16" spans="1:13" ht="15.75" customHeight="1" x14ac:dyDescent="0.25">
      <c r="A16" s="51">
        <v>2</v>
      </c>
      <c r="B16" s="125">
        <v>30072026</v>
      </c>
      <c r="C16" s="134" t="s">
        <v>668</v>
      </c>
      <c r="D16" s="40" t="s">
        <v>116</v>
      </c>
      <c r="E16" s="39">
        <v>3964</v>
      </c>
      <c r="F16" s="51">
        <v>40</v>
      </c>
      <c r="I16" s="142"/>
      <c r="J16" s="142"/>
      <c r="K16" s="142"/>
      <c r="L16" s="142"/>
      <c r="M16" s="142"/>
    </row>
    <row r="17" spans="1:13" ht="15.75" customHeight="1" x14ac:dyDescent="0.25">
      <c r="A17" s="51">
        <v>3</v>
      </c>
      <c r="B17" s="125">
        <v>30072026</v>
      </c>
      <c r="C17" s="134" t="s">
        <v>666</v>
      </c>
      <c r="D17" s="40" t="s">
        <v>117</v>
      </c>
      <c r="E17" s="57">
        <v>3966</v>
      </c>
      <c r="F17" s="51">
        <v>40</v>
      </c>
      <c r="I17" s="142"/>
      <c r="J17" s="142"/>
      <c r="K17" s="142"/>
      <c r="L17" s="142"/>
      <c r="M17" s="142"/>
    </row>
    <row r="18" spans="1:13" ht="15.75" customHeight="1" x14ac:dyDescent="0.25">
      <c r="A18" s="51">
        <v>4</v>
      </c>
      <c r="B18" s="125">
        <v>30072026</v>
      </c>
      <c r="C18" s="87" t="s">
        <v>542</v>
      </c>
      <c r="D18" s="51" t="s">
        <v>118</v>
      </c>
      <c r="E18" s="58">
        <v>3965</v>
      </c>
      <c r="F18" s="51">
        <v>40</v>
      </c>
    </row>
    <row r="19" spans="1:13" ht="15.75" customHeight="1" x14ac:dyDescent="0.25">
      <c r="A19" s="51">
        <v>5</v>
      </c>
      <c r="B19" s="125">
        <v>30072026</v>
      </c>
      <c r="C19" s="87" t="s">
        <v>599</v>
      </c>
      <c r="D19" s="40" t="s">
        <v>660</v>
      </c>
      <c r="E19" s="87" t="s">
        <v>661</v>
      </c>
      <c r="F19" s="51">
        <v>40</v>
      </c>
    </row>
    <row r="20" spans="1:13" ht="15.75" customHeight="1" x14ac:dyDescent="0.25">
      <c r="A20" s="51">
        <v>6</v>
      </c>
      <c r="B20" s="125">
        <v>30072026</v>
      </c>
      <c r="C20" s="87" t="s">
        <v>669</v>
      </c>
      <c r="D20" s="51" t="s">
        <v>662</v>
      </c>
      <c r="E20" s="49" t="s">
        <v>663</v>
      </c>
      <c r="F20" s="51">
        <v>40</v>
      </c>
    </row>
    <row r="21" spans="1:13" ht="15.75" customHeight="1" x14ac:dyDescent="0.25">
      <c r="A21" s="51">
        <v>7</v>
      </c>
      <c r="B21" s="125">
        <v>30072026</v>
      </c>
      <c r="C21" s="87" t="s">
        <v>670</v>
      </c>
      <c r="D21" s="40" t="s">
        <v>664</v>
      </c>
      <c r="E21" s="49" t="s">
        <v>665</v>
      </c>
      <c r="F21" s="51">
        <v>40</v>
      </c>
    </row>
    <row r="22" spans="1:13" ht="15.75" customHeight="1" x14ac:dyDescent="0.25">
      <c r="A22" s="51">
        <v>8</v>
      </c>
      <c r="B22" s="125">
        <v>30072026</v>
      </c>
      <c r="C22" s="87" t="s">
        <v>671</v>
      </c>
      <c r="D22" s="143" t="s">
        <v>516</v>
      </c>
      <c r="E22" s="49">
        <v>3996</v>
      </c>
      <c r="F22" s="51">
        <v>20</v>
      </c>
    </row>
    <row r="23" spans="1:13" ht="15.75" customHeight="1" x14ac:dyDescent="0.25">
      <c r="A23" s="51">
        <v>9</v>
      </c>
      <c r="B23" s="125">
        <v>30072026</v>
      </c>
      <c r="C23" s="87" t="s">
        <v>673</v>
      </c>
      <c r="D23" s="143" t="s">
        <v>672</v>
      </c>
      <c r="E23" s="49" t="s">
        <v>164</v>
      </c>
      <c r="F23" s="51">
        <v>40</v>
      </c>
    </row>
    <row r="24" spans="1:13" ht="15.75" customHeight="1" x14ac:dyDescent="0.25">
      <c r="A24" s="51">
        <v>10</v>
      </c>
      <c r="B24" s="125">
        <v>30072026</v>
      </c>
      <c r="C24" s="87" t="s">
        <v>674</v>
      </c>
      <c r="D24" s="143" t="s">
        <v>612</v>
      </c>
      <c r="E24" s="49">
        <v>3992</v>
      </c>
      <c r="F24" s="51">
        <v>40</v>
      </c>
    </row>
    <row r="25" spans="1:13" ht="15.75" customHeight="1" x14ac:dyDescent="0.25">
      <c r="A25" s="103"/>
      <c r="B25" s="136"/>
      <c r="C25" s="137"/>
      <c r="D25" s="59"/>
      <c r="E25" s="147"/>
      <c r="F25" s="103"/>
    </row>
    <row r="26" spans="1:13" ht="15.75" customHeight="1" x14ac:dyDescent="0.25">
      <c r="A26" s="103"/>
      <c r="B26" s="136"/>
      <c r="C26" s="137"/>
      <c r="D26" s="59"/>
      <c r="E26" s="147"/>
      <c r="F26" s="103"/>
    </row>
    <row r="27" spans="1:13" ht="15.75" customHeight="1" x14ac:dyDescent="0.25">
      <c r="A27" s="103"/>
      <c r="B27" s="136"/>
      <c r="C27" s="137"/>
      <c r="D27"/>
      <c r="E27" s="45"/>
      <c r="F27" s="103"/>
    </row>
    <row r="28" spans="1:13" ht="15.75" customHeight="1" x14ac:dyDescent="0.25">
      <c r="A28" s="7"/>
      <c r="B28" s="12" t="s">
        <v>20</v>
      </c>
      <c r="E28" s="8"/>
      <c r="F28" s="8"/>
    </row>
    <row r="29" spans="1:13" ht="15.75" customHeight="1" thickBot="1" x14ac:dyDescent="0.3">
      <c r="A29" s="7"/>
      <c r="B29" s="14"/>
      <c r="C29" s="8"/>
      <c r="D29" s="8"/>
      <c r="E29" s="8"/>
      <c r="F29" s="8"/>
    </row>
    <row r="30" spans="1:13" ht="15.75" customHeight="1" x14ac:dyDescent="0.25">
      <c r="A30" s="15" t="s">
        <v>11</v>
      </c>
      <c r="B30" s="16" t="s">
        <v>21</v>
      </c>
      <c r="C30" s="16" t="s">
        <v>14</v>
      </c>
      <c r="D30" s="16" t="s">
        <v>22</v>
      </c>
      <c r="E30" s="16" t="s">
        <v>23</v>
      </c>
      <c r="F30" s="17" t="s">
        <v>16</v>
      </c>
    </row>
    <row r="31" spans="1:13" ht="15.75" customHeight="1" x14ac:dyDescent="0.25">
      <c r="A31" s="51">
        <v>1</v>
      </c>
      <c r="B31" s="125">
        <v>30072026</v>
      </c>
      <c r="C31" s="51" t="s">
        <v>203</v>
      </c>
      <c r="D31" s="39" t="s">
        <v>204</v>
      </c>
      <c r="E31" s="40">
        <v>3901</v>
      </c>
      <c r="F31" s="51">
        <v>40</v>
      </c>
    </row>
    <row r="32" spans="1:13" ht="15.75" customHeight="1" x14ac:dyDescent="0.25">
      <c r="A32" s="51">
        <v>2</v>
      </c>
      <c r="B32" s="125">
        <v>30072026</v>
      </c>
      <c r="C32" s="51" t="s">
        <v>205</v>
      </c>
      <c r="D32" s="39" t="s">
        <v>206</v>
      </c>
      <c r="E32" s="40">
        <v>3902</v>
      </c>
      <c r="F32" s="51">
        <v>40</v>
      </c>
    </row>
    <row r="33" spans="1:6" ht="15.75" customHeight="1" x14ac:dyDescent="0.25">
      <c r="A33" s="51">
        <v>3</v>
      </c>
      <c r="B33" s="125">
        <v>30072026</v>
      </c>
      <c r="C33" s="51" t="s">
        <v>207</v>
      </c>
      <c r="D33" s="39" t="s">
        <v>208</v>
      </c>
      <c r="E33" s="40">
        <v>3903</v>
      </c>
      <c r="F33" s="51">
        <v>40</v>
      </c>
    </row>
    <row r="34" spans="1:6" ht="15.75" customHeight="1" x14ac:dyDescent="0.25">
      <c r="A34" s="51">
        <v>4</v>
      </c>
      <c r="B34" s="125">
        <v>30072026</v>
      </c>
      <c r="C34" s="51" t="s">
        <v>209</v>
      </c>
      <c r="D34" s="39" t="s">
        <v>210</v>
      </c>
      <c r="E34" s="40">
        <v>3904</v>
      </c>
      <c r="F34" s="51">
        <v>40</v>
      </c>
    </row>
    <row r="35" spans="1:6" ht="15.75" customHeight="1" x14ac:dyDescent="0.25">
      <c r="A35" s="51">
        <v>5</v>
      </c>
      <c r="B35" s="125">
        <v>30072026</v>
      </c>
      <c r="C35" s="51" t="s">
        <v>211</v>
      </c>
      <c r="D35" s="39" t="s">
        <v>212</v>
      </c>
      <c r="E35" s="40">
        <v>3905</v>
      </c>
      <c r="F35" s="51">
        <v>40</v>
      </c>
    </row>
    <row r="36" spans="1:6" x14ac:dyDescent="0.25">
      <c r="A36" s="40">
        <v>6</v>
      </c>
      <c r="B36" s="125">
        <v>30072026</v>
      </c>
      <c r="C36" s="51" t="s">
        <v>213</v>
      </c>
      <c r="D36" s="39" t="s">
        <v>214</v>
      </c>
      <c r="E36" s="40">
        <v>3906</v>
      </c>
      <c r="F36" s="51">
        <v>40</v>
      </c>
    </row>
    <row r="37" spans="1:6" x14ac:dyDescent="0.25">
      <c r="A37" s="146">
        <v>7</v>
      </c>
      <c r="B37" s="125">
        <v>30072026</v>
      </c>
      <c r="C37" s="87" t="s">
        <v>215</v>
      </c>
      <c r="D37" s="39" t="s">
        <v>216</v>
      </c>
      <c r="E37" s="40">
        <v>3907</v>
      </c>
      <c r="F37" s="51">
        <v>40</v>
      </c>
    </row>
    <row r="38" spans="1:6" x14ac:dyDescent="0.25">
      <c r="A38" s="146">
        <v>8</v>
      </c>
      <c r="B38" s="125">
        <v>30072026</v>
      </c>
      <c r="C38" s="87" t="s">
        <v>217</v>
      </c>
      <c r="D38" s="39" t="s">
        <v>218</v>
      </c>
      <c r="E38" s="40">
        <v>3908</v>
      </c>
      <c r="F38" s="51">
        <v>40</v>
      </c>
    </row>
    <row r="39" spans="1:6" x14ac:dyDescent="0.25">
      <c r="A39" s="146">
        <v>9</v>
      </c>
      <c r="B39" s="125">
        <v>30072026</v>
      </c>
      <c r="C39" s="87" t="s">
        <v>219</v>
      </c>
      <c r="D39" s="39" t="s">
        <v>220</v>
      </c>
      <c r="E39" s="40">
        <v>3909</v>
      </c>
      <c r="F39" s="51">
        <v>40</v>
      </c>
    </row>
    <row r="40" spans="1:6" x14ac:dyDescent="0.25">
      <c r="A40" s="146">
        <v>10</v>
      </c>
      <c r="B40" s="125">
        <v>30072026</v>
      </c>
      <c r="C40" s="51" t="s">
        <v>221</v>
      </c>
      <c r="D40" s="39" t="s">
        <v>206</v>
      </c>
      <c r="E40" s="40">
        <v>3910</v>
      </c>
      <c r="F40" s="51">
        <v>40</v>
      </c>
    </row>
    <row r="41" spans="1:6" x14ac:dyDescent="0.25">
      <c r="A41" s="146">
        <v>11</v>
      </c>
      <c r="B41" s="125">
        <v>30072026</v>
      </c>
      <c r="C41" s="60" t="s">
        <v>484</v>
      </c>
      <c r="D41" s="113" t="s">
        <v>485</v>
      </c>
      <c r="E41" s="40">
        <v>3952</v>
      </c>
      <c r="F41" s="51">
        <v>40</v>
      </c>
    </row>
    <row r="42" spans="1:6" x14ac:dyDescent="0.25">
      <c r="A42" s="146">
        <v>12</v>
      </c>
      <c r="B42" s="125">
        <v>30072026</v>
      </c>
      <c r="C42" s="60" t="s">
        <v>486</v>
      </c>
      <c r="D42" s="113" t="s">
        <v>487</v>
      </c>
      <c r="E42" s="40">
        <v>3954</v>
      </c>
      <c r="F42" s="51">
        <v>40</v>
      </c>
    </row>
    <row r="43" spans="1:6" x14ac:dyDescent="0.25">
      <c r="A43" s="146">
        <v>13</v>
      </c>
      <c r="B43" s="125">
        <v>30072026</v>
      </c>
      <c r="C43" s="40" t="s">
        <v>658</v>
      </c>
      <c r="D43" s="40" t="s">
        <v>659</v>
      </c>
      <c r="E43" s="40">
        <v>3999</v>
      </c>
      <c r="F43" s="51">
        <v>40</v>
      </c>
    </row>
  </sheetData>
  <mergeCells count="1">
    <mergeCell ref="A3:H3"/>
  </mergeCells>
  <dataValidations count="2">
    <dataValidation type="list" allowBlank="1" showInputMessage="1" showErrorMessage="1" sqref="F10:F11" xr:uid="{08912863-099A-45E9-8138-078F67C709F4}">
      <formula1>"20,40,45,50"</formula1>
    </dataValidation>
    <dataValidation type="list" allowBlank="1" showInputMessage="1" showErrorMessage="1" sqref="F8:F9" xr:uid="{65D3D486-677A-424D-B137-02BB089B0DE4}">
      <formula1>"20,40,45,50"</formula1>
      <formula2>0</formula2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22</vt:i4>
      </vt:variant>
    </vt:vector>
  </HeadingPairs>
  <TitlesOfParts>
    <vt:vector size="22" baseType="lpstr">
      <vt:lpstr>DASHBOARD</vt:lpstr>
      <vt:lpstr>01-07</vt:lpstr>
      <vt:lpstr>03-07</vt:lpstr>
      <vt:lpstr>06-07</vt:lpstr>
      <vt:lpstr>07-07</vt:lpstr>
      <vt:lpstr>08-07</vt:lpstr>
      <vt:lpstr>09-07</vt:lpstr>
      <vt:lpstr>12-07</vt:lpstr>
      <vt:lpstr>13-07</vt:lpstr>
      <vt:lpstr>14-07</vt:lpstr>
      <vt:lpstr>15-07</vt:lpstr>
      <vt:lpstr>16-07</vt:lpstr>
      <vt:lpstr>19-07</vt:lpstr>
      <vt:lpstr>20-07</vt:lpstr>
      <vt:lpstr>21-07</vt:lpstr>
      <vt:lpstr>22-07</vt:lpstr>
      <vt:lpstr>23-07</vt:lpstr>
      <vt:lpstr>26-07</vt:lpstr>
      <vt:lpstr>27-07</vt:lpstr>
      <vt:lpstr>28-07</vt:lpstr>
      <vt:lpstr>29-07</vt:lpstr>
      <vt:lpstr>30-07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2026-08-02T07:32:08Z</cp:lastPrinted>
  <dcterms:created xsi:type="dcterms:W3CDTF">2026-07-01T10:30:50Z</dcterms:created>
  <dcterms:modified xsi:type="dcterms:W3CDTF">2026-08-10T11:04:08Z</dcterms:modified>
</cp:coreProperties>
</file>