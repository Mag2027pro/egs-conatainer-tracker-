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ab0b5a2ed962cae/Documents/Samir/"/>
    </mc:Choice>
  </mc:AlternateContent>
  <xr:revisionPtr revIDLastSave="46" documentId="13_ncr:1_{7D9093D7-F298-42E1-9CBE-BCD68AB63A3C}" xr6:coauthVersionLast="47" xr6:coauthVersionMax="47" xr10:uidLastSave="{C293366A-770B-4B46-9569-22445E398944}"/>
  <bookViews>
    <workbookView xWindow="-120" yWindow="-120" windowWidth="29040" windowHeight="15720" xr2:uid="{00000000-000D-0000-FFFF-FFFF00000000}"/>
  </bookViews>
  <sheets>
    <sheet name="DASHBOARD" sheetId="11" r:id="rId1"/>
    <sheet name="20-05" sheetId="10" r:id="rId2"/>
    <sheet name="21-05" sheetId="2" r:id="rId3"/>
    <sheet name="24-05" sheetId="3" r:id="rId4"/>
    <sheet name="25-05" sheetId="4" r:id="rId5"/>
    <sheet name="26-05" sheetId="5" r:id="rId6"/>
    <sheet name="31-05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B5" i="11"/>
  <c r="D5" i="11"/>
  <c r="B4" i="11"/>
  <c r="C4" i="11"/>
  <c r="D4" i="11"/>
  <c r="C7" i="11"/>
  <c r="C6" i="11"/>
  <c r="C3" i="11"/>
  <c r="C2" i="11"/>
  <c r="B7" i="11"/>
  <c r="B6" i="11"/>
  <c r="B3" i="11"/>
  <c r="D3" i="11" s="1"/>
  <c r="D7" i="11"/>
  <c r="B2" i="11"/>
  <c r="H1" i="4"/>
  <c r="H1" i="5"/>
  <c r="H1" i="6"/>
  <c r="J2" i="6"/>
  <c r="F2" i="6"/>
  <c r="H2" i="6" s="1"/>
  <c r="J2" i="5"/>
  <c r="F2" i="5"/>
  <c r="H2" i="5" s="1"/>
  <c r="J2" i="4"/>
  <c r="F2" i="4"/>
  <c r="H2" i="4" s="1"/>
  <c r="H1" i="10"/>
  <c r="J2" i="10"/>
  <c r="F2" i="10"/>
  <c r="H2" i="10" s="1"/>
  <c r="H2" i="2"/>
  <c r="H1" i="2"/>
  <c r="J2" i="2"/>
  <c r="F2" i="2"/>
  <c r="H2" i="3"/>
  <c r="H1" i="3"/>
  <c r="J2" i="3"/>
  <c r="F2" i="3"/>
  <c r="D6" i="11" l="1"/>
  <c r="B24" i="11"/>
  <c r="D2" i="11"/>
  <c r="C24" i="11"/>
  <c r="D24" i="11" l="1"/>
</calcChain>
</file>

<file path=xl/sharedStrings.xml><?xml version="1.0" encoding="utf-8"?>
<sst xmlns="http://schemas.openxmlformats.org/spreadsheetml/2006/main" count="338" uniqueCount="167">
  <si>
    <t>N° Conteneur</t>
  </si>
  <si>
    <t>N° Scellé</t>
  </si>
  <si>
    <t>20/05/2026</t>
  </si>
  <si>
    <t>ML-CN4874026</t>
  </si>
  <si>
    <t>R9795898</t>
  </si>
  <si>
    <t>LB0232420</t>
  </si>
  <si>
    <t>LB0232359</t>
  </si>
  <si>
    <t>LB0266283</t>
  </si>
  <si>
    <t>LB0266286</t>
  </si>
  <si>
    <t>LB0266422</t>
  </si>
  <si>
    <t>LB0266431</t>
  </si>
  <si>
    <t>LB0266299</t>
  </si>
  <si>
    <t>LB0266490</t>
  </si>
  <si>
    <t>LB0266438</t>
  </si>
  <si>
    <t>LB0266485</t>
  </si>
  <si>
    <t>LB0266421</t>
  </si>
  <si>
    <t>LB0266478</t>
  </si>
  <si>
    <t>LB0266437</t>
  </si>
  <si>
    <t>LB0266297</t>
  </si>
  <si>
    <t>LB0266295</t>
  </si>
  <si>
    <t>LB0266423</t>
  </si>
  <si>
    <t>LB0266433</t>
  </si>
  <si>
    <t>LB0266489</t>
  </si>
  <si>
    <t>LB0266482</t>
  </si>
  <si>
    <t>LB0266436</t>
  </si>
  <si>
    <t>LB0266481</t>
  </si>
  <si>
    <t>LB0266488</t>
  </si>
  <si>
    <t>LB0266296</t>
  </si>
  <si>
    <t>LB0266484</t>
  </si>
  <si>
    <t>LB0266483</t>
  </si>
  <si>
    <t>LB0266439</t>
  </si>
  <si>
    <t>LB0266435</t>
  </si>
  <si>
    <t>LB0266348</t>
  </si>
  <si>
    <t>LB0266475</t>
  </si>
  <si>
    <t>LB0266434</t>
  </si>
  <si>
    <t>LB0266432</t>
  </si>
  <si>
    <t xml:space="preserve">N° </t>
  </si>
  <si>
    <t>ML-CN6153407</t>
  </si>
  <si>
    <t>ML-CN6153428</t>
  </si>
  <si>
    <t>RECEPTION</t>
  </si>
  <si>
    <t>SORTIE</t>
  </si>
  <si>
    <t>SCELLE</t>
  </si>
  <si>
    <t xml:space="preserve">Date </t>
  </si>
  <si>
    <t>IMM</t>
  </si>
  <si>
    <t>00436-509-31</t>
  </si>
  <si>
    <t>ML-CN6237504</t>
  </si>
  <si>
    <t>N° CRN</t>
  </si>
  <si>
    <t>0037ICS0114</t>
  </si>
  <si>
    <t>0037ICS0117</t>
  </si>
  <si>
    <t>02133-588-31</t>
  </si>
  <si>
    <t>MSCU775056 3</t>
  </si>
  <si>
    <t>Vol</t>
  </si>
  <si>
    <t>DRYU420743 1</t>
  </si>
  <si>
    <t>FICHE DE MOUVEMENT</t>
  </si>
  <si>
    <t>MSMU928197 0</t>
  </si>
  <si>
    <t>UETU614164 6</t>
  </si>
  <si>
    <t>TLLU466710 6</t>
  </si>
  <si>
    <t>TCKU622040 4</t>
  </si>
  <si>
    <t>TCNU471329 0</t>
  </si>
  <si>
    <t>CMAU022946 0</t>
  </si>
  <si>
    <t>FCIU306000 3</t>
  </si>
  <si>
    <t>Date S</t>
  </si>
  <si>
    <t>Date R</t>
  </si>
  <si>
    <t>0078ICS0151</t>
  </si>
  <si>
    <t>TRHU763561 /4</t>
  </si>
  <si>
    <t>FX444344489</t>
  </si>
  <si>
    <t>0078ICS0179</t>
  </si>
  <si>
    <t>FFAU 372824 /5</t>
  </si>
  <si>
    <t>LG00488313</t>
  </si>
  <si>
    <t>MSBU733842 /0</t>
  </si>
  <si>
    <t>LG00488319</t>
  </si>
  <si>
    <t>0078ICS0135</t>
  </si>
  <si>
    <t>MSMU840453 /5</t>
  </si>
  <si>
    <t>LG00460566</t>
  </si>
  <si>
    <t>MSNU803360 /7</t>
  </si>
  <si>
    <t>LG00460591</t>
  </si>
  <si>
    <t>0078ICS0169</t>
  </si>
  <si>
    <t>MSMU625103 /6</t>
  </si>
  <si>
    <t>0037ICS0025</t>
  </si>
  <si>
    <t>MRSU426341 /8</t>
  </si>
  <si>
    <t>ML-CN4925144</t>
  </si>
  <si>
    <t>0037ICS0014</t>
  </si>
  <si>
    <t>TCLU798602 /7</t>
  </si>
  <si>
    <t>ML-CN4068822</t>
  </si>
  <si>
    <t>ANC° Scellé</t>
  </si>
  <si>
    <t>NOV° Scellé</t>
  </si>
  <si>
    <t>Manque SCAN</t>
  </si>
  <si>
    <t>00244-514-31</t>
  </si>
  <si>
    <t>00067-515-31</t>
  </si>
  <si>
    <t>UETU614164 /6</t>
  </si>
  <si>
    <t>MSDU465894 /1</t>
  </si>
  <si>
    <t>25H1390523</t>
  </si>
  <si>
    <t>25H1396603</t>
  </si>
  <si>
    <t>25H1213222</t>
  </si>
  <si>
    <t>0391ICS0031 /3</t>
  </si>
  <si>
    <t>0391ICS0032 /4</t>
  </si>
  <si>
    <t>0391ICS0033 /4</t>
  </si>
  <si>
    <t>02171-588-31</t>
  </si>
  <si>
    <t>HMMU906728 /4</t>
  </si>
  <si>
    <t>25H1213247</t>
  </si>
  <si>
    <t>25H1213130</t>
  </si>
  <si>
    <t>HMMU902388 /2</t>
  </si>
  <si>
    <t>25H1213243</t>
  </si>
  <si>
    <t>0400ICS0036 /4</t>
  </si>
  <si>
    <t>0400ICS0035 /4</t>
  </si>
  <si>
    <t>0400ICS0041 /4</t>
  </si>
  <si>
    <t>HMMU905523 /6</t>
  </si>
  <si>
    <t>HMMU634396 /4</t>
  </si>
  <si>
    <t>HMMU462640 /9</t>
  </si>
  <si>
    <t>HMMU605626 /5</t>
  </si>
  <si>
    <t>CAXU903878 /3</t>
  </si>
  <si>
    <t>CAXU965894 /8</t>
  </si>
  <si>
    <t>CHSU809431 /6</t>
  </si>
  <si>
    <t>FSCU987305 /7</t>
  </si>
  <si>
    <t>GATU852786 /7</t>
  </si>
  <si>
    <t>GCNU464217 /2</t>
  </si>
  <si>
    <t>GLDU063183 /5</t>
  </si>
  <si>
    <t>HLXU624229 /8</t>
  </si>
  <si>
    <t>HPCU401944 /2</t>
  </si>
  <si>
    <t>INKU228395 /6</t>
  </si>
  <si>
    <t>MOTU040902 /0</t>
  </si>
  <si>
    <t>NYKU553573 /0</t>
  </si>
  <si>
    <t>SVWU501049 /0</t>
  </si>
  <si>
    <t>SVWU644047 /5</t>
  </si>
  <si>
    <t>TCKU965219 /2</t>
  </si>
  <si>
    <t>TCKU965488 /9</t>
  </si>
  <si>
    <t>TCLU512420 /8</t>
  </si>
  <si>
    <t>TCNU901453 /0</t>
  </si>
  <si>
    <t>TCNU933139 /2</t>
  </si>
  <si>
    <t>TGHU609641 /3</t>
  </si>
  <si>
    <t>TGHU623035 /3</t>
  </si>
  <si>
    <t>TGHU845285 /3</t>
  </si>
  <si>
    <t>TGHU857904 /6</t>
  </si>
  <si>
    <t>TOPU503238 /9</t>
  </si>
  <si>
    <t>TRLU667802 /9</t>
  </si>
  <si>
    <t>WEDU801919 /7</t>
  </si>
  <si>
    <t>YMLU816005 /6</t>
  </si>
  <si>
    <t>Date V</t>
  </si>
  <si>
    <t>MRKU332531 /7</t>
  </si>
  <si>
    <t>SUDU698880 /7</t>
  </si>
  <si>
    <t>CAAU860798 /3</t>
  </si>
  <si>
    <t>MSCU775056 /3</t>
  </si>
  <si>
    <t>DRYU420743 /1</t>
  </si>
  <si>
    <t>MSMU928197 /0</t>
  </si>
  <si>
    <t>TLLU466710 /6</t>
  </si>
  <si>
    <t>TCKU622040 /4</t>
  </si>
  <si>
    <t>TCNU471329 /0</t>
  </si>
  <si>
    <t>CMAU022946 /0</t>
  </si>
  <si>
    <t>FCIU306000 /3</t>
  </si>
  <si>
    <t>CAAU530515 /1</t>
  </si>
  <si>
    <t>DFSU313519 /5</t>
  </si>
  <si>
    <t>TDRU461667 /6</t>
  </si>
  <si>
    <t>TDRU909110 /6</t>
  </si>
  <si>
    <t>BLTU211703 /6</t>
  </si>
  <si>
    <t>NLLU200463 /9</t>
  </si>
  <si>
    <t>VISITE</t>
  </si>
  <si>
    <t>TCLU28985 /8</t>
  </si>
  <si>
    <t>Depotage</t>
  </si>
  <si>
    <t>GROUPAGE</t>
  </si>
  <si>
    <t>Date</t>
  </si>
  <si>
    <t>TC Réceptionnés</t>
  </si>
  <si>
    <t>TC Sortis</t>
  </si>
  <si>
    <t>Total Mouvements</t>
  </si>
  <si>
    <t>TC Sortis
VIDE</t>
  </si>
  <si>
    <t>Total</t>
  </si>
  <si>
    <t>TC</t>
  </si>
  <si>
    <t>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</si>
</sst>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&quot;/&quot;##&quot;/&quot;####"/>
    <numFmt numFmtId="165" formatCode="yyyy\-mm\-dd;@"/>
  </numFmts>
  <fonts count="13" x14ac:knownFonts="1">
    <font>
      <sz val="11"/>
      <name val="Calibri"/>
    </font>
    <font>
      <sz val="10"/>
      <name val="Calibri"/>
      <family val="2"/>
    </font>
    <font>
      <b/>
      <sz val="10"/>
      <color rgb="FF2C3E50"/>
      <name val="Segoe UI"/>
      <family val="2"/>
    </font>
    <font>
      <b/>
      <sz val="10"/>
      <color rgb="FFFFFFFF"/>
      <name val="Segoe UI"/>
      <family val="2"/>
    </font>
    <font>
      <sz val="10"/>
      <color rgb="FF334155"/>
      <name val="Segoe U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6"/>
      <name val="Segoe U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4" fillId="0" borderId="16" xfId="0" applyFon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14" fontId="8" fillId="0" borderId="0" xfId="0" applyNumberFormat="1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9" fillId="0" borderId="0" xfId="0" applyFont="1">
      <alignment vertical="center"/>
    </xf>
    <xf numFmtId="164" fontId="4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0" fillId="0" borderId="0" xfId="0" applyAlignment="1"/>
    <xf numFmtId="165" fontId="11" fillId="4" borderId="17" xfId="0" applyNumberFormat="1" applyFont="1" applyFill="1" applyBorder="1" applyAlignment="1">
      <alignment horizontal="center" vertical="center"/>
    </xf>
    <xf numFmtId="3" fontId="12" fillId="5" borderId="17" xfId="0" applyNumberFormat="1" applyFont="1" applyFill="1" applyBorder="1" applyAlignment="1">
      <alignment horizontal="center" vertical="center"/>
    </xf>
    <xf numFmtId="3" fontId="11" fillId="6" borderId="17" xfId="0" applyNumberFormat="1" applyFont="1" applyFill="1" applyBorder="1" applyAlignment="1">
      <alignment horizontal="center" vertical="center"/>
    </xf>
    <xf numFmtId="3" fontId="10" fillId="3" borderId="17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5" fillId="7" borderId="0" xfId="0" applyFont="1" applyFill="1">
      <alignment vertical="center"/>
    </xf>
  </cellXfs>
  <cellStyles count="1">
    <cellStyle name="Normal" xfId="0" builtinId="0"/>
  </cellStyles>
  <dxfs count="6"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C2FEF9C-20A2-4830-A72A-BBCA163E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667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65</xdr:row>
      <xdr:rowOff>0</xdr:rowOff>
    </xdr:from>
    <xdr:to>
      <xdr:col>6</xdr:col>
      <xdr:colOff>0</xdr:colOff>
      <xdr:row>68</xdr:row>
      <xdr:rowOff>161925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B809B17-783B-47F2-9DC7-A9D7175D6F4E}"/>
            </a:ext>
          </a:extLst>
        </xdr:cNvPr>
        <xdr:cNvCxnSpPr/>
      </xdr:nvCxnSpPr>
      <xdr:spPr>
        <a:xfrm>
          <a:off x="9525" y="5057775"/>
          <a:ext cx="5553075" cy="76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82</xdr:row>
      <xdr:rowOff>19050</xdr:rowOff>
    </xdr:from>
    <xdr:to>
      <xdr:col>6</xdr:col>
      <xdr:colOff>9525</xdr:colOff>
      <xdr:row>83</xdr:row>
      <xdr:rowOff>171450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6155B9A-F340-4879-9560-EC2501928AD4}"/>
            </a:ext>
          </a:extLst>
        </xdr:cNvPr>
        <xdr:cNvCxnSpPr/>
      </xdr:nvCxnSpPr>
      <xdr:spPr>
        <a:xfrm>
          <a:off x="19050" y="8448675"/>
          <a:ext cx="5553075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6C78A9E-ADB1-40A5-88A0-2E9E25B2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5</xdr:col>
      <xdr:colOff>914400</xdr:colOff>
      <xdr:row>13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93CD34A-1A53-1F84-6DB0-B704E37152A9}"/>
            </a:ext>
          </a:extLst>
        </xdr:cNvPr>
        <xdr:cNvCxnSpPr/>
      </xdr:nvCxnSpPr>
      <xdr:spPr>
        <a:xfrm>
          <a:off x="19050" y="2876550"/>
          <a:ext cx="5534025" cy="57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22</xdr:row>
      <xdr:rowOff>0</xdr:rowOff>
    </xdr:from>
    <xdr:to>
      <xdr:col>6</xdr:col>
      <xdr:colOff>0</xdr:colOff>
      <xdr:row>25</xdr:row>
      <xdr:rowOff>161925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7D414346-3655-E0CE-3168-1370799C6E3A}"/>
            </a:ext>
          </a:extLst>
        </xdr:cNvPr>
        <xdr:cNvCxnSpPr/>
      </xdr:nvCxnSpPr>
      <xdr:spPr>
        <a:xfrm>
          <a:off x="9525" y="5057775"/>
          <a:ext cx="5553075" cy="76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39</xdr:row>
      <xdr:rowOff>19050</xdr:rowOff>
    </xdr:from>
    <xdr:to>
      <xdr:col>6</xdr:col>
      <xdr:colOff>9525</xdr:colOff>
      <xdr:row>40</xdr:row>
      <xdr:rowOff>171450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4359BE68-6AFA-3920-F56F-E7A8582E9630}"/>
            </a:ext>
          </a:extLst>
        </xdr:cNvPr>
        <xdr:cNvCxnSpPr/>
      </xdr:nvCxnSpPr>
      <xdr:spPr>
        <a:xfrm>
          <a:off x="19050" y="8448675"/>
          <a:ext cx="5553075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2</xdr:col>
      <xdr:colOff>895350</xdr:colOff>
      <xdr:row>1</xdr:row>
      <xdr:rowOff>182245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E8C0967-D23B-4298-82A0-51EE23436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525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</xdr:row>
      <xdr:rowOff>19050</xdr:rowOff>
    </xdr:from>
    <xdr:to>
      <xdr:col>6</xdr:col>
      <xdr:colOff>0</xdr:colOff>
      <xdr:row>25</xdr:row>
      <xdr:rowOff>190500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B412DB91-1596-9D6F-F266-98EF3A96EC44}"/>
            </a:ext>
          </a:extLst>
        </xdr:cNvPr>
        <xdr:cNvCxnSpPr/>
      </xdr:nvCxnSpPr>
      <xdr:spPr>
        <a:xfrm>
          <a:off x="9525" y="4695825"/>
          <a:ext cx="5553075" cy="1171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</xdr:row>
      <xdr:rowOff>19050</xdr:rowOff>
    </xdr:from>
    <xdr:to>
      <xdr:col>5</xdr:col>
      <xdr:colOff>9525</xdr:colOff>
      <xdr:row>38</xdr:row>
      <xdr:rowOff>190500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C4D7B4CD-6055-340A-EC65-13B0BF4E2902}"/>
            </a:ext>
          </a:extLst>
        </xdr:cNvPr>
        <xdr:cNvCxnSpPr/>
      </xdr:nvCxnSpPr>
      <xdr:spPr>
        <a:xfrm>
          <a:off x="19050" y="7067550"/>
          <a:ext cx="4629150" cy="13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38AD22B-1304-4DFD-A0D0-FA655DC1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19050</xdr:rowOff>
    </xdr:from>
    <xdr:to>
      <xdr:col>6</xdr:col>
      <xdr:colOff>9525</xdr:colOff>
      <xdr:row>16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0A90317-8357-456C-84A6-63BEA5DD1547}"/>
            </a:ext>
          </a:extLst>
        </xdr:cNvPr>
        <xdr:cNvCxnSpPr/>
      </xdr:nvCxnSpPr>
      <xdr:spPr>
        <a:xfrm>
          <a:off x="0" y="2295525"/>
          <a:ext cx="5572125" cy="158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0</xdr:rowOff>
    </xdr:from>
    <xdr:to>
      <xdr:col>6</xdr:col>
      <xdr:colOff>0</xdr:colOff>
      <xdr:row>25</xdr:row>
      <xdr:rowOff>180975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839F0D20-3C98-4F83-8F28-7CFA73B61BA3}"/>
            </a:ext>
          </a:extLst>
        </xdr:cNvPr>
        <xdr:cNvCxnSpPr/>
      </xdr:nvCxnSpPr>
      <xdr:spPr>
        <a:xfrm>
          <a:off x="0" y="5076825"/>
          <a:ext cx="55626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32</xdr:row>
      <xdr:rowOff>9525</xdr:rowOff>
    </xdr:from>
    <xdr:to>
      <xdr:col>5</xdr:col>
      <xdr:colOff>0</xdr:colOff>
      <xdr:row>38</xdr:row>
      <xdr:rowOff>180975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AC7038B2-1133-4A43-B3B8-E15D14EF8D6C}"/>
            </a:ext>
          </a:extLst>
        </xdr:cNvPr>
        <xdr:cNvCxnSpPr/>
      </xdr:nvCxnSpPr>
      <xdr:spPr>
        <a:xfrm>
          <a:off x="9525" y="7058025"/>
          <a:ext cx="4629150" cy="13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9525</xdr:rowOff>
    </xdr:from>
    <xdr:to>
      <xdr:col>6</xdr:col>
      <xdr:colOff>0</xdr:colOff>
      <xdr:row>25</xdr:row>
      <xdr:rowOff>180975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2946DBE8-8CAD-446F-B93A-82B5661F384E}"/>
            </a:ext>
          </a:extLst>
        </xdr:cNvPr>
        <xdr:cNvCxnSpPr/>
      </xdr:nvCxnSpPr>
      <xdr:spPr>
        <a:xfrm>
          <a:off x="0" y="4886325"/>
          <a:ext cx="5562600" cy="971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32</xdr:row>
      <xdr:rowOff>9525</xdr:rowOff>
    </xdr:from>
    <xdr:to>
      <xdr:col>5</xdr:col>
      <xdr:colOff>0</xdr:colOff>
      <xdr:row>38</xdr:row>
      <xdr:rowOff>180975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51091A8D-FC27-437A-8E1B-341C951A272F}"/>
            </a:ext>
          </a:extLst>
        </xdr:cNvPr>
        <xdr:cNvCxnSpPr/>
      </xdr:nvCxnSpPr>
      <xdr:spPr>
        <a:xfrm>
          <a:off x="9525" y="7058025"/>
          <a:ext cx="4629150" cy="13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9525</xdr:rowOff>
    </xdr:from>
    <xdr:to>
      <xdr:col>6</xdr:col>
      <xdr:colOff>0</xdr:colOff>
      <xdr:row>15</xdr:row>
      <xdr:rowOff>190500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C90D3789-C267-4865-A210-502FD8B998C7}"/>
            </a:ext>
          </a:extLst>
        </xdr:cNvPr>
        <xdr:cNvCxnSpPr/>
      </xdr:nvCxnSpPr>
      <xdr:spPr>
        <a:xfrm>
          <a:off x="0" y="2886075"/>
          <a:ext cx="5562600" cy="981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FBC4A1-9F3F-43AF-AD50-BA08DC91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20</xdr:row>
      <xdr:rowOff>38100</xdr:rowOff>
    </xdr:from>
    <xdr:to>
      <xdr:col>6</xdr:col>
      <xdr:colOff>0</xdr:colOff>
      <xdr:row>25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53A33444-16AF-43EC-AD94-A8676427D2B4}"/>
            </a:ext>
          </a:extLst>
        </xdr:cNvPr>
        <xdr:cNvCxnSpPr/>
      </xdr:nvCxnSpPr>
      <xdr:spPr>
        <a:xfrm>
          <a:off x="19050" y="4714875"/>
          <a:ext cx="5543550" cy="1143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32</xdr:row>
      <xdr:rowOff>9525</xdr:rowOff>
    </xdr:from>
    <xdr:to>
      <xdr:col>5</xdr:col>
      <xdr:colOff>0</xdr:colOff>
      <xdr:row>38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5D6E8D2A-3919-4E36-91E8-94794E6C6EA1}"/>
            </a:ext>
          </a:extLst>
        </xdr:cNvPr>
        <xdr:cNvCxnSpPr/>
      </xdr:nvCxnSpPr>
      <xdr:spPr>
        <a:xfrm>
          <a:off x="9525" y="7058025"/>
          <a:ext cx="4629150" cy="1371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9525</xdr:rowOff>
    </xdr:from>
    <xdr:to>
      <xdr:col>6</xdr:col>
      <xdr:colOff>0</xdr:colOff>
      <xdr:row>15</xdr:row>
      <xdr:rowOff>190500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675BBA9D-4BBD-4DB1-9619-A932440527D0}"/>
            </a:ext>
          </a:extLst>
        </xdr:cNvPr>
        <xdr:cNvCxnSpPr/>
      </xdr:nvCxnSpPr>
      <xdr:spPr>
        <a:xfrm>
          <a:off x="0" y="2886075"/>
          <a:ext cx="5562600" cy="981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172720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3DE1755-53B4-4F9C-8325-0D125A98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87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D1DC-DCCD-48EE-93A2-9334C15076EB}">
  <dimension ref="A1:F24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47" style="45" customWidth="1"/>
    <col min="2" max="2" width="18" style="45" bestFit="1" customWidth="1"/>
    <col min="3" max="3" width="17.42578125" style="45" bestFit="1" customWidth="1"/>
    <col min="4" max="4" width="20.28515625" style="45" bestFit="1" customWidth="1"/>
    <col min="5" max="5" width="4.85546875" style="45" customWidth="1"/>
    <col min="6" max="6" width="15.42578125" style="45" customWidth="1"/>
    <col min="7" max="16384" width="9.140625" style="45"/>
  </cols>
  <sheetData>
    <row r="1" spans="1:6" ht="33" x14ac:dyDescent="0.25">
      <c r="A1" s="44" t="s">
        <v>159</v>
      </c>
      <c r="B1" s="44" t="s">
        <v>160</v>
      </c>
      <c r="C1" s="44" t="s">
        <v>161</v>
      </c>
      <c r="D1" s="44" t="s">
        <v>162</v>
      </c>
      <c r="E1" s="44"/>
      <c r="F1" s="44" t="s">
        <v>163</v>
      </c>
    </row>
    <row r="2" spans="1:6" ht="16.5" x14ac:dyDescent="0.25">
      <c r="A2" s="46">
        <v>46162</v>
      </c>
      <c r="B2" s="47">
        <f>'20-05'!H1</f>
        <v>33</v>
      </c>
      <c r="C2" s="47">
        <f>'20-05'!H2</f>
        <v>0</v>
      </c>
      <c r="D2" s="48">
        <f t="shared" ref="D2:D7" si="0">SUM(B2:C2)</f>
        <v>33</v>
      </c>
      <c r="F2" s="47"/>
    </row>
    <row r="3" spans="1:6" ht="16.5" x14ac:dyDescent="0.25">
      <c r="A3" s="46">
        <v>46163</v>
      </c>
      <c r="B3" s="47">
        <f>'21-05'!H1</f>
        <v>3</v>
      </c>
      <c r="C3" s="47">
        <f>'21-05'!H2</f>
        <v>2</v>
      </c>
      <c r="D3" s="48">
        <f t="shared" si="0"/>
        <v>5</v>
      </c>
      <c r="F3" s="47"/>
    </row>
    <row r="4" spans="1:6" ht="16.5" x14ac:dyDescent="0.25">
      <c r="A4" s="46">
        <v>46166</v>
      </c>
      <c r="B4" s="47">
        <f>'24-05'!H1</f>
        <v>9</v>
      </c>
      <c r="C4" s="47">
        <f>'24-05'!H2</f>
        <v>0</v>
      </c>
      <c r="D4" s="48">
        <f t="shared" si="0"/>
        <v>9</v>
      </c>
      <c r="F4" s="47"/>
    </row>
    <row r="5" spans="1:6" ht="16.5" x14ac:dyDescent="0.25">
      <c r="A5" s="46">
        <v>46167</v>
      </c>
      <c r="B5" s="47">
        <f>'25-05'!H1</f>
        <v>0</v>
      </c>
      <c r="C5" s="47">
        <f>'25-05'!H2</f>
        <v>2</v>
      </c>
      <c r="D5" s="48">
        <f t="shared" ref="D5" si="1">SUM(B5:C5)</f>
        <v>2</v>
      </c>
      <c r="F5" s="47"/>
    </row>
    <row r="6" spans="1:6" ht="16.5" x14ac:dyDescent="0.25">
      <c r="A6" s="46">
        <v>46168</v>
      </c>
      <c r="B6" s="47">
        <f>'26-05'!H1</f>
        <v>3</v>
      </c>
      <c r="C6" s="47">
        <f>'26-05'!H2</f>
        <v>1</v>
      </c>
      <c r="D6" s="48">
        <f t="shared" si="0"/>
        <v>4</v>
      </c>
      <c r="F6" s="47"/>
    </row>
    <row r="7" spans="1:6" ht="16.5" x14ac:dyDescent="0.25">
      <c r="A7" s="46">
        <v>46173</v>
      </c>
      <c r="B7" s="47">
        <f>'31-05'!H1</f>
        <v>3</v>
      </c>
      <c r="C7" s="47">
        <f>'31-05'!H2</f>
        <v>0</v>
      </c>
      <c r="D7" s="48">
        <f t="shared" si="0"/>
        <v>3</v>
      </c>
      <c r="F7" s="47"/>
    </row>
    <row r="8" spans="1:6" ht="16.5" x14ac:dyDescent="0.25">
      <c r="A8" s="46">
        <v>46167</v>
      </c>
      <c r="B8" s="47"/>
      <c r="C8" s="47"/>
      <c r="D8" s="48"/>
      <c r="F8" s="47"/>
    </row>
    <row r="9" spans="1:6" ht="16.5" x14ac:dyDescent="0.25">
      <c r="A9" s="46">
        <v>46274</v>
      </c>
      <c r="B9" s="47"/>
      <c r="C9" s="47"/>
      <c r="D9" s="48"/>
      <c r="F9" s="47"/>
    </row>
    <row r="10" spans="1:6" ht="16.5" x14ac:dyDescent="0.25">
      <c r="A10" s="46">
        <v>46275</v>
      </c>
      <c r="B10" s="47"/>
      <c r="C10" s="47"/>
      <c r="D10" s="48"/>
      <c r="F10" s="47"/>
    </row>
    <row r="11" spans="1:6" ht="16.5" x14ac:dyDescent="0.25">
      <c r="A11" s="46">
        <v>46274</v>
      </c>
      <c r="B11" s="47"/>
      <c r="C11" s="47"/>
      <c r="D11" s="48"/>
      <c r="F11" s="47"/>
    </row>
    <row r="12" spans="1:6" ht="16.5" x14ac:dyDescent="0.25">
      <c r="A12" s="46">
        <v>46275</v>
      </c>
      <c r="B12" s="47"/>
      <c r="C12" s="47"/>
      <c r="D12" s="48"/>
      <c r="F12" s="47"/>
    </row>
    <row r="13" spans="1:6" ht="16.5" x14ac:dyDescent="0.25">
      <c r="A13" s="46">
        <v>46276</v>
      </c>
      <c r="B13" s="47"/>
      <c r="C13" s="47"/>
      <c r="D13" s="48"/>
      <c r="F13" s="47"/>
    </row>
    <row r="14" spans="1:6" ht="16.5" x14ac:dyDescent="0.25">
      <c r="A14" s="46">
        <v>46277</v>
      </c>
      <c r="B14" s="47"/>
      <c r="C14" s="47"/>
      <c r="D14" s="48"/>
      <c r="F14" s="47"/>
    </row>
    <row r="15" spans="1:6" ht="16.5" x14ac:dyDescent="0.25">
      <c r="A15" s="46">
        <v>46278</v>
      </c>
      <c r="B15" s="47"/>
      <c r="C15" s="47"/>
      <c r="D15" s="48"/>
      <c r="F15" s="47"/>
    </row>
    <row r="16" spans="1:6" ht="16.5" x14ac:dyDescent="0.25">
      <c r="A16" s="46">
        <v>46279</v>
      </c>
      <c r="B16" s="47"/>
      <c r="C16" s="47"/>
      <c r="D16" s="48"/>
      <c r="F16" s="47"/>
    </row>
    <row r="17" spans="1:6" ht="16.5" x14ac:dyDescent="0.25">
      <c r="A17" s="46">
        <v>46280</v>
      </c>
      <c r="B17" s="47"/>
      <c r="C17" s="47"/>
      <c r="D17" s="48"/>
      <c r="F17" s="47"/>
    </row>
    <row r="18" spans="1:6" ht="16.5" x14ac:dyDescent="0.25">
      <c r="A18" s="46">
        <v>46281</v>
      </c>
      <c r="B18" s="47"/>
      <c r="C18" s="47"/>
      <c r="D18" s="48"/>
      <c r="F18" s="47"/>
    </row>
    <row r="19" spans="1:6" ht="16.5" x14ac:dyDescent="0.25">
      <c r="A19" s="46">
        <v>46282</v>
      </c>
      <c r="B19" s="47"/>
      <c r="C19" s="47"/>
      <c r="D19" s="48"/>
      <c r="F19" s="47"/>
    </row>
    <row r="20" spans="1:6" ht="16.5" x14ac:dyDescent="0.25">
      <c r="A20" s="46">
        <v>46283</v>
      </c>
      <c r="B20" s="47"/>
      <c r="C20" s="47"/>
      <c r="D20" s="48"/>
      <c r="F20" s="47"/>
    </row>
    <row r="21" spans="1:6" ht="16.5" x14ac:dyDescent="0.25">
      <c r="A21" s="46">
        <v>46284</v>
      </c>
      <c r="B21" s="47"/>
      <c r="C21" s="47"/>
      <c r="D21" s="48"/>
      <c r="F21" s="47"/>
    </row>
    <row r="22" spans="1:6" ht="16.5" x14ac:dyDescent="0.25">
      <c r="A22" s="46">
        <v>46285</v>
      </c>
      <c r="B22" s="47"/>
      <c r="C22" s="47"/>
      <c r="D22" s="48"/>
      <c r="F22" s="47"/>
    </row>
    <row r="23" spans="1:6" ht="16.5" x14ac:dyDescent="0.25">
      <c r="F23" s="47"/>
    </row>
    <row r="24" spans="1:6" ht="16.5" x14ac:dyDescent="0.25">
      <c r="A24" s="44" t="s">
        <v>164</v>
      </c>
      <c r="B24" s="49">
        <f>SUM(B2:B22)</f>
        <v>51</v>
      </c>
      <c r="C24" s="49">
        <f>SUM(C2:C22)</f>
        <v>5</v>
      </c>
      <c r="D24" s="49">
        <f>SUM(D2:D22)</f>
        <v>56</v>
      </c>
      <c r="E24" s="49"/>
      <c r="F24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A67B-F865-4732-AD11-694DBC696C2F}">
  <dimension ref="A1:J84"/>
  <sheetViews>
    <sheetView workbookViewId="0">
      <selection activeCell="H2" sqref="H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bestFit="1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COUNTIF(B9:B41,"&lt;&gt;")</f>
        <v>33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0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46162</v>
      </c>
    </row>
    <row r="7" spans="1:10" s="1" customFormat="1" thickBot="1" x14ac:dyDescent="0.3">
      <c r="A7" s="3"/>
      <c r="B7" s="2"/>
    </row>
    <row r="8" spans="1:10" s="1" customFormat="1" ht="15.75" customHeight="1" x14ac:dyDescent="0.25">
      <c r="A8" s="13" t="s">
        <v>36</v>
      </c>
      <c r="B8" s="14" t="s">
        <v>62</v>
      </c>
      <c r="C8" s="14" t="s">
        <v>46</v>
      </c>
      <c r="D8" s="14" t="s">
        <v>0</v>
      </c>
      <c r="E8" s="14" t="s">
        <v>1</v>
      </c>
      <c r="F8" s="16" t="s">
        <v>51</v>
      </c>
    </row>
    <row r="9" spans="1:10" s="1" customFormat="1" ht="15.95" customHeight="1" x14ac:dyDescent="0.25">
      <c r="A9" s="39">
        <v>1</v>
      </c>
      <c r="B9" s="9" t="s">
        <v>2</v>
      </c>
      <c r="C9" s="9"/>
      <c r="D9" s="9" t="s">
        <v>149</v>
      </c>
      <c r="E9" s="9" t="s">
        <v>3</v>
      </c>
      <c r="F9" s="42">
        <v>40</v>
      </c>
    </row>
    <row r="10" spans="1:10" s="1" customFormat="1" ht="15.95" customHeight="1" x14ac:dyDescent="0.25">
      <c r="A10" s="39">
        <v>2</v>
      </c>
      <c r="B10" s="9" t="s">
        <v>2</v>
      </c>
      <c r="C10" s="9"/>
      <c r="D10" s="9" t="s">
        <v>150</v>
      </c>
      <c r="E10" s="9" t="s">
        <v>4</v>
      </c>
      <c r="F10" s="42">
        <v>20</v>
      </c>
    </row>
    <row r="11" spans="1:10" s="1" customFormat="1" ht="15.95" customHeight="1" x14ac:dyDescent="0.25">
      <c r="A11" s="39">
        <v>3</v>
      </c>
      <c r="B11" s="9" t="s">
        <v>2</v>
      </c>
      <c r="C11" s="9"/>
      <c r="D11" s="9" t="s">
        <v>151</v>
      </c>
      <c r="E11" s="9" t="s">
        <v>5</v>
      </c>
      <c r="F11" s="42">
        <v>45</v>
      </c>
    </row>
    <row r="12" spans="1:10" s="1" customFormat="1" ht="15.95" customHeight="1" x14ac:dyDescent="0.25">
      <c r="A12" s="39">
        <v>4</v>
      </c>
      <c r="B12" s="9" t="s">
        <v>2</v>
      </c>
      <c r="C12" s="9"/>
      <c r="D12" s="9" t="s">
        <v>152</v>
      </c>
      <c r="E12" s="9" t="s">
        <v>6</v>
      </c>
      <c r="F12" s="42">
        <v>45</v>
      </c>
    </row>
    <row r="13" spans="1:10" s="1" customFormat="1" ht="15.95" customHeight="1" x14ac:dyDescent="0.25">
      <c r="A13" s="39">
        <v>5</v>
      </c>
      <c r="B13" s="9" t="s">
        <v>2</v>
      </c>
      <c r="C13" s="9"/>
      <c r="D13" s="9" t="s">
        <v>153</v>
      </c>
      <c r="E13" s="9" t="s">
        <v>7</v>
      </c>
      <c r="F13" s="42">
        <v>40</v>
      </c>
    </row>
    <row r="14" spans="1:10" s="1" customFormat="1" ht="15.95" customHeight="1" x14ac:dyDescent="0.25">
      <c r="A14" s="39">
        <v>6</v>
      </c>
      <c r="B14" s="9" t="s">
        <v>2</v>
      </c>
      <c r="C14" s="9"/>
      <c r="D14" s="9" t="s">
        <v>154</v>
      </c>
      <c r="E14" s="9" t="s">
        <v>8</v>
      </c>
      <c r="F14" s="42">
        <v>40</v>
      </c>
    </row>
    <row r="15" spans="1:10" s="1" customFormat="1" ht="15.95" customHeight="1" x14ac:dyDescent="0.25">
      <c r="A15" s="39">
        <v>7</v>
      </c>
      <c r="B15" s="9" t="s">
        <v>2</v>
      </c>
      <c r="C15" s="9"/>
      <c r="D15" s="9" t="s">
        <v>110</v>
      </c>
      <c r="E15" s="9" t="s">
        <v>9</v>
      </c>
      <c r="F15" s="42">
        <v>40</v>
      </c>
    </row>
    <row r="16" spans="1:10" s="1" customFormat="1" ht="15.95" customHeight="1" x14ac:dyDescent="0.25">
      <c r="A16" s="39">
        <v>8</v>
      </c>
      <c r="B16" s="9" t="s">
        <v>2</v>
      </c>
      <c r="C16" s="9"/>
      <c r="D16" s="9" t="s">
        <v>111</v>
      </c>
      <c r="E16" s="9" t="s">
        <v>10</v>
      </c>
      <c r="F16" s="42">
        <v>40</v>
      </c>
    </row>
    <row r="17" spans="1:6" s="1" customFormat="1" ht="15.95" customHeight="1" x14ac:dyDescent="0.25">
      <c r="A17" s="39">
        <v>9</v>
      </c>
      <c r="B17" s="9" t="s">
        <v>2</v>
      </c>
      <c r="C17" s="9"/>
      <c r="D17" s="9" t="s">
        <v>112</v>
      </c>
      <c r="E17" s="9" t="s">
        <v>11</v>
      </c>
      <c r="F17" s="42">
        <v>40</v>
      </c>
    </row>
    <row r="18" spans="1:6" s="1" customFormat="1" ht="15.95" customHeight="1" x14ac:dyDescent="0.25">
      <c r="A18" s="39">
        <v>10</v>
      </c>
      <c r="B18" s="9" t="s">
        <v>2</v>
      </c>
      <c r="C18" s="9"/>
      <c r="D18" s="9" t="s">
        <v>113</v>
      </c>
      <c r="E18" s="9" t="s">
        <v>12</v>
      </c>
      <c r="F18" s="42">
        <v>40</v>
      </c>
    </row>
    <row r="19" spans="1:6" s="1" customFormat="1" ht="15.95" customHeight="1" x14ac:dyDescent="0.25">
      <c r="A19" s="39">
        <v>11</v>
      </c>
      <c r="B19" s="9" t="s">
        <v>2</v>
      </c>
      <c r="C19" s="9"/>
      <c r="D19" s="9" t="s">
        <v>114</v>
      </c>
      <c r="E19" s="9" t="s">
        <v>13</v>
      </c>
      <c r="F19" s="42">
        <v>40</v>
      </c>
    </row>
    <row r="20" spans="1:6" s="1" customFormat="1" ht="15.95" customHeight="1" x14ac:dyDescent="0.25">
      <c r="A20" s="39">
        <v>12</v>
      </c>
      <c r="B20" s="9" t="s">
        <v>2</v>
      </c>
      <c r="C20" s="9"/>
      <c r="D20" s="9" t="s">
        <v>115</v>
      </c>
      <c r="E20" s="9" t="s">
        <v>14</v>
      </c>
      <c r="F20" s="42">
        <v>40</v>
      </c>
    </row>
    <row r="21" spans="1:6" s="1" customFormat="1" ht="15.95" customHeight="1" x14ac:dyDescent="0.25">
      <c r="A21" s="39">
        <v>13</v>
      </c>
      <c r="B21" s="9" t="s">
        <v>2</v>
      </c>
      <c r="C21" s="9"/>
      <c r="D21" s="9" t="s">
        <v>116</v>
      </c>
      <c r="E21" s="9" t="s">
        <v>15</v>
      </c>
      <c r="F21" s="42">
        <v>40</v>
      </c>
    </row>
    <row r="22" spans="1:6" s="1" customFormat="1" ht="15.95" customHeight="1" x14ac:dyDescent="0.25">
      <c r="A22" s="39">
        <v>14</v>
      </c>
      <c r="B22" s="9" t="s">
        <v>2</v>
      </c>
      <c r="C22" s="9"/>
      <c r="D22" s="9" t="s">
        <v>117</v>
      </c>
      <c r="E22" s="9" t="s">
        <v>16</v>
      </c>
      <c r="F22" s="42">
        <v>40</v>
      </c>
    </row>
    <row r="23" spans="1:6" s="1" customFormat="1" ht="15.95" customHeight="1" x14ac:dyDescent="0.25">
      <c r="A23" s="39">
        <v>15</v>
      </c>
      <c r="B23" s="9" t="s">
        <v>2</v>
      </c>
      <c r="C23" s="9"/>
      <c r="D23" s="9" t="s">
        <v>118</v>
      </c>
      <c r="E23" s="9" t="s">
        <v>17</v>
      </c>
      <c r="F23" s="42">
        <v>40</v>
      </c>
    </row>
    <row r="24" spans="1:6" s="1" customFormat="1" ht="15.95" customHeight="1" x14ac:dyDescent="0.25">
      <c r="A24" s="39">
        <v>16</v>
      </c>
      <c r="B24" s="9" t="s">
        <v>2</v>
      </c>
      <c r="C24" s="9"/>
      <c r="D24" s="9" t="s">
        <v>119</v>
      </c>
      <c r="E24" s="9" t="s">
        <v>18</v>
      </c>
      <c r="F24" s="42">
        <v>40</v>
      </c>
    </row>
    <row r="25" spans="1:6" s="1" customFormat="1" ht="15.95" customHeight="1" x14ac:dyDescent="0.25">
      <c r="A25" s="39">
        <v>17</v>
      </c>
      <c r="B25" s="9" t="s">
        <v>2</v>
      </c>
      <c r="C25" s="9"/>
      <c r="D25" s="9" t="s">
        <v>120</v>
      </c>
      <c r="E25" s="9" t="s">
        <v>19</v>
      </c>
      <c r="F25" s="42">
        <v>40</v>
      </c>
    </row>
    <row r="26" spans="1:6" s="1" customFormat="1" ht="15.95" customHeight="1" x14ac:dyDescent="0.25">
      <c r="A26" s="39">
        <v>18</v>
      </c>
      <c r="B26" s="9" t="s">
        <v>2</v>
      </c>
      <c r="C26" s="9"/>
      <c r="D26" s="9" t="s">
        <v>121</v>
      </c>
      <c r="E26" s="9" t="s">
        <v>20</v>
      </c>
      <c r="F26" s="42">
        <v>40</v>
      </c>
    </row>
    <row r="27" spans="1:6" s="1" customFormat="1" ht="15.95" customHeight="1" x14ac:dyDescent="0.25">
      <c r="A27" s="39">
        <v>19</v>
      </c>
      <c r="B27" s="9" t="s">
        <v>2</v>
      </c>
      <c r="C27" s="9"/>
      <c r="D27" s="9" t="s">
        <v>122</v>
      </c>
      <c r="E27" s="9" t="s">
        <v>21</v>
      </c>
      <c r="F27" s="42">
        <v>40</v>
      </c>
    </row>
    <row r="28" spans="1:6" s="1" customFormat="1" ht="15.95" customHeight="1" x14ac:dyDescent="0.25">
      <c r="A28" s="39">
        <v>20</v>
      </c>
      <c r="B28" s="9" t="s">
        <v>2</v>
      </c>
      <c r="C28" s="9"/>
      <c r="D28" s="9" t="s">
        <v>123</v>
      </c>
      <c r="E28" s="9" t="s">
        <v>22</v>
      </c>
      <c r="F28" s="42">
        <v>40</v>
      </c>
    </row>
    <row r="29" spans="1:6" s="1" customFormat="1" ht="15.95" customHeight="1" x14ac:dyDescent="0.25">
      <c r="A29" s="39">
        <v>21</v>
      </c>
      <c r="B29" s="9" t="s">
        <v>2</v>
      </c>
      <c r="C29" s="9"/>
      <c r="D29" s="9" t="s">
        <v>124</v>
      </c>
      <c r="E29" s="9" t="s">
        <v>23</v>
      </c>
      <c r="F29" s="42">
        <v>40</v>
      </c>
    </row>
    <row r="30" spans="1:6" s="1" customFormat="1" ht="15.95" customHeight="1" x14ac:dyDescent="0.25">
      <c r="A30" s="39">
        <v>22</v>
      </c>
      <c r="B30" s="9" t="s">
        <v>2</v>
      </c>
      <c r="C30" s="9"/>
      <c r="D30" s="9" t="s">
        <v>125</v>
      </c>
      <c r="E30" s="9" t="s">
        <v>24</v>
      </c>
      <c r="F30" s="42">
        <v>40</v>
      </c>
    </row>
    <row r="31" spans="1:6" s="1" customFormat="1" ht="15.95" customHeight="1" x14ac:dyDescent="0.25">
      <c r="A31" s="39">
        <v>23</v>
      </c>
      <c r="B31" s="9" t="s">
        <v>2</v>
      </c>
      <c r="C31" s="9"/>
      <c r="D31" s="9" t="s">
        <v>126</v>
      </c>
      <c r="E31" s="9" t="s">
        <v>25</v>
      </c>
      <c r="F31" s="42">
        <v>40</v>
      </c>
    </row>
    <row r="32" spans="1:6" s="1" customFormat="1" ht="15.95" customHeight="1" x14ac:dyDescent="0.25">
      <c r="A32" s="39">
        <v>24</v>
      </c>
      <c r="B32" s="9" t="s">
        <v>2</v>
      </c>
      <c r="C32" s="9"/>
      <c r="D32" s="9" t="s">
        <v>127</v>
      </c>
      <c r="E32" s="9" t="s">
        <v>26</v>
      </c>
      <c r="F32" s="42">
        <v>40</v>
      </c>
    </row>
    <row r="33" spans="1:6" s="1" customFormat="1" ht="15.95" customHeight="1" x14ac:dyDescent="0.25">
      <c r="A33" s="39">
        <v>25</v>
      </c>
      <c r="B33" s="9" t="s">
        <v>2</v>
      </c>
      <c r="C33" s="9"/>
      <c r="D33" s="9" t="s">
        <v>128</v>
      </c>
      <c r="E33" s="9" t="s">
        <v>27</v>
      </c>
      <c r="F33" s="42">
        <v>40</v>
      </c>
    </row>
    <row r="34" spans="1:6" s="1" customFormat="1" ht="15.95" customHeight="1" x14ac:dyDescent="0.25">
      <c r="A34" s="39">
        <v>26</v>
      </c>
      <c r="B34" s="9" t="s">
        <v>2</v>
      </c>
      <c r="C34" s="9"/>
      <c r="D34" s="9" t="s">
        <v>129</v>
      </c>
      <c r="E34" s="9" t="s">
        <v>28</v>
      </c>
      <c r="F34" s="42">
        <v>40</v>
      </c>
    </row>
    <row r="35" spans="1:6" s="1" customFormat="1" ht="15.95" customHeight="1" x14ac:dyDescent="0.25">
      <c r="A35" s="39">
        <v>27</v>
      </c>
      <c r="B35" s="9" t="s">
        <v>2</v>
      </c>
      <c r="C35" s="9"/>
      <c r="D35" s="9" t="s">
        <v>130</v>
      </c>
      <c r="E35" s="9" t="s">
        <v>29</v>
      </c>
      <c r="F35" s="42">
        <v>40</v>
      </c>
    </row>
    <row r="36" spans="1:6" s="1" customFormat="1" ht="15.95" customHeight="1" x14ac:dyDescent="0.25">
      <c r="A36" s="39">
        <v>28</v>
      </c>
      <c r="B36" s="9" t="s">
        <v>2</v>
      </c>
      <c r="C36" s="9"/>
      <c r="D36" s="9" t="s">
        <v>131</v>
      </c>
      <c r="E36" s="9" t="s">
        <v>30</v>
      </c>
      <c r="F36" s="42">
        <v>40</v>
      </c>
    </row>
    <row r="37" spans="1:6" s="1" customFormat="1" ht="15.95" customHeight="1" x14ac:dyDescent="0.25">
      <c r="A37" s="39">
        <v>29</v>
      </c>
      <c r="B37" s="9" t="s">
        <v>2</v>
      </c>
      <c r="C37" s="9"/>
      <c r="D37" s="9" t="s">
        <v>132</v>
      </c>
      <c r="E37" s="9" t="s">
        <v>31</v>
      </c>
      <c r="F37" s="42">
        <v>40</v>
      </c>
    </row>
    <row r="38" spans="1:6" s="1" customFormat="1" ht="15.95" customHeight="1" x14ac:dyDescent="0.25">
      <c r="A38" s="39">
        <v>30</v>
      </c>
      <c r="B38" s="9" t="s">
        <v>2</v>
      </c>
      <c r="C38" s="9"/>
      <c r="D38" s="9" t="s">
        <v>133</v>
      </c>
      <c r="E38" s="9" t="s">
        <v>32</v>
      </c>
      <c r="F38" s="42">
        <v>40</v>
      </c>
    </row>
    <row r="39" spans="1:6" s="1" customFormat="1" ht="15.95" customHeight="1" x14ac:dyDescent="0.25">
      <c r="A39" s="39">
        <v>31</v>
      </c>
      <c r="B39" s="9" t="s">
        <v>2</v>
      </c>
      <c r="C39" s="9"/>
      <c r="D39" s="9" t="s">
        <v>134</v>
      </c>
      <c r="E39" s="9" t="s">
        <v>33</v>
      </c>
      <c r="F39" s="42">
        <v>40</v>
      </c>
    </row>
    <row r="40" spans="1:6" s="1" customFormat="1" ht="15.95" customHeight="1" x14ac:dyDescent="0.25">
      <c r="A40" s="39">
        <v>32</v>
      </c>
      <c r="B40" s="9" t="s">
        <v>2</v>
      </c>
      <c r="C40" s="9"/>
      <c r="D40" s="9" t="s">
        <v>135</v>
      </c>
      <c r="E40" s="9" t="s">
        <v>34</v>
      </c>
      <c r="F40" s="42">
        <v>40</v>
      </c>
    </row>
    <row r="41" spans="1:6" s="1" customFormat="1" ht="15.95" customHeight="1" x14ac:dyDescent="0.25">
      <c r="A41" s="39">
        <v>33</v>
      </c>
      <c r="B41" s="9" t="s">
        <v>2</v>
      </c>
      <c r="C41" s="9"/>
      <c r="D41" s="9" t="s">
        <v>136</v>
      </c>
      <c r="E41" s="9" t="s">
        <v>35</v>
      </c>
      <c r="F41" s="42">
        <v>40</v>
      </c>
    </row>
    <row r="42" spans="1:6" s="1" customFormat="1" ht="15.95" customHeight="1" x14ac:dyDescent="0.25">
      <c r="A42" s="3"/>
      <c r="B42" s="40"/>
      <c r="C42" s="40"/>
      <c r="D42" s="40"/>
      <c r="E42" s="40"/>
      <c r="F42" s="41"/>
    </row>
    <row r="43" spans="1:6" s="1" customFormat="1" ht="15.95" customHeight="1" x14ac:dyDescent="0.25">
      <c r="A43" s="3"/>
      <c r="B43" s="40"/>
      <c r="C43" s="40"/>
      <c r="D43" s="40"/>
      <c r="E43" s="40"/>
      <c r="F43" s="41"/>
    </row>
    <row r="44" spans="1:6" s="1" customFormat="1" ht="15.95" customHeight="1" x14ac:dyDescent="0.25">
      <c r="A44" s="3"/>
      <c r="B44" s="40"/>
      <c r="C44" s="40"/>
      <c r="D44" s="40"/>
      <c r="E44" s="40"/>
      <c r="F44" s="41"/>
    </row>
    <row r="45" spans="1:6" s="1" customFormat="1" ht="15.95" customHeight="1" x14ac:dyDescent="0.25">
      <c r="A45" s="3"/>
      <c r="B45" s="40"/>
      <c r="C45" s="40"/>
      <c r="D45" s="40"/>
      <c r="E45" s="40"/>
      <c r="F45" s="41"/>
    </row>
    <row r="46" spans="1:6" s="1" customFormat="1" ht="15.95" customHeight="1" x14ac:dyDescent="0.25">
      <c r="A46" s="3"/>
      <c r="B46" s="40"/>
      <c r="C46" s="40"/>
      <c r="D46" s="40"/>
      <c r="E46" s="40"/>
      <c r="F46" s="41"/>
    </row>
    <row r="47" spans="1:6" s="1" customFormat="1" ht="15.95" customHeight="1" x14ac:dyDescent="0.25">
      <c r="A47" s="3"/>
      <c r="B47" s="40"/>
      <c r="C47" s="40"/>
      <c r="D47" s="40"/>
      <c r="E47" s="40"/>
      <c r="F47" s="41"/>
    </row>
    <row r="48" spans="1:6" s="1" customFormat="1" ht="15.95" customHeight="1" x14ac:dyDescent="0.25">
      <c r="A48" s="3"/>
      <c r="B48" s="40"/>
      <c r="C48" s="40"/>
      <c r="D48" s="40"/>
      <c r="E48" s="40"/>
      <c r="F48" s="41"/>
    </row>
    <row r="49" spans="1:7" s="1" customFormat="1" ht="15.95" customHeight="1" x14ac:dyDescent="0.25">
      <c r="A49" s="3"/>
      <c r="B49" s="40"/>
      <c r="C49" s="40"/>
      <c r="D49" s="40"/>
      <c r="E49" s="40"/>
      <c r="F49" s="41"/>
    </row>
    <row r="50" spans="1:7" s="1" customFormat="1" ht="15.95" customHeight="1" x14ac:dyDescent="0.25">
      <c r="A50" s="3"/>
      <c r="B50" s="40"/>
      <c r="C50" s="40"/>
      <c r="D50" s="40"/>
      <c r="E50" s="40"/>
      <c r="F50" s="41"/>
    </row>
    <row r="51" spans="1:7" s="1" customFormat="1" ht="15.95" customHeight="1" x14ac:dyDescent="0.25">
      <c r="A51" s="3"/>
      <c r="B51" s="40"/>
      <c r="C51" s="40"/>
      <c r="D51" s="40"/>
      <c r="E51" s="40"/>
      <c r="F51" s="41"/>
    </row>
    <row r="52" spans="1:7" s="1" customFormat="1" ht="15.95" customHeight="1" x14ac:dyDescent="0.25">
      <c r="A52" s="3"/>
      <c r="B52" s="40"/>
      <c r="C52" s="40"/>
      <c r="D52" s="40"/>
      <c r="E52" s="40"/>
      <c r="F52" s="41"/>
    </row>
    <row r="53" spans="1:7" s="1" customFormat="1" ht="15.95" customHeight="1" x14ac:dyDescent="0.25">
      <c r="A53" s="3"/>
      <c r="B53" s="40"/>
      <c r="C53" s="40"/>
      <c r="D53" s="40"/>
      <c r="E53" s="40"/>
      <c r="F53" s="41"/>
    </row>
    <row r="54" spans="1:7" s="1" customFormat="1" ht="15.95" customHeight="1" x14ac:dyDescent="0.25">
      <c r="A54" s="3"/>
      <c r="B54" s="40"/>
      <c r="C54" s="40"/>
      <c r="D54" s="40"/>
      <c r="E54" s="40"/>
      <c r="F54" s="41"/>
    </row>
    <row r="55" spans="1:7" s="1" customFormat="1" ht="15.95" customHeight="1" x14ac:dyDescent="0.25">
      <c r="A55" s="3"/>
      <c r="B55" s="40"/>
      <c r="C55" s="40"/>
      <c r="D55" s="40"/>
      <c r="E55" s="40"/>
      <c r="F55" s="41"/>
    </row>
    <row r="56" spans="1:7" s="1" customFormat="1" ht="15.95" customHeight="1" x14ac:dyDescent="0.25">
      <c r="A56" s="3"/>
      <c r="B56" s="40"/>
      <c r="C56" s="40"/>
      <c r="D56" s="40"/>
      <c r="E56" s="40"/>
      <c r="F56" s="41"/>
    </row>
    <row r="57" spans="1:7" s="1" customFormat="1" ht="15.95" customHeight="1" x14ac:dyDescent="0.25">
      <c r="A57" s="3"/>
      <c r="B57" s="40"/>
      <c r="C57" s="40"/>
      <c r="D57" s="40"/>
      <c r="E57" s="40"/>
      <c r="F57" s="41"/>
    </row>
    <row r="60" spans="1:7" ht="15.75" x14ac:dyDescent="0.25">
      <c r="A60" s="3"/>
      <c r="B60" s="5"/>
      <c r="C60" s="1"/>
      <c r="D60" s="1"/>
      <c r="E60" s="1"/>
      <c r="F60" s="1"/>
      <c r="G60" s="5"/>
    </row>
    <row r="61" spans="1:7" ht="15.75" x14ac:dyDescent="0.25">
      <c r="A61" s="3"/>
      <c r="B61" s="24" t="s">
        <v>40</v>
      </c>
      <c r="C61" s="1"/>
      <c r="E61" s="1"/>
      <c r="F61" s="1"/>
      <c r="G61" s="5"/>
    </row>
    <row r="62" spans="1:7" ht="15.75" thickBot="1" x14ac:dyDescent="0.3">
      <c r="A62" s="3"/>
      <c r="B62" s="2"/>
      <c r="C62" s="1"/>
      <c r="D62" s="1"/>
      <c r="E62" s="1"/>
      <c r="F62" s="1"/>
      <c r="G62" s="1"/>
    </row>
    <row r="63" spans="1:7" ht="15.75" thickBot="1" x14ac:dyDescent="0.3">
      <c r="A63" s="6" t="s">
        <v>36</v>
      </c>
      <c r="B63" s="7" t="s">
        <v>61</v>
      </c>
      <c r="C63" s="7" t="s">
        <v>43</v>
      </c>
      <c r="D63" s="7" t="s">
        <v>0</v>
      </c>
      <c r="E63" s="7" t="s">
        <v>1</v>
      </c>
      <c r="F63" s="8" t="s">
        <v>51</v>
      </c>
    </row>
    <row r="64" spans="1:7" ht="15.95" customHeight="1" x14ac:dyDescent="0.25">
      <c r="A64" s="19">
        <v>1</v>
      </c>
      <c r="B64" s="12">
        <v>46163</v>
      </c>
      <c r="C64" s="10" t="s">
        <v>44</v>
      </c>
      <c r="D64" s="10" t="s">
        <v>50</v>
      </c>
      <c r="E64" s="10">
        <v>3830</v>
      </c>
      <c r="F64" s="20">
        <v>40</v>
      </c>
    </row>
    <row r="65" spans="1:7" ht="15.95" customHeight="1" x14ac:dyDescent="0.25">
      <c r="A65" s="17">
        <v>2</v>
      </c>
      <c r="B65" s="15">
        <v>46163</v>
      </c>
      <c r="C65" s="9" t="s">
        <v>49</v>
      </c>
      <c r="D65" s="9" t="s">
        <v>52</v>
      </c>
      <c r="E65" s="9">
        <v>3780</v>
      </c>
      <c r="F65" s="18">
        <v>40</v>
      </c>
    </row>
    <row r="66" spans="1:7" ht="15.95" customHeight="1" x14ac:dyDescent="0.25">
      <c r="A66" s="17"/>
      <c r="B66" s="9"/>
      <c r="C66" s="9"/>
      <c r="D66" s="9"/>
      <c r="E66" s="9"/>
      <c r="F66" s="18"/>
    </row>
    <row r="67" spans="1:7" ht="15.95" customHeight="1" x14ac:dyDescent="0.25">
      <c r="A67" s="17"/>
      <c r="B67" s="9"/>
      <c r="C67" s="9"/>
      <c r="D67" s="9"/>
      <c r="E67" s="9"/>
      <c r="F67" s="18"/>
    </row>
    <row r="68" spans="1:7" ht="15.95" customHeight="1" x14ac:dyDescent="0.25">
      <c r="A68" s="17"/>
      <c r="B68" s="9"/>
      <c r="C68" s="9"/>
      <c r="D68" s="9"/>
      <c r="E68" s="9"/>
      <c r="F68" s="18"/>
    </row>
    <row r="69" spans="1:7" ht="15.95" customHeight="1" thickBot="1" x14ac:dyDescent="0.3">
      <c r="A69" s="21"/>
      <c r="B69" s="11"/>
      <c r="C69" s="11"/>
      <c r="D69" s="11"/>
      <c r="E69" s="11"/>
      <c r="F69" s="22"/>
    </row>
    <row r="72" spans="1:7" x14ac:dyDescent="0.25">
      <c r="A72" s="3"/>
      <c r="B72" s="1"/>
      <c r="C72" s="1"/>
      <c r="D72" s="1"/>
      <c r="E72" s="1"/>
      <c r="F72" s="1"/>
      <c r="G72" s="1"/>
    </row>
    <row r="73" spans="1:7" ht="15.75" x14ac:dyDescent="0.25">
      <c r="A73" s="3"/>
      <c r="B73" s="24" t="s">
        <v>41</v>
      </c>
      <c r="C73" s="1"/>
      <c r="E73" s="1"/>
      <c r="F73" s="1"/>
      <c r="G73" s="5"/>
    </row>
    <row r="74" spans="1:7" ht="15.75" thickBot="1" x14ac:dyDescent="0.3">
      <c r="A74" s="3"/>
      <c r="B74" s="2"/>
      <c r="C74" s="1"/>
      <c r="D74" s="1"/>
      <c r="E74" s="1"/>
      <c r="F74" s="1"/>
      <c r="G74" s="1"/>
    </row>
    <row r="75" spans="1:7" ht="15.75" thickBot="1" x14ac:dyDescent="0.3">
      <c r="A75" s="13" t="s">
        <v>36</v>
      </c>
      <c r="B75" s="14" t="s">
        <v>137</v>
      </c>
      <c r="C75" s="14" t="s">
        <v>0</v>
      </c>
      <c r="D75" s="14" t="s">
        <v>84</v>
      </c>
      <c r="E75" s="14" t="s">
        <v>85</v>
      </c>
      <c r="F75" s="16" t="s">
        <v>51</v>
      </c>
    </row>
    <row r="76" spans="1:7" ht="15.95" customHeight="1" x14ac:dyDescent="0.25">
      <c r="A76" s="19">
        <v>1</v>
      </c>
      <c r="B76" s="12">
        <v>46163</v>
      </c>
      <c r="C76" s="10" t="s">
        <v>54</v>
      </c>
      <c r="D76" s="10"/>
      <c r="E76" s="10">
        <v>3790</v>
      </c>
      <c r="F76" s="20">
        <v>40</v>
      </c>
    </row>
    <row r="77" spans="1:7" ht="15.95" customHeight="1" x14ac:dyDescent="0.25">
      <c r="A77" s="17">
        <v>2</v>
      </c>
      <c r="B77" s="15">
        <v>46163</v>
      </c>
      <c r="C77" s="9" t="s">
        <v>55</v>
      </c>
      <c r="D77" s="9"/>
      <c r="E77" s="9">
        <v>3821</v>
      </c>
      <c r="F77" s="18">
        <v>40</v>
      </c>
    </row>
    <row r="78" spans="1:7" ht="15.95" customHeight="1" x14ac:dyDescent="0.25">
      <c r="A78" s="17">
        <v>3</v>
      </c>
      <c r="B78" s="15">
        <v>46163</v>
      </c>
      <c r="C78" s="9" t="s">
        <v>56</v>
      </c>
      <c r="D78" s="9"/>
      <c r="E78" s="9">
        <v>3824</v>
      </c>
      <c r="F78" s="18">
        <v>40</v>
      </c>
    </row>
    <row r="79" spans="1:7" ht="15.95" customHeight="1" x14ac:dyDescent="0.25">
      <c r="A79" s="17">
        <v>4</v>
      </c>
      <c r="B79" s="15">
        <v>46163</v>
      </c>
      <c r="C79" s="9" t="s">
        <v>57</v>
      </c>
      <c r="D79" s="9"/>
      <c r="E79" s="9">
        <v>3823</v>
      </c>
      <c r="F79" s="18">
        <v>40</v>
      </c>
    </row>
    <row r="80" spans="1:7" ht="15.95" customHeight="1" x14ac:dyDescent="0.25">
      <c r="A80" s="17">
        <v>5</v>
      </c>
      <c r="B80" s="15">
        <v>46163</v>
      </c>
      <c r="C80" s="9" t="s">
        <v>58</v>
      </c>
      <c r="D80" s="9"/>
      <c r="E80" s="9">
        <v>3822</v>
      </c>
      <c r="F80" s="18">
        <v>40</v>
      </c>
    </row>
    <row r="81" spans="1:6" ht="15.95" customHeight="1" x14ac:dyDescent="0.25">
      <c r="A81" s="17">
        <v>6</v>
      </c>
      <c r="B81" s="15">
        <v>46163</v>
      </c>
      <c r="C81" s="9" t="s">
        <v>59</v>
      </c>
      <c r="D81" s="9"/>
      <c r="E81" s="9">
        <v>3789</v>
      </c>
      <c r="F81" s="18">
        <v>40</v>
      </c>
    </row>
    <row r="82" spans="1:6" ht="15.75" customHeight="1" x14ac:dyDescent="0.25">
      <c r="A82" s="17">
        <v>7</v>
      </c>
      <c r="B82" s="15">
        <v>46163</v>
      </c>
      <c r="C82" s="9" t="s">
        <v>60</v>
      </c>
      <c r="D82" s="9"/>
      <c r="E82" s="9">
        <v>3788</v>
      </c>
      <c r="F82" s="18">
        <v>40</v>
      </c>
    </row>
    <row r="83" spans="1:6" ht="15.95" customHeight="1" x14ac:dyDescent="0.25">
      <c r="A83" s="17"/>
      <c r="B83" s="31"/>
      <c r="C83" s="31"/>
      <c r="D83" s="31"/>
      <c r="E83" s="31"/>
      <c r="F83" s="33"/>
    </row>
    <row r="84" spans="1:6" ht="15.75" thickBot="1" x14ac:dyDescent="0.3">
      <c r="A84" s="21"/>
      <c r="B84" s="32"/>
      <c r="C84" s="32"/>
      <c r="D84" s="32"/>
      <c r="E84" s="32"/>
      <c r="F84" s="34"/>
    </row>
  </sheetData>
  <mergeCells count="1">
    <mergeCell ref="A3:H3"/>
  </mergeCells>
  <conditionalFormatting sqref="G9">
    <cfRule type="expression" dxfId="5" priority="1">
      <formula>LEFT(CELL("format",B9))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2777-B304-42F4-93E6-C7832DBF0AFF}">
  <sheetPr codeName="Feuil2"/>
  <dimension ref="A1:J41"/>
  <sheetViews>
    <sheetView workbookViewId="0">
      <selection activeCell="J1" sqref="F1:J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bestFit="1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COUNTIF(C9:C16,"&lt;&gt;")</f>
        <v>3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2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46163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6" t="s">
        <v>36</v>
      </c>
      <c r="B8" s="7" t="s">
        <v>46</v>
      </c>
      <c r="C8" s="14" t="s">
        <v>62</v>
      </c>
      <c r="D8" s="7" t="s">
        <v>0</v>
      </c>
      <c r="E8" s="7" t="s">
        <v>1</v>
      </c>
      <c r="F8" s="8" t="s">
        <v>51</v>
      </c>
    </row>
    <row r="9" spans="1:10" s="1" customFormat="1" ht="15.95" customHeight="1" x14ac:dyDescent="0.25">
      <c r="A9" s="19">
        <v>1</v>
      </c>
      <c r="B9" s="9" t="s">
        <v>47</v>
      </c>
      <c r="C9" s="15">
        <v>46163</v>
      </c>
      <c r="D9" s="10" t="s">
        <v>138</v>
      </c>
      <c r="E9" s="10" t="s">
        <v>37</v>
      </c>
      <c r="F9" s="26">
        <v>40</v>
      </c>
    </row>
    <row r="10" spans="1:10" s="1" customFormat="1" ht="15.95" customHeight="1" x14ac:dyDescent="0.25">
      <c r="A10" s="17">
        <v>2</v>
      </c>
      <c r="B10" s="9" t="s">
        <v>47</v>
      </c>
      <c r="C10" s="15">
        <v>46163</v>
      </c>
      <c r="D10" s="9" t="s">
        <v>139</v>
      </c>
      <c r="E10" s="9" t="s">
        <v>38</v>
      </c>
      <c r="F10" s="27">
        <v>40</v>
      </c>
    </row>
    <row r="11" spans="1:10" s="1" customFormat="1" ht="15.95" customHeight="1" x14ac:dyDescent="0.25">
      <c r="A11" s="17">
        <v>3</v>
      </c>
      <c r="B11" s="25" t="s">
        <v>48</v>
      </c>
      <c r="C11" s="15">
        <v>46163</v>
      </c>
      <c r="D11" s="9" t="s">
        <v>140</v>
      </c>
      <c r="E11" s="9" t="s">
        <v>45</v>
      </c>
      <c r="F11" s="27">
        <v>40</v>
      </c>
    </row>
    <row r="12" spans="1:10" s="1" customFormat="1" ht="15.95" customHeight="1" x14ac:dyDescent="0.25">
      <c r="A12" s="17"/>
      <c r="B12" s="9"/>
      <c r="C12" s="9"/>
      <c r="D12" s="9"/>
      <c r="E12" s="9"/>
      <c r="F12" s="28"/>
    </row>
    <row r="13" spans="1:10" s="1" customFormat="1" ht="15.95" customHeight="1" x14ac:dyDescent="0.25">
      <c r="A13" s="17"/>
      <c r="B13" s="9"/>
      <c r="C13" s="9"/>
      <c r="D13" s="9"/>
      <c r="E13" s="9"/>
      <c r="F13" s="28"/>
    </row>
    <row r="14" spans="1:10" s="1" customFormat="1" ht="15.95" customHeight="1" thickBot="1" x14ac:dyDescent="0.3">
      <c r="A14" s="21"/>
      <c r="B14" s="11"/>
      <c r="C14" s="11"/>
      <c r="D14" s="11"/>
      <c r="E14" s="11"/>
      <c r="F14" s="29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40</v>
      </c>
      <c r="C18" s="1"/>
      <c r="E18" s="1"/>
      <c r="F18" s="1"/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36</v>
      </c>
      <c r="B20" s="7" t="s">
        <v>61</v>
      </c>
      <c r="C20" s="7" t="s">
        <v>43</v>
      </c>
      <c r="D20" s="7" t="s">
        <v>0</v>
      </c>
      <c r="E20" s="7" t="s">
        <v>1</v>
      </c>
      <c r="F20" s="8" t="s">
        <v>51</v>
      </c>
    </row>
    <row r="21" spans="1:7" ht="15.95" customHeight="1" x14ac:dyDescent="0.25">
      <c r="A21" s="19">
        <v>1</v>
      </c>
      <c r="B21" s="12">
        <v>46163</v>
      </c>
      <c r="C21" s="10" t="s">
        <v>44</v>
      </c>
      <c r="D21" s="10" t="s">
        <v>141</v>
      </c>
      <c r="E21" s="10">
        <v>3830</v>
      </c>
      <c r="F21" s="20">
        <v>40</v>
      </c>
    </row>
    <row r="22" spans="1:7" ht="15.95" customHeight="1" x14ac:dyDescent="0.25">
      <c r="A22" s="17">
        <v>2</v>
      </c>
      <c r="B22" s="15">
        <v>46163</v>
      </c>
      <c r="C22" s="9" t="s">
        <v>49</v>
      </c>
      <c r="D22" s="9" t="s">
        <v>142</v>
      </c>
      <c r="E22" s="9">
        <v>3780</v>
      </c>
      <c r="F22" s="18">
        <v>40</v>
      </c>
    </row>
    <row r="23" spans="1:7" ht="15.95" customHeight="1" x14ac:dyDescent="0.25">
      <c r="A23" s="17"/>
      <c r="B23" s="9"/>
      <c r="C23" s="9"/>
      <c r="D23" s="9"/>
      <c r="E23" s="9"/>
      <c r="F23" s="18"/>
    </row>
    <row r="24" spans="1:7" ht="15.95" customHeight="1" x14ac:dyDescent="0.25">
      <c r="A24" s="17"/>
      <c r="B24" s="9"/>
      <c r="C24" s="9"/>
      <c r="D24" s="9"/>
      <c r="E24" s="9"/>
      <c r="F24" s="18"/>
    </row>
    <row r="25" spans="1:7" ht="15.95" customHeight="1" x14ac:dyDescent="0.25">
      <c r="A25" s="17"/>
      <c r="B25" s="9"/>
      <c r="C25" s="9"/>
      <c r="D25" s="9"/>
      <c r="E25" s="9"/>
      <c r="F25" s="18"/>
    </row>
    <row r="26" spans="1:7" ht="15.95" customHeight="1" thickBot="1" x14ac:dyDescent="0.3">
      <c r="A26" s="21"/>
      <c r="B26" s="11"/>
      <c r="C26" s="11"/>
      <c r="D26" s="11"/>
      <c r="E26" s="11"/>
      <c r="F26" s="22"/>
    </row>
    <row r="29" spans="1:7" x14ac:dyDescent="0.25">
      <c r="A29" s="3"/>
      <c r="B29" s="1"/>
      <c r="C29" s="1"/>
      <c r="D29" s="1"/>
      <c r="E29" s="1"/>
      <c r="F29" s="1"/>
      <c r="G29" s="1"/>
    </row>
    <row r="30" spans="1:7" ht="15.75" x14ac:dyDescent="0.25">
      <c r="A30" s="3"/>
      <c r="B30" s="24" t="s">
        <v>155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ht="15.75" thickBot="1" x14ac:dyDescent="0.3">
      <c r="A32" s="13" t="s">
        <v>36</v>
      </c>
      <c r="B32" s="14" t="s">
        <v>42</v>
      </c>
      <c r="C32" s="14" t="s">
        <v>0</v>
      </c>
      <c r="D32" s="14" t="s">
        <v>84</v>
      </c>
      <c r="E32" s="14" t="s">
        <v>85</v>
      </c>
      <c r="F32" s="16" t="s">
        <v>51</v>
      </c>
    </row>
    <row r="33" spans="1:6" ht="15.95" customHeight="1" x14ac:dyDescent="0.25">
      <c r="A33" s="19">
        <v>1</v>
      </c>
      <c r="B33" s="12">
        <v>46163</v>
      </c>
      <c r="C33" s="10" t="s">
        <v>143</v>
      </c>
      <c r="D33" s="10"/>
      <c r="E33" s="10">
        <v>3790</v>
      </c>
      <c r="F33" s="20">
        <v>40</v>
      </c>
    </row>
    <row r="34" spans="1:6" ht="15.95" customHeight="1" x14ac:dyDescent="0.25">
      <c r="A34" s="17">
        <v>2</v>
      </c>
      <c r="B34" s="15">
        <v>46163</v>
      </c>
      <c r="C34" s="9" t="s">
        <v>89</v>
      </c>
      <c r="D34" s="9"/>
      <c r="E34" s="9">
        <v>3821</v>
      </c>
      <c r="F34" s="18">
        <v>40</v>
      </c>
    </row>
    <row r="35" spans="1:6" ht="15.95" customHeight="1" x14ac:dyDescent="0.25">
      <c r="A35" s="17">
        <v>3</v>
      </c>
      <c r="B35" s="15">
        <v>46163</v>
      </c>
      <c r="C35" s="9" t="s">
        <v>144</v>
      </c>
      <c r="D35" s="9"/>
      <c r="E35" s="9">
        <v>3824</v>
      </c>
      <c r="F35" s="18">
        <v>40</v>
      </c>
    </row>
    <row r="36" spans="1:6" ht="15.95" customHeight="1" x14ac:dyDescent="0.25">
      <c r="A36" s="17">
        <v>4</v>
      </c>
      <c r="B36" s="15">
        <v>46163</v>
      </c>
      <c r="C36" s="9" t="s">
        <v>145</v>
      </c>
      <c r="D36" s="9"/>
      <c r="E36" s="9">
        <v>3823</v>
      </c>
      <c r="F36" s="18">
        <v>40</v>
      </c>
    </row>
    <row r="37" spans="1:6" ht="15.95" customHeight="1" x14ac:dyDescent="0.25">
      <c r="A37" s="17">
        <v>5</v>
      </c>
      <c r="B37" s="15">
        <v>46163</v>
      </c>
      <c r="C37" s="9" t="s">
        <v>146</v>
      </c>
      <c r="D37" s="9"/>
      <c r="E37" s="9">
        <v>3822</v>
      </c>
      <c r="F37" s="18">
        <v>40</v>
      </c>
    </row>
    <row r="38" spans="1:6" ht="15.95" customHeight="1" x14ac:dyDescent="0.25">
      <c r="A38" s="17">
        <v>6</v>
      </c>
      <c r="B38" s="15">
        <v>46163</v>
      </c>
      <c r="C38" s="9" t="s">
        <v>147</v>
      </c>
      <c r="D38" s="9"/>
      <c r="E38" s="9">
        <v>3789</v>
      </c>
      <c r="F38" s="18">
        <v>40</v>
      </c>
    </row>
    <row r="39" spans="1:6" ht="15.75" customHeight="1" x14ac:dyDescent="0.25">
      <c r="A39" s="17">
        <v>7</v>
      </c>
      <c r="B39" s="15">
        <v>46163</v>
      </c>
      <c r="C39" s="9" t="s">
        <v>148</v>
      </c>
      <c r="D39" s="9"/>
      <c r="E39" s="9">
        <v>3788</v>
      </c>
      <c r="F39" s="18">
        <v>40</v>
      </c>
    </row>
    <row r="40" spans="1:6" ht="15.95" customHeight="1" x14ac:dyDescent="0.25">
      <c r="A40" s="17"/>
      <c r="B40" s="31"/>
      <c r="C40" s="31"/>
      <c r="D40" s="31"/>
      <c r="E40" s="31"/>
      <c r="F40" s="33"/>
    </row>
    <row r="41" spans="1:6" ht="15.75" thickBot="1" x14ac:dyDescent="0.3">
      <c r="A41" s="21"/>
      <c r="B41" s="32"/>
      <c r="C41" s="32"/>
      <c r="D41" s="32"/>
      <c r="E41" s="32"/>
      <c r="F41" s="34"/>
    </row>
  </sheetData>
  <mergeCells count="1">
    <mergeCell ref="A3:H3"/>
  </mergeCells>
  <conditionalFormatting sqref="G9">
    <cfRule type="expression" dxfId="4" priority="9">
      <formula>LEFT(CELL("format",C9))</formula>
    </cfRule>
  </conditionalFormatting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181E-6CC8-4AB9-AAAE-CB7CFC66AE4A}">
  <sheetPr codeName="Feuil3"/>
  <dimension ref="A1:J39"/>
  <sheetViews>
    <sheetView workbookViewId="0">
      <selection activeCell="J1" sqref="F1:J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COUNTIF(C8:C16,"&lt;&gt;")</f>
        <v>9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0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46166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36</v>
      </c>
      <c r="B8" s="14" t="s">
        <v>46</v>
      </c>
      <c r="C8" s="14" t="s">
        <v>62</v>
      </c>
      <c r="D8" s="14" t="s">
        <v>0</v>
      </c>
      <c r="E8" s="14" t="s">
        <v>1</v>
      </c>
      <c r="F8" s="16" t="s">
        <v>51</v>
      </c>
    </row>
    <row r="9" spans="1:10" s="1" customFormat="1" ht="15.75" customHeight="1" x14ac:dyDescent="0.25">
      <c r="A9" s="19">
        <v>1</v>
      </c>
      <c r="B9" s="10" t="s">
        <v>63</v>
      </c>
      <c r="C9" s="12">
        <v>46166</v>
      </c>
      <c r="D9" s="10" t="s">
        <v>64</v>
      </c>
      <c r="E9" s="10" t="s">
        <v>65</v>
      </c>
      <c r="F9" s="20">
        <v>40</v>
      </c>
    </row>
    <row r="10" spans="1:10" s="1" customFormat="1" ht="15.75" customHeight="1" x14ac:dyDescent="0.25">
      <c r="A10" s="17">
        <v>2</v>
      </c>
      <c r="B10" s="9" t="s">
        <v>66</v>
      </c>
      <c r="C10" s="15">
        <v>46166</v>
      </c>
      <c r="D10" s="9" t="s">
        <v>67</v>
      </c>
      <c r="E10" s="9" t="s">
        <v>68</v>
      </c>
      <c r="F10" s="18">
        <v>40</v>
      </c>
    </row>
    <row r="11" spans="1:10" s="1" customFormat="1" ht="15.75" customHeight="1" x14ac:dyDescent="0.25">
      <c r="A11" s="17">
        <v>3</v>
      </c>
      <c r="B11" s="9" t="s">
        <v>66</v>
      </c>
      <c r="C11" s="15">
        <v>46166</v>
      </c>
      <c r="D11" s="9" t="s">
        <v>69</v>
      </c>
      <c r="E11" s="9" t="s">
        <v>70</v>
      </c>
      <c r="F11" s="18">
        <v>40</v>
      </c>
    </row>
    <row r="12" spans="1:10" s="1" customFormat="1" ht="15.75" customHeight="1" x14ac:dyDescent="0.25">
      <c r="A12" s="17">
        <v>4</v>
      </c>
      <c r="B12" s="9" t="s">
        <v>71</v>
      </c>
      <c r="C12" s="15">
        <v>46166</v>
      </c>
      <c r="D12" s="9" t="s">
        <v>72</v>
      </c>
      <c r="E12" s="9" t="s">
        <v>73</v>
      </c>
      <c r="F12" s="18">
        <v>40</v>
      </c>
      <c r="G12" s="1" t="s">
        <v>86</v>
      </c>
      <c r="H12" s="4"/>
    </row>
    <row r="13" spans="1:10" s="1" customFormat="1" ht="15.75" customHeight="1" x14ac:dyDescent="0.25">
      <c r="A13" s="17">
        <v>5</v>
      </c>
      <c r="B13" s="9" t="s">
        <v>71</v>
      </c>
      <c r="C13" s="15">
        <v>46166</v>
      </c>
      <c r="D13" s="9" t="s">
        <v>74</v>
      </c>
      <c r="E13" s="9" t="s">
        <v>75</v>
      </c>
      <c r="F13" s="18">
        <v>40</v>
      </c>
    </row>
    <row r="14" spans="1:10" s="1" customFormat="1" ht="15.75" customHeight="1" x14ac:dyDescent="0.25">
      <c r="A14" s="17">
        <v>6</v>
      </c>
      <c r="B14" s="9" t="s">
        <v>76</v>
      </c>
      <c r="C14" s="15">
        <v>46166</v>
      </c>
      <c r="D14" s="9" t="s">
        <v>77</v>
      </c>
      <c r="E14" s="9">
        <v>89828</v>
      </c>
      <c r="F14" s="18">
        <v>40</v>
      </c>
    </row>
    <row r="15" spans="1:10" ht="15.75" customHeight="1" x14ac:dyDescent="0.25">
      <c r="A15" s="17">
        <v>7</v>
      </c>
      <c r="B15" s="9" t="s">
        <v>78</v>
      </c>
      <c r="C15" s="15">
        <v>46166</v>
      </c>
      <c r="D15" s="9" t="s">
        <v>79</v>
      </c>
      <c r="E15" s="9" t="s">
        <v>80</v>
      </c>
      <c r="F15" s="18">
        <v>40</v>
      </c>
    </row>
    <row r="16" spans="1:10" ht="15.75" customHeight="1" thickBot="1" x14ac:dyDescent="0.3">
      <c r="A16" s="21">
        <v>8</v>
      </c>
      <c r="B16" s="11" t="s">
        <v>81</v>
      </c>
      <c r="C16" s="23">
        <v>46166</v>
      </c>
      <c r="D16" s="11" t="s">
        <v>82</v>
      </c>
      <c r="E16" s="11" t="s">
        <v>83</v>
      </c>
      <c r="F16" s="22">
        <v>40</v>
      </c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40</v>
      </c>
      <c r="C18" s="1"/>
      <c r="E18" s="1"/>
      <c r="F18" s="1"/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36</v>
      </c>
      <c r="B20" s="7" t="s">
        <v>61</v>
      </c>
      <c r="C20" s="7" t="s">
        <v>43</v>
      </c>
      <c r="D20" s="7" t="s">
        <v>0</v>
      </c>
      <c r="E20" s="7" t="s">
        <v>1</v>
      </c>
      <c r="F20" s="8" t="s">
        <v>51</v>
      </c>
    </row>
    <row r="21" spans="1:7" ht="15.75" customHeight="1" x14ac:dyDescent="0.25">
      <c r="A21" s="19"/>
      <c r="B21" s="12"/>
      <c r="C21" s="10"/>
      <c r="D21" s="10"/>
      <c r="E21" s="10"/>
      <c r="F21" s="20"/>
    </row>
    <row r="22" spans="1:7" ht="15.75" customHeight="1" x14ac:dyDescent="0.25">
      <c r="A22" s="17"/>
      <c r="B22" s="15"/>
      <c r="C22" s="9"/>
      <c r="D22" s="9"/>
      <c r="E22" s="9"/>
      <c r="F22" s="18"/>
    </row>
    <row r="23" spans="1:7" ht="15.75" customHeight="1" x14ac:dyDescent="0.25">
      <c r="A23" s="17"/>
      <c r="B23" s="9"/>
      <c r="C23" s="9"/>
      <c r="D23" s="9"/>
      <c r="E23" s="9"/>
      <c r="F23" s="18"/>
    </row>
    <row r="24" spans="1:7" ht="15.75" customHeight="1" x14ac:dyDescent="0.25">
      <c r="A24" s="17"/>
      <c r="B24" s="9"/>
      <c r="C24" s="9"/>
      <c r="D24" s="9"/>
      <c r="E24" s="9"/>
      <c r="F24" s="18"/>
    </row>
    <row r="25" spans="1:7" ht="15.75" customHeight="1" x14ac:dyDescent="0.25">
      <c r="A25" s="17"/>
      <c r="B25" s="9"/>
      <c r="C25" s="9"/>
      <c r="D25" s="9"/>
      <c r="E25" s="9"/>
      <c r="F25" s="18"/>
    </row>
    <row r="26" spans="1:7" ht="15.75" customHeight="1" thickBot="1" x14ac:dyDescent="0.3">
      <c r="A26" s="21"/>
      <c r="B26" s="11"/>
      <c r="C26" s="11"/>
      <c r="D26" s="11"/>
      <c r="E26" s="11"/>
      <c r="F26" s="22"/>
    </row>
    <row r="29" spans="1:7" x14ac:dyDescent="0.25">
      <c r="A29" s="3"/>
      <c r="B29" s="1"/>
      <c r="C29" s="1"/>
      <c r="D29" s="1"/>
      <c r="E29" s="1"/>
      <c r="F29" s="1"/>
      <c r="G29" s="1"/>
    </row>
    <row r="30" spans="1:7" ht="15.75" x14ac:dyDescent="0.25">
      <c r="A30" s="3"/>
      <c r="B30" s="24" t="s">
        <v>155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ht="15.75" thickBot="1" x14ac:dyDescent="0.3">
      <c r="A32" s="13" t="s">
        <v>36</v>
      </c>
      <c r="B32" s="14" t="s">
        <v>137</v>
      </c>
      <c r="C32" s="14" t="s">
        <v>0</v>
      </c>
      <c r="D32" s="14" t="s">
        <v>1</v>
      </c>
      <c r="E32" s="16" t="s">
        <v>51</v>
      </c>
    </row>
    <row r="33" spans="1:5" ht="15.75" customHeight="1" x14ac:dyDescent="0.25">
      <c r="A33" s="19"/>
      <c r="B33" s="12"/>
      <c r="C33" s="10"/>
      <c r="D33" s="10"/>
      <c r="E33" s="20"/>
    </row>
    <row r="34" spans="1:5" ht="15.75" customHeight="1" x14ac:dyDescent="0.25">
      <c r="A34" s="17"/>
      <c r="B34" s="15"/>
      <c r="C34" s="9"/>
      <c r="D34" s="9"/>
      <c r="E34" s="18"/>
    </row>
    <row r="35" spans="1:5" ht="15.75" customHeight="1" x14ac:dyDescent="0.25">
      <c r="A35" s="17"/>
      <c r="B35" s="15"/>
      <c r="C35" s="9"/>
      <c r="D35" s="9"/>
      <c r="E35" s="18"/>
    </row>
    <row r="36" spans="1:5" ht="15.75" customHeight="1" x14ac:dyDescent="0.25">
      <c r="A36" s="17"/>
      <c r="B36" s="15"/>
      <c r="C36" s="9"/>
      <c r="D36" s="9"/>
      <c r="E36" s="18"/>
    </row>
    <row r="37" spans="1:5" ht="15.75" customHeight="1" x14ac:dyDescent="0.25">
      <c r="A37" s="17"/>
      <c r="B37" s="15"/>
      <c r="C37" s="9"/>
      <c r="D37" s="9"/>
      <c r="E37" s="18"/>
    </row>
    <row r="38" spans="1:5" ht="15.75" customHeight="1" x14ac:dyDescent="0.25">
      <c r="A38" s="17"/>
      <c r="B38" s="15"/>
      <c r="C38" s="9"/>
      <c r="D38" s="9"/>
      <c r="E38" s="18"/>
    </row>
    <row r="39" spans="1:5" ht="15.75" customHeight="1" thickBot="1" x14ac:dyDescent="0.3">
      <c r="A39" s="21"/>
      <c r="B39" s="23"/>
      <c r="C39" s="11"/>
      <c r="D39" s="11"/>
      <c r="E39" s="22"/>
    </row>
  </sheetData>
  <mergeCells count="1">
    <mergeCell ref="A3:H3"/>
  </mergeCells>
  <conditionalFormatting sqref="G9">
    <cfRule type="expression" dxfId="3" priority="1">
      <formula>LEFT(CELL("format",C9))</formula>
    </cfRule>
  </conditionalFormatting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961E-DF0B-4DC1-8913-77C7CA803D3E}">
  <sheetPr codeName="Feuil4"/>
  <dimension ref="A1:J39"/>
  <sheetViews>
    <sheetView workbookViewId="0">
      <selection activeCell="H2" sqref="H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COUNTIF(C9:C16,"&lt;&gt;")</f>
        <v>0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2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46167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36</v>
      </c>
      <c r="B8" s="14" t="s">
        <v>46</v>
      </c>
      <c r="C8" s="14" t="s">
        <v>62</v>
      </c>
      <c r="D8" s="14" t="s">
        <v>0</v>
      </c>
      <c r="E8" s="14" t="s">
        <v>1</v>
      </c>
      <c r="F8" s="16" t="s">
        <v>51</v>
      </c>
    </row>
    <row r="9" spans="1:10" s="1" customFormat="1" ht="15.75" customHeight="1" x14ac:dyDescent="0.25">
      <c r="A9" s="19">
        <v>1</v>
      </c>
      <c r="B9" s="10"/>
      <c r="C9" s="12"/>
      <c r="D9" s="10"/>
      <c r="E9" s="10"/>
      <c r="F9" s="20"/>
    </row>
    <row r="10" spans="1:10" s="1" customFormat="1" ht="15.75" customHeight="1" x14ac:dyDescent="0.25">
      <c r="A10" s="17">
        <v>2</v>
      </c>
      <c r="B10" s="9"/>
      <c r="C10" s="15"/>
      <c r="D10" s="9"/>
      <c r="E10" s="9"/>
      <c r="F10" s="18"/>
    </row>
    <row r="11" spans="1:10" s="1" customFormat="1" ht="15.75" customHeight="1" x14ac:dyDescent="0.25">
      <c r="A11" s="17">
        <v>3</v>
      </c>
      <c r="B11" s="9"/>
      <c r="C11" s="15"/>
      <c r="D11" s="9"/>
      <c r="E11" s="9"/>
      <c r="F11" s="18"/>
    </row>
    <row r="12" spans="1:10" s="1" customFormat="1" ht="15.75" customHeight="1" x14ac:dyDescent="0.25">
      <c r="A12" s="17">
        <v>4</v>
      </c>
      <c r="B12" s="9"/>
      <c r="C12" s="15"/>
      <c r="D12" s="9"/>
      <c r="E12" s="9"/>
      <c r="F12" s="18"/>
      <c r="H12" s="4"/>
    </row>
    <row r="13" spans="1:10" s="1" customFormat="1" ht="15.75" customHeight="1" x14ac:dyDescent="0.25">
      <c r="A13" s="17">
        <v>5</v>
      </c>
      <c r="B13" s="9"/>
      <c r="C13" s="15"/>
      <c r="D13" s="9"/>
      <c r="E13" s="9"/>
      <c r="F13" s="18"/>
    </row>
    <row r="14" spans="1:10" s="1" customFormat="1" ht="15.75" customHeight="1" x14ac:dyDescent="0.25">
      <c r="A14" s="17">
        <v>6</v>
      </c>
      <c r="B14" s="9"/>
      <c r="C14" s="15"/>
      <c r="D14" s="9"/>
      <c r="E14" s="9"/>
      <c r="F14" s="18"/>
    </row>
    <row r="15" spans="1:10" ht="15.75" customHeight="1" x14ac:dyDescent="0.25">
      <c r="A15" s="17">
        <v>7</v>
      </c>
      <c r="B15" s="9"/>
      <c r="C15" s="15"/>
      <c r="D15" s="9"/>
      <c r="E15" s="9"/>
      <c r="F15" s="18"/>
    </row>
    <row r="16" spans="1:10" ht="15.75" customHeight="1" thickBot="1" x14ac:dyDescent="0.3">
      <c r="A16" s="21">
        <v>8</v>
      </c>
      <c r="B16" s="11"/>
      <c r="C16" s="23"/>
      <c r="D16" s="11"/>
      <c r="E16" s="11"/>
      <c r="F16" s="22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40</v>
      </c>
      <c r="C18" s="1"/>
      <c r="E18" s="1"/>
      <c r="F18" s="1"/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36</v>
      </c>
      <c r="B20" s="7" t="s">
        <v>61</v>
      </c>
      <c r="C20" s="7" t="s">
        <v>43</v>
      </c>
      <c r="D20" s="7" t="s">
        <v>0</v>
      </c>
      <c r="E20" s="7" t="s">
        <v>1</v>
      </c>
      <c r="F20" s="8" t="s">
        <v>51</v>
      </c>
    </row>
    <row r="21" spans="1:7" ht="15.75" customHeight="1" x14ac:dyDescent="0.25">
      <c r="A21" s="19">
        <v>1</v>
      </c>
      <c r="B21" s="12">
        <v>46167</v>
      </c>
      <c r="C21" s="10" t="s">
        <v>87</v>
      </c>
      <c r="D21" s="10" t="s">
        <v>89</v>
      </c>
      <c r="E21" s="10">
        <v>3821</v>
      </c>
      <c r="F21" s="20">
        <v>40</v>
      </c>
    </row>
    <row r="22" spans="1:7" ht="15.75" customHeight="1" x14ac:dyDescent="0.25">
      <c r="A22" s="17">
        <v>2</v>
      </c>
      <c r="B22" s="15">
        <v>46167</v>
      </c>
      <c r="C22" s="9" t="s">
        <v>88</v>
      </c>
      <c r="D22" s="9" t="s">
        <v>90</v>
      </c>
      <c r="E22" s="9">
        <v>3233</v>
      </c>
      <c r="F22" s="18">
        <v>40</v>
      </c>
    </row>
    <row r="23" spans="1:7" ht="15.75" customHeight="1" x14ac:dyDescent="0.25">
      <c r="A23" s="17"/>
      <c r="B23" s="9"/>
      <c r="C23" s="9"/>
      <c r="D23" s="9"/>
      <c r="E23" s="9"/>
      <c r="F23" s="18"/>
    </row>
    <row r="24" spans="1:7" ht="15.75" customHeight="1" x14ac:dyDescent="0.25">
      <c r="A24" s="17"/>
      <c r="B24" s="9"/>
      <c r="C24" s="9"/>
      <c r="D24" s="9"/>
      <c r="E24" s="9"/>
      <c r="F24" s="18"/>
    </row>
    <row r="25" spans="1:7" ht="15.75" customHeight="1" x14ac:dyDescent="0.25">
      <c r="A25" s="17"/>
      <c r="B25" s="9"/>
      <c r="C25" s="9"/>
      <c r="D25" s="9"/>
      <c r="E25" s="9"/>
      <c r="F25" s="18"/>
    </row>
    <row r="26" spans="1:7" ht="15.75" customHeight="1" thickBot="1" x14ac:dyDescent="0.3">
      <c r="A26" s="21"/>
      <c r="B26" s="11"/>
      <c r="C26" s="11"/>
      <c r="D26" s="11"/>
      <c r="E26" s="11"/>
      <c r="F26" s="22"/>
    </row>
    <row r="29" spans="1:7" x14ac:dyDescent="0.25">
      <c r="A29" s="3"/>
      <c r="B29" s="1"/>
      <c r="C29" s="1"/>
      <c r="D29" s="1"/>
      <c r="E29" s="1"/>
      <c r="F29" s="1"/>
      <c r="G29" s="1"/>
    </row>
    <row r="30" spans="1:7" ht="15.75" x14ac:dyDescent="0.25">
      <c r="A30" s="3"/>
      <c r="B30" s="24" t="s">
        <v>155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ht="15.75" thickBot="1" x14ac:dyDescent="0.3">
      <c r="A32" s="13" t="s">
        <v>36</v>
      </c>
      <c r="B32" s="14" t="s">
        <v>137</v>
      </c>
      <c r="C32" s="14" t="s">
        <v>0</v>
      </c>
      <c r="D32" s="14" t="s">
        <v>1</v>
      </c>
      <c r="E32" s="16" t="s">
        <v>51</v>
      </c>
    </row>
    <row r="33" spans="1:5" ht="15.75" customHeight="1" x14ac:dyDescent="0.25">
      <c r="A33" s="19"/>
      <c r="B33" s="12"/>
      <c r="C33" s="10"/>
      <c r="D33" s="10"/>
      <c r="E33" s="20"/>
    </row>
    <row r="34" spans="1:5" ht="15.75" customHeight="1" x14ac:dyDescent="0.25">
      <c r="A34" s="17"/>
      <c r="B34" s="15"/>
      <c r="C34" s="9"/>
      <c r="D34" s="9"/>
      <c r="E34" s="18"/>
    </row>
    <row r="35" spans="1:5" ht="15.75" customHeight="1" x14ac:dyDescent="0.25">
      <c r="A35" s="17"/>
      <c r="B35" s="15"/>
      <c r="C35" s="9"/>
      <c r="D35" s="9"/>
      <c r="E35" s="18"/>
    </row>
    <row r="36" spans="1:5" ht="15.75" customHeight="1" x14ac:dyDescent="0.25">
      <c r="A36" s="17"/>
      <c r="B36" s="15"/>
      <c r="C36" s="9"/>
      <c r="D36" s="9"/>
      <c r="E36" s="18"/>
    </row>
    <row r="37" spans="1:5" ht="15.75" customHeight="1" x14ac:dyDescent="0.25">
      <c r="A37" s="17"/>
      <c r="B37" s="15"/>
      <c r="C37" s="9"/>
      <c r="D37" s="9"/>
      <c r="E37" s="18"/>
    </row>
    <row r="38" spans="1:5" ht="15.75" customHeight="1" x14ac:dyDescent="0.25">
      <c r="A38" s="17"/>
      <c r="B38" s="15"/>
      <c r="C38" s="9"/>
      <c r="D38" s="9"/>
      <c r="E38" s="18"/>
    </row>
    <row r="39" spans="1:5" ht="15.75" customHeight="1" thickBot="1" x14ac:dyDescent="0.3">
      <c r="A39" s="21"/>
      <c r="B39" s="23"/>
      <c r="C39" s="11"/>
      <c r="D39" s="11"/>
      <c r="E39" s="22"/>
    </row>
  </sheetData>
  <mergeCells count="1">
    <mergeCell ref="A3:H3"/>
  </mergeCells>
  <conditionalFormatting sqref="G9">
    <cfRule type="expression" dxfId="2" priority="1">
      <formula>LEFT(CELL("format",C9))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7491-CCFE-4825-8FB0-E6C9077B7A2A}">
  <sheetPr codeName="Feuil5"/>
  <dimension ref="A1:J46"/>
  <sheetViews>
    <sheetView workbookViewId="0">
      <selection activeCell="H2" sqref="H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COUNTIF(C9:C16,"&lt;&gt;")</f>
        <v>3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1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46168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36</v>
      </c>
      <c r="B8" s="14" t="s">
        <v>46</v>
      </c>
      <c r="C8" s="14" t="s">
        <v>62</v>
      </c>
      <c r="D8" s="14" t="s">
        <v>0</v>
      </c>
      <c r="E8" s="14" t="s">
        <v>1</v>
      </c>
      <c r="F8" s="16" t="s">
        <v>51</v>
      </c>
      <c r="G8" s="16" t="s">
        <v>157</v>
      </c>
    </row>
    <row r="9" spans="1:10" s="1" customFormat="1" ht="15.75" customHeight="1" x14ac:dyDescent="0.25">
      <c r="A9" s="19">
        <v>1</v>
      </c>
      <c r="B9" s="9" t="s">
        <v>94</v>
      </c>
      <c r="C9" s="36">
        <v>26052026</v>
      </c>
      <c r="D9" s="9" t="s">
        <v>107</v>
      </c>
      <c r="E9" s="9" t="s">
        <v>91</v>
      </c>
      <c r="F9" s="20" t="s">
        <v>158</v>
      </c>
      <c r="G9" s="5">
        <v>46176</v>
      </c>
    </row>
    <row r="10" spans="1:10" s="1" customFormat="1" ht="15.75" customHeight="1" x14ac:dyDescent="0.25">
      <c r="A10" s="17">
        <v>2</v>
      </c>
      <c r="B10" s="9" t="s">
        <v>95</v>
      </c>
      <c r="C10" s="37">
        <v>26052026</v>
      </c>
      <c r="D10" s="9" t="s">
        <v>108</v>
      </c>
      <c r="E10" s="9" t="s">
        <v>92</v>
      </c>
      <c r="F10" s="18" t="s">
        <v>158</v>
      </c>
      <c r="G10" s="5">
        <v>46176</v>
      </c>
    </row>
    <row r="11" spans="1:10" s="1" customFormat="1" ht="15.75" customHeight="1" x14ac:dyDescent="0.25">
      <c r="A11" s="17">
        <v>3</v>
      </c>
      <c r="B11" s="9" t="s">
        <v>96</v>
      </c>
      <c r="C11" s="37">
        <v>26052026</v>
      </c>
      <c r="D11" s="25" t="s">
        <v>109</v>
      </c>
      <c r="E11" s="25" t="s">
        <v>93</v>
      </c>
      <c r="F11" s="18" t="s">
        <v>158</v>
      </c>
      <c r="G11" s="5">
        <v>46176</v>
      </c>
    </row>
    <row r="12" spans="1:10" s="1" customFormat="1" ht="15.75" customHeight="1" x14ac:dyDescent="0.25">
      <c r="A12" s="17"/>
      <c r="B12" s="9"/>
      <c r="C12" s="37"/>
      <c r="D12" s="9"/>
      <c r="E12" s="9"/>
      <c r="F12" s="18"/>
      <c r="H12" s="4"/>
    </row>
    <row r="13" spans="1:10" s="1" customFormat="1" ht="15.75" customHeight="1" x14ac:dyDescent="0.25">
      <c r="A13" s="17"/>
      <c r="B13" s="9"/>
      <c r="C13" s="37"/>
      <c r="D13" s="9"/>
      <c r="E13" s="9"/>
      <c r="F13" s="18"/>
    </row>
    <row r="14" spans="1:10" s="1" customFormat="1" ht="15.75" customHeight="1" x14ac:dyDescent="0.25">
      <c r="A14" s="17"/>
      <c r="B14" s="9"/>
      <c r="C14" s="37"/>
      <c r="D14" s="9"/>
      <c r="E14" s="9"/>
      <c r="F14" s="18"/>
    </row>
    <row r="15" spans="1:10" ht="15.75" customHeight="1" x14ac:dyDescent="0.25">
      <c r="A15" s="17"/>
      <c r="B15" s="9"/>
      <c r="C15" s="37"/>
      <c r="D15" s="9"/>
      <c r="E15" s="9"/>
      <c r="F15" s="18"/>
    </row>
    <row r="16" spans="1:10" ht="15.75" customHeight="1" thickBot="1" x14ac:dyDescent="0.3">
      <c r="A16" s="21"/>
      <c r="B16" s="11"/>
      <c r="C16" s="23"/>
      <c r="D16" s="11"/>
      <c r="E16" s="11"/>
      <c r="F16" s="22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40</v>
      </c>
      <c r="C18" s="1"/>
      <c r="E18" s="1"/>
      <c r="F18" s="1"/>
      <c r="G18" s="5"/>
    </row>
    <row r="19" spans="1:7" ht="15.75" thickBot="1" x14ac:dyDescent="0.3">
      <c r="A19" s="3"/>
      <c r="B19" s="2"/>
      <c r="C19" s="1"/>
      <c r="D19" s="1"/>
      <c r="E19" s="1"/>
      <c r="F19" s="1"/>
      <c r="G19" s="1"/>
    </row>
    <row r="20" spans="1:7" ht="15.75" thickBot="1" x14ac:dyDescent="0.3">
      <c r="A20" s="6" t="s">
        <v>36</v>
      </c>
      <c r="B20" s="7" t="s">
        <v>61</v>
      </c>
      <c r="C20" s="7" t="s">
        <v>43</v>
      </c>
      <c r="D20" s="7" t="s">
        <v>0</v>
      </c>
      <c r="E20" s="7" t="s">
        <v>1</v>
      </c>
      <c r="F20" s="8" t="s">
        <v>51</v>
      </c>
    </row>
    <row r="21" spans="1:7" ht="15.75" customHeight="1" x14ac:dyDescent="0.25">
      <c r="A21" s="19">
        <v>1</v>
      </c>
      <c r="B21" s="36">
        <v>26052026</v>
      </c>
      <c r="C21" s="10" t="s">
        <v>97</v>
      </c>
      <c r="D21" s="10" t="s">
        <v>156</v>
      </c>
      <c r="E21" s="10">
        <v>3827</v>
      </c>
      <c r="F21" s="20">
        <v>20</v>
      </c>
    </row>
    <row r="22" spans="1:7" ht="15.75" customHeight="1" x14ac:dyDescent="0.25">
      <c r="A22" s="17"/>
      <c r="B22" s="37"/>
      <c r="C22" s="9"/>
      <c r="D22" s="9"/>
      <c r="E22" s="9"/>
      <c r="F22" s="18"/>
    </row>
    <row r="23" spans="1:7" ht="15.75" customHeight="1" x14ac:dyDescent="0.25">
      <c r="A23" s="17"/>
      <c r="B23" s="37"/>
      <c r="C23" s="9"/>
      <c r="D23" s="9"/>
      <c r="E23" s="9"/>
      <c r="F23" s="18"/>
    </row>
    <row r="24" spans="1:7" ht="15.75" customHeight="1" x14ac:dyDescent="0.25">
      <c r="A24" s="17"/>
      <c r="B24" s="37"/>
      <c r="C24" s="9"/>
      <c r="D24" s="9"/>
      <c r="E24" s="9"/>
      <c r="F24" s="18"/>
    </row>
    <row r="25" spans="1:7" ht="15.75" customHeight="1" x14ac:dyDescent="0.25">
      <c r="A25" s="17"/>
      <c r="B25" s="37"/>
      <c r="C25" s="9"/>
      <c r="D25" s="9"/>
      <c r="E25" s="9"/>
      <c r="F25" s="18"/>
    </row>
    <row r="26" spans="1:7" ht="15.75" customHeight="1" thickBot="1" x14ac:dyDescent="0.3">
      <c r="A26" s="21"/>
      <c r="B26" s="38"/>
      <c r="C26" s="11"/>
      <c r="D26" s="11"/>
      <c r="E26" s="11"/>
      <c r="F26" s="22"/>
    </row>
    <row r="29" spans="1:7" x14ac:dyDescent="0.25">
      <c r="A29" s="3"/>
      <c r="B29" s="1"/>
      <c r="C29" s="1"/>
      <c r="D29" s="1"/>
      <c r="E29" s="1"/>
      <c r="F29" s="1"/>
      <c r="G29" s="1"/>
    </row>
    <row r="30" spans="1:7" ht="15.75" x14ac:dyDescent="0.25">
      <c r="A30" s="3"/>
      <c r="B30" s="24" t="s">
        <v>155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ht="15.75" thickBot="1" x14ac:dyDescent="0.3">
      <c r="A32" s="13" t="s">
        <v>36</v>
      </c>
      <c r="B32" s="14" t="s">
        <v>137</v>
      </c>
      <c r="C32" s="14" t="s">
        <v>0</v>
      </c>
      <c r="D32" s="14" t="s">
        <v>1</v>
      </c>
      <c r="E32" s="16" t="s">
        <v>51</v>
      </c>
    </row>
    <row r="33" spans="1:5" ht="15.75" customHeight="1" x14ac:dyDescent="0.25">
      <c r="A33" s="19"/>
      <c r="B33" s="36"/>
      <c r="C33" s="10"/>
      <c r="D33" s="10"/>
      <c r="E33" s="20"/>
    </row>
    <row r="34" spans="1:5" ht="15.75" customHeight="1" x14ac:dyDescent="0.25">
      <c r="A34" s="17"/>
      <c r="B34" s="37"/>
      <c r="C34" s="9"/>
      <c r="D34" s="9"/>
      <c r="E34" s="18"/>
    </row>
    <row r="35" spans="1:5" ht="15.75" customHeight="1" x14ac:dyDescent="0.25">
      <c r="A35" s="17"/>
      <c r="B35" s="37"/>
      <c r="C35" s="9"/>
      <c r="D35" s="9"/>
      <c r="E35" s="18"/>
    </row>
    <row r="36" spans="1:5" ht="15.75" customHeight="1" x14ac:dyDescent="0.25">
      <c r="A36" s="17"/>
      <c r="B36" s="37"/>
      <c r="C36" s="9"/>
      <c r="D36" s="9"/>
      <c r="E36" s="18"/>
    </row>
    <row r="37" spans="1:5" ht="15.75" customHeight="1" x14ac:dyDescent="0.25">
      <c r="A37" s="17"/>
      <c r="B37" s="37"/>
      <c r="C37" s="9"/>
      <c r="D37" s="9"/>
      <c r="E37" s="18"/>
    </row>
    <row r="38" spans="1:5" ht="15.75" customHeight="1" x14ac:dyDescent="0.25">
      <c r="A38" s="17"/>
      <c r="B38" s="37"/>
      <c r="C38" s="9"/>
      <c r="D38" s="9"/>
      <c r="E38" s="18"/>
    </row>
    <row r="39" spans="1:5" ht="15.75" customHeight="1" thickBot="1" x14ac:dyDescent="0.3">
      <c r="A39" s="21"/>
      <c r="B39" s="38"/>
      <c r="C39" s="11"/>
      <c r="D39" s="11"/>
      <c r="E39" s="22"/>
    </row>
    <row r="46" spans="1:5" x14ac:dyDescent="0.25">
      <c r="D46" s="35"/>
    </row>
  </sheetData>
  <mergeCells count="1">
    <mergeCell ref="A3:H3"/>
  </mergeCells>
  <conditionalFormatting sqref="G9:G11">
    <cfRule type="expression" dxfId="1" priority="1">
      <formula>LEFT(CELL("format",C9))</formula>
    </cfRule>
  </conditionalFormatting>
  <dataValidations count="1">
    <dataValidation type="list" allowBlank="1" showInputMessage="1" showErrorMessage="1" sqref="F9:F11" xr:uid="{B04AA474-FCC9-47F5-85CD-E5BA644C0749}">
      <formula1>"20,40,45,50,GROUPAGE"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4AB9-9AAE-4FCC-9309-B2B545768411}">
  <sheetPr codeName="Feuil6"/>
  <dimension ref="A1:J46"/>
  <sheetViews>
    <sheetView workbookViewId="0">
      <selection activeCell="H2" sqref="H2"/>
    </sheetView>
  </sheetViews>
  <sheetFormatPr baseColWidth="10" defaultRowHeight="15" x14ac:dyDescent="0.25"/>
  <cols>
    <col min="1" max="1" width="3.140625" bestFit="1" customWidth="1"/>
    <col min="2" max="2" width="13.7109375" bestFit="1" customWidth="1"/>
    <col min="3" max="3" width="19.28515625" customWidth="1"/>
    <col min="4" max="4" width="19.140625" customWidth="1"/>
    <col min="5" max="5" width="14.28515625" customWidth="1"/>
    <col min="6" max="6" width="13.85546875" bestFit="1" customWidth="1"/>
    <col min="7" max="7" width="12.140625" bestFit="1" customWidth="1"/>
  </cols>
  <sheetData>
    <row r="1" spans="1:10" s="1" customFormat="1" ht="24.95" customHeight="1" x14ac:dyDescent="0.25">
      <c r="A1" s="3"/>
      <c r="H1" s="50">
        <f>COUNTIF(C9:C16,"&lt;&gt;")</f>
        <v>3</v>
      </c>
      <c r="I1" s="51" t="s">
        <v>165</v>
      </c>
    </row>
    <row r="2" spans="1:10" s="1" customFormat="1" ht="24.95" customHeight="1" x14ac:dyDescent="0.25">
      <c r="A2" s="3"/>
      <c r="F2" s="50">
        <f>COUNTIFS(B20:B29,"&lt;&gt;",C20:C29,"VH")</f>
        <v>0</v>
      </c>
      <c r="G2" s="51" t="s">
        <v>166</v>
      </c>
      <c r="H2" s="50">
        <f>COUNTA(C21:C29)-F2</f>
        <v>0</v>
      </c>
      <c r="I2" s="51" t="s">
        <v>165</v>
      </c>
      <c r="J2" s="52">
        <f>COUNTIF(E20:E29,"VIDE")</f>
        <v>0</v>
      </c>
    </row>
    <row r="3" spans="1:10" s="1" customFormat="1" ht="24.95" customHeight="1" x14ac:dyDescent="0.25">
      <c r="A3" s="43" t="s">
        <v>53</v>
      </c>
      <c r="B3" s="43"/>
      <c r="C3" s="43"/>
      <c r="D3" s="43"/>
      <c r="E3" s="43"/>
      <c r="F3" s="43"/>
      <c r="G3" s="43"/>
      <c r="H3" s="43"/>
    </row>
    <row r="4" spans="1:10" s="1" customFormat="1" ht="24.95" customHeight="1" x14ac:dyDescent="0.25">
      <c r="A4" s="3"/>
    </row>
    <row r="5" spans="1:10" s="1" customFormat="1" ht="24.95" customHeight="1" x14ac:dyDescent="0.25">
      <c r="A5" s="3"/>
    </row>
    <row r="6" spans="1:10" s="1" customFormat="1" ht="24.95" customHeight="1" x14ac:dyDescent="0.25">
      <c r="A6" s="3"/>
      <c r="B6" s="24" t="s">
        <v>39</v>
      </c>
      <c r="G6" s="30">
        <v>46173</v>
      </c>
    </row>
    <row r="7" spans="1:10" s="1" customFormat="1" thickBot="1" x14ac:dyDescent="0.3">
      <c r="A7" s="3"/>
      <c r="B7" s="2"/>
    </row>
    <row r="8" spans="1:10" s="1" customFormat="1" ht="15.75" customHeight="1" thickBot="1" x14ac:dyDescent="0.3">
      <c r="A8" s="13" t="s">
        <v>36</v>
      </c>
      <c r="B8" s="14" t="s">
        <v>46</v>
      </c>
      <c r="C8" s="14" t="s">
        <v>62</v>
      </c>
      <c r="D8" s="14" t="s">
        <v>0</v>
      </c>
      <c r="E8" s="14" t="s">
        <v>1</v>
      </c>
      <c r="F8" s="16" t="s">
        <v>51</v>
      </c>
      <c r="G8" s="16" t="s">
        <v>157</v>
      </c>
    </row>
    <row r="9" spans="1:10" s="1" customFormat="1" ht="15.75" customHeight="1" x14ac:dyDescent="0.25">
      <c r="A9" s="19">
        <v>1</v>
      </c>
      <c r="B9" s="9" t="s">
        <v>103</v>
      </c>
      <c r="C9" s="36">
        <v>31052026</v>
      </c>
      <c r="D9" s="9" t="s">
        <v>98</v>
      </c>
      <c r="E9" s="9" t="s">
        <v>99</v>
      </c>
      <c r="F9" s="20" t="s">
        <v>158</v>
      </c>
      <c r="G9" s="5">
        <v>46176</v>
      </c>
    </row>
    <row r="10" spans="1:10" s="1" customFormat="1" ht="15.75" customHeight="1" x14ac:dyDescent="0.25">
      <c r="A10" s="17">
        <v>2</v>
      </c>
      <c r="B10" s="9" t="s">
        <v>105</v>
      </c>
      <c r="C10" s="37">
        <v>31052026</v>
      </c>
      <c r="D10" s="9" t="s">
        <v>106</v>
      </c>
      <c r="E10" s="9" t="s">
        <v>100</v>
      </c>
      <c r="F10" s="18" t="s">
        <v>158</v>
      </c>
      <c r="G10" s="5">
        <v>46176</v>
      </c>
    </row>
    <row r="11" spans="1:10" s="1" customFormat="1" ht="15.75" customHeight="1" x14ac:dyDescent="0.25">
      <c r="A11" s="17">
        <v>3</v>
      </c>
      <c r="B11" s="9" t="s">
        <v>104</v>
      </c>
      <c r="C11" s="37">
        <v>31052026</v>
      </c>
      <c r="D11" s="25" t="s">
        <v>101</v>
      </c>
      <c r="E11" s="25" t="s">
        <v>102</v>
      </c>
      <c r="F11" s="18" t="s">
        <v>158</v>
      </c>
      <c r="G11" s="5">
        <v>46176</v>
      </c>
    </row>
    <row r="12" spans="1:10" s="1" customFormat="1" ht="15.75" customHeight="1" x14ac:dyDescent="0.25">
      <c r="A12" s="17"/>
      <c r="B12" s="9"/>
      <c r="C12" s="37"/>
      <c r="D12" s="9"/>
      <c r="E12" s="9"/>
      <c r="F12" s="18"/>
      <c r="G12" s="5"/>
      <c r="H12" s="4"/>
    </row>
    <row r="13" spans="1:10" s="1" customFormat="1" ht="15.75" customHeight="1" x14ac:dyDescent="0.25">
      <c r="A13" s="17"/>
      <c r="B13" s="9"/>
      <c r="C13" s="37"/>
      <c r="D13" s="9"/>
      <c r="E13" s="9"/>
      <c r="F13" s="18"/>
      <c r="G13" s="5"/>
    </row>
    <row r="14" spans="1:10" s="1" customFormat="1" ht="15.75" customHeight="1" x14ac:dyDescent="0.25">
      <c r="A14" s="17"/>
      <c r="B14" s="9"/>
      <c r="C14" s="37"/>
      <c r="D14" s="9"/>
      <c r="E14" s="9"/>
      <c r="F14" s="18"/>
      <c r="G14" s="5"/>
    </row>
    <row r="15" spans="1:10" ht="15.75" customHeight="1" x14ac:dyDescent="0.25">
      <c r="A15" s="17"/>
      <c r="B15" s="9"/>
      <c r="C15" s="37"/>
      <c r="D15" s="9"/>
      <c r="E15" s="9"/>
      <c r="F15" s="18"/>
      <c r="G15" s="5"/>
    </row>
    <row r="16" spans="1:10" ht="15.75" customHeight="1" thickBot="1" x14ac:dyDescent="0.3">
      <c r="A16" s="21"/>
      <c r="B16" s="11"/>
      <c r="C16" s="23"/>
      <c r="D16" s="11"/>
      <c r="E16" s="11"/>
      <c r="F16" s="22"/>
      <c r="G16" s="5"/>
    </row>
    <row r="17" spans="1:7" ht="15.75" x14ac:dyDescent="0.25">
      <c r="A17" s="3"/>
      <c r="B17" s="5"/>
      <c r="C17" s="1"/>
      <c r="D17" s="1"/>
      <c r="E17" s="1"/>
      <c r="F17" s="1"/>
      <c r="G17" s="5"/>
    </row>
    <row r="18" spans="1:7" ht="15.75" x14ac:dyDescent="0.25">
      <c r="A18" s="3"/>
      <c r="B18" s="24" t="s">
        <v>40</v>
      </c>
      <c r="C18" s="1"/>
      <c r="E18" s="1"/>
      <c r="F18" s="1"/>
      <c r="G18" s="5"/>
    </row>
    <row r="19" spans="1:7" ht="16.5" thickBot="1" x14ac:dyDescent="0.3">
      <c r="A19" s="3"/>
      <c r="B19" s="2"/>
      <c r="C19" s="1"/>
      <c r="D19" s="1"/>
      <c r="E19" s="1"/>
      <c r="F19" s="1"/>
      <c r="G19" s="5"/>
    </row>
    <row r="20" spans="1:7" ht="16.5" thickBot="1" x14ac:dyDescent="0.3">
      <c r="A20" s="6" t="s">
        <v>36</v>
      </c>
      <c r="B20" s="7" t="s">
        <v>61</v>
      </c>
      <c r="C20" s="7" t="s">
        <v>43</v>
      </c>
      <c r="D20" s="7" t="s">
        <v>0</v>
      </c>
      <c r="E20" s="7" t="s">
        <v>1</v>
      </c>
      <c r="F20" s="8" t="s">
        <v>51</v>
      </c>
      <c r="G20" s="5"/>
    </row>
    <row r="21" spans="1:7" ht="15.75" customHeight="1" x14ac:dyDescent="0.25">
      <c r="A21" s="19"/>
      <c r="B21" s="36"/>
      <c r="C21" s="10"/>
      <c r="D21" s="10"/>
      <c r="E21" s="10"/>
      <c r="F21" s="20"/>
      <c r="G21" s="5"/>
    </row>
    <row r="22" spans="1:7" ht="15.75" customHeight="1" x14ac:dyDescent="0.25">
      <c r="A22" s="17"/>
      <c r="B22" s="37"/>
      <c r="C22" s="9"/>
      <c r="D22" s="9"/>
      <c r="E22" s="9"/>
      <c r="F22" s="18"/>
      <c r="G22" s="5"/>
    </row>
    <row r="23" spans="1:7" ht="15.75" customHeight="1" x14ac:dyDescent="0.25">
      <c r="A23" s="17"/>
      <c r="B23" s="37"/>
      <c r="C23" s="9"/>
      <c r="D23" s="9"/>
      <c r="E23" s="9"/>
      <c r="F23" s="18"/>
    </row>
    <row r="24" spans="1:7" ht="15.75" customHeight="1" x14ac:dyDescent="0.25">
      <c r="A24" s="17"/>
      <c r="B24" s="37"/>
      <c r="C24" s="9"/>
      <c r="D24" s="9"/>
      <c r="E24" s="9"/>
      <c r="F24" s="18"/>
    </row>
    <row r="25" spans="1:7" ht="15.75" customHeight="1" x14ac:dyDescent="0.25">
      <c r="A25" s="17"/>
      <c r="B25" s="37"/>
      <c r="C25" s="9"/>
      <c r="D25" s="9"/>
      <c r="E25" s="9"/>
      <c r="F25" s="18"/>
    </row>
    <row r="26" spans="1:7" ht="15.75" customHeight="1" thickBot="1" x14ac:dyDescent="0.3">
      <c r="A26" s="21"/>
      <c r="B26" s="38"/>
      <c r="C26" s="11"/>
      <c r="D26" s="11"/>
      <c r="E26" s="11"/>
      <c r="F26" s="22"/>
    </row>
    <row r="29" spans="1:7" x14ac:dyDescent="0.25">
      <c r="A29" s="3"/>
      <c r="B29" s="1"/>
      <c r="C29" s="1"/>
      <c r="D29" s="1"/>
      <c r="E29" s="1"/>
      <c r="F29" s="1"/>
      <c r="G29" s="1"/>
    </row>
    <row r="30" spans="1:7" ht="15.75" x14ac:dyDescent="0.25">
      <c r="A30" s="3"/>
      <c r="B30" s="24" t="s">
        <v>155</v>
      </c>
      <c r="C30" s="1"/>
      <c r="E30" s="1"/>
      <c r="F30" s="1"/>
      <c r="G30" s="5"/>
    </row>
    <row r="31" spans="1:7" ht="15.75" thickBot="1" x14ac:dyDescent="0.3">
      <c r="A31" s="3"/>
      <c r="B31" s="2"/>
      <c r="C31" s="1"/>
      <c r="D31" s="1"/>
      <c r="E31" s="1"/>
      <c r="F31" s="1"/>
      <c r="G31" s="1"/>
    </row>
    <row r="32" spans="1:7" ht="15.75" thickBot="1" x14ac:dyDescent="0.3">
      <c r="A32" s="13" t="s">
        <v>36</v>
      </c>
      <c r="B32" s="14" t="s">
        <v>137</v>
      </c>
      <c r="C32" s="14" t="s">
        <v>0</v>
      </c>
      <c r="D32" s="14" t="s">
        <v>1</v>
      </c>
      <c r="E32" s="16" t="s">
        <v>51</v>
      </c>
    </row>
    <row r="33" spans="1:5" ht="15.75" customHeight="1" x14ac:dyDescent="0.25">
      <c r="A33" s="19"/>
      <c r="B33" s="36"/>
      <c r="C33" s="10"/>
      <c r="D33" s="10"/>
      <c r="E33" s="20"/>
    </row>
    <row r="34" spans="1:5" ht="15.75" customHeight="1" x14ac:dyDescent="0.25">
      <c r="A34" s="17"/>
      <c r="B34" s="37"/>
      <c r="C34" s="9"/>
      <c r="D34" s="9"/>
      <c r="E34" s="18"/>
    </row>
    <row r="35" spans="1:5" ht="15.75" customHeight="1" x14ac:dyDescent="0.25">
      <c r="A35" s="17"/>
      <c r="B35" s="37"/>
      <c r="C35" s="9"/>
      <c r="D35" s="9"/>
      <c r="E35" s="18"/>
    </row>
    <row r="36" spans="1:5" ht="15.75" customHeight="1" x14ac:dyDescent="0.25">
      <c r="A36" s="17"/>
      <c r="B36" s="37"/>
      <c r="C36" s="9"/>
      <c r="D36" s="9"/>
      <c r="E36" s="18"/>
    </row>
    <row r="37" spans="1:5" ht="15.75" customHeight="1" x14ac:dyDescent="0.25">
      <c r="A37" s="17"/>
      <c r="B37" s="37"/>
      <c r="C37" s="9"/>
      <c r="D37" s="9"/>
      <c r="E37" s="18"/>
    </row>
    <row r="38" spans="1:5" ht="15.75" customHeight="1" x14ac:dyDescent="0.25">
      <c r="A38" s="17"/>
      <c r="B38" s="37"/>
      <c r="C38" s="9"/>
      <c r="D38" s="9"/>
      <c r="E38" s="18"/>
    </row>
    <row r="39" spans="1:5" ht="15.75" customHeight="1" thickBot="1" x14ac:dyDescent="0.3">
      <c r="A39" s="21"/>
      <c r="B39" s="38"/>
      <c r="C39" s="11"/>
      <c r="D39" s="11"/>
      <c r="E39" s="22"/>
    </row>
    <row r="46" spans="1:5" x14ac:dyDescent="0.25">
      <c r="D46" s="35"/>
    </row>
  </sheetData>
  <mergeCells count="1">
    <mergeCell ref="A3:H3"/>
  </mergeCells>
  <conditionalFormatting sqref="G9:G11">
    <cfRule type="expression" dxfId="0" priority="1">
      <formula>LEFT(CELL("format",C9))</formula>
    </cfRule>
  </conditionalFormatting>
  <dataValidations count="2">
    <dataValidation type="list" allowBlank="1" showInputMessage="1" showErrorMessage="1" sqref="F12:F16" xr:uid="{B4337404-3DF5-4883-9C76-20B44C18A760}">
      <formula1>"20,40,45,50"</formula1>
    </dataValidation>
    <dataValidation type="list" allowBlank="1" showInputMessage="1" showErrorMessage="1" sqref="F9:F11" xr:uid="{430C416B-A73A-434A-B640-F1C7C238A5A3}">
      <formula1>"20,40,45,50,GROUPAGE"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</vt:lpstr>
      <vt:lpstr>20-05</vt:lpstr>
      <vt:lpstr>21-05</vt:lpstr>
      <vt:lpstr>24-05</vt:lpstr>
      <vt:lpstr>25-05</vt:lpstr>
      <vt:lpstr>26-05</vt:lpstr>
      <vt:lpstr>31-05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Haddad</cp:lastModifiedBy>
  <cp:lastPrinted>2026-07-01T09:58:51Z</cp:lastPrinted>
  <dcterms:created xsi:type="dcterms:W3CDTF">2026-05-20T08:01:40Z</dcterms:created>
  <dcterms:modified xsi:type="dcterms:W3CDTF">2026-09-08T08:34:27Z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11e74b9f1a7a46ab95637574b16a62a8</vt:lpwstr>
  </property>
</Properties>
</file>