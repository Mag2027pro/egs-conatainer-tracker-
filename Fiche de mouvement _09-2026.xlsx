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210" documentId="8_{110EE0FD-1A37-4947-891C-6105C32C194C}" xr6:coauthVersionLast="47" xr6:coauthVersionMax="47" xr10:uidLastSave="{A864E31D-A643-40B6-9B03-A618B3A509C4}"/>
  <bookViews>
    <workbookView xWindow="-120" yWindow="-120" windowWidth="29040" windowHeight="15720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C17" i="1"/>
  <c r="L2" i="16"/>
  <c r="H2" i="16"/>
  <c r="J2" i="16" s="1"/>
  <c r="J1" i="16"/>
  <c r="B16" i="1"/>
  <c r="J2" i="15"/>
  <c r="F2" i="15"/>
  <c r="H2" i="15" s="1"/>
  <c r="H1" i="15"/>
  <c r="L2" i="14"/>
  <c r="H2" i="14"/>
  <c r="J2" i="14" s="1"/>
  <c r="C16" i="1" s="1"/>
  <c r="D16" i="1" s="1"/>
  <c r="J1" i="14"/>
  <c r="J2" i="13"/>
  <c r="F2" i="13"/>
  <c r="H2" i="13" s="1"/>
  <c r="H1" i="13"/>
  <c r="B15" i="1" s="1"/>
  <c r="C14" i="1"/>
  <c r="B14" i="1"/>
  <c r="C13" i="1"/>
  <c r="B13" i="1"/>
  <c r="D13" i="1" s="1"/>
  <c r="C12" i="1"/>
  <c r="B12" i="1"/>
  <c r="D12" i="1" s="1"/>
  <c r="B10" i="1"/>
  <c r="D10" i="1" s="1"/>
  <c r="C10" i="1"/>
  <c r="B11" i="1"/>
  <c r="D11" i="1" s="1"/>
  <c r="C11" i="1"/>
  <c r="D14" i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17" i="1" l="1"/>
  <c r="C15" i="1"/>
  <c r="D8" i="1"/>
  <c r="D9" i="1"/>
  <c r="D7" i="1"/>
  <c r="D5" i="1"/>
  <c r="D4" i="1"/>
  <c r="B24" i="1"/>
  <c r="D2" i="1"/>
  <c r="D15" i="1" l="1"/>
  <c r="D24" i="1" s="1"/>
  <c r="C24" i="1"/>
</calcChain>
</file>

<file path=xl/sharedStrings.xml><?xml version="1.0" encoding="utf-8"?>
<sst xmlns="http://schemas.openxmlformats.org/spreadsheetml/2006/main" count="686" uniqueCount="225">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</sst>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4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Arial"/>
      <family val="2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9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13" fillId="0" borderId="0" xfId="0" applyFont="1" applyBorder="1" applyAlignment="1">
      <alignment horizontal="center" vertical="center"/>
    </xf>
    <xf numFmtId="165" fontId="13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abSelected="1" workbookViewId="0">
      <selection activeCell="O16" sqref="O16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4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46274</v>
      </c>
      <c r="B10" s="3">
        <f>'10-09'!H2</f>
        <v>1</v>
      </c>
      <c r="C10" s="3">
        <f>'10-09'!H3</f>
        <v>0</v>
      </c>
      <c r="D10" s="4">
        <f t="shared" si="1"/>
        <v>1</v>
      </c>
      <c r="F10" s="3"/>
    </row>
    <row r="11" spans="1:6" ht="16.5" x14ac:dyDescent="0.25">
      <c r="A11" s="2">
        <v>46275</v>
      </c>
      <c r="B11" s="3">
        <f>'10-09'!H3</f>
        <v>0</v>
      </c>
      <c r="C11" s="3">
        <f>'10-09'!H4</f>
        <v>0</v>
      </c>
      <c r="D11" s="4">
        <f t="shared" si="1"/>
        <v>0</v>
      </c>
      <c r="F11" s="3"/>
    </row>
    <row r="12" spans="1:6" ht="16.5" x14ac:dyDescent="0.25">
      <c r="A12" s="2">
        <v>46278</v>
      </c>
      <c r="B12" s="3">
        <f>'13-09'!H1</f>
        <v>0</v>
      </c>
      <c r="C12" s="3">
        <f>'13-09'!H2</f>
        <v>2</v>
      </c>
      <c r="D12" s="4">
        <f t="shared" si="1"/>
        <v>2</v>
      </c>
      <c r="F12" s="3"/>
    </row>
    <row r="13" spans="1:6" ht="16.5" x14ac:dyDescent="0.25">
      <c r="A13" s="2">
        <v>46279</v>
      </c>
      <c r="B13" s="3">
        <f>'14-09'!H1</f>
        <v>1</v>
      </c>
      <c r="C13" s="3">
        <f>'14-09'!H2</f>
        <v>0</v>
      </c>
      <c r="D13" s="4">
        <f t="shared" si="1"/>
        <v>1</v>
      </c>
      <c r="F13" s="3"/>
    </row>
    <row r="14" spans="1:6" ht="16.5" x14ac:dyDescent="0.25">
      <c r="A14" s="2">
        <v>46280</v>
      </c>
      <c r="B14" s="3">
        <f>'15-09'!H1</f>
        <v>4</v>
      </c>
      <c r="C14" s="3">
        <f>'10-09'!H2</f>
        <v>1</v>
      </c>
      <c r="D14" s="4">
        <f t="shared" si="1"/>
        <v>5</v>
      </c>
      <c r="F14" s="3"/>
    </row>
    <row r="15" spans="1:6" ht="16.5" x14ac:dyDescent="0.25">
      <c r="A15" s="2">
        <v>46281</v>
      </c>
      <c r="B15" s="3">
        <f>'16-09'!H1</f>
        <v>0</v>
      </c>
      <c r="C15" s="3">
        <f>'16-09'!H2</f>
        <v>12</v>
      </c>
      <c r="D15" s="4">
        <f t="shared" ref="D15" si="2">SUM(B15:C15)</f>
        <v>12</v>
      </c>
      <c r="F15" s="3"/>
    </row>
    <row r="16" spans="1:6" ht="16.5" x14ac:dyDescent="0.25">
      <c r="A16" s="2">
        <v>46282</v>
      </c>
      <c r="B16" s="3">
        <f>'17-09'!J1</f>
        <v>0</v>
      </c>
      <c r="C16" s="3">
        <f>'17-09'!J2</f>
        <v>8</v>
      </c>
      <c r="D16" s="4">
        <f t="shared" ref="D16" si="3">SUM(B16:C16)</f>
        <v>8</v>
      </c>
      <c r="F16" s="3"/>
    </row>
    <row r="17" spans="1:6" ht="16.5" x14ac:dyDescent="0.25">
      <c r="A17" s="2">
        <v>46285</v>
      </c>
      <c r="B17" s="3">
        <f>'20-09'!H1</f>
        <v>0</v>
      </c>
      <c r="C17" s="3">
        <f>'20-09'!H2</f>
        <v>2</v>
      </c>
      <c r="D17" s="4">
        <f t="shared" ref="D17" si="4">SUM(B17:C17)</f>
        <v>2</v>
      </c>
      <c r="F17" s="3"/>
    </row>
    <row r="18" spans="1:6" ht="16.5" x14ac:dyDescent="0.25">
      <c r="A18" s="2">
        <v>46286</v>
      </c>
      <c r="B18" s="3"/>
      <c r="C18" s="3"/>
      <c r="D18" s="4"/>
      <c r="F18" s="3"/>
    </row>
    <row r="19" spans="1:6" ht="16.5" x14ac:dyDescent="0.25">
      <c r="A19" s="2">
        <v>46287</v>
      </c>
      <c r="B19" s="3"/>
      <c r="C19" s="3"/>
      <c r="D19" s="4"/>
      <c r="F19" s="3"/>
    </row>
    <row r="20" spans="1:6" ht="16.5" x14ac:dyDescent="0.25">
      <c r="A20" s="2">
        <v>46288</v>
      </c>
      <c r="B20" s="3"/>
      <c r="C20" s="3"/>
      <c r="D20" s="4"/>
      <c r="F20" s="3"/>
    </row>
    <row r="21" spans="1:6" ht="16.5" x14ac:dyDescent="0.25">
      <c r="A21" s="2">
        <v>46289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31</v>
      </c>
      <c r="C24" s="5">
        <f>SUM(C2:C22)</f>
        <v>41</v>
      </c>
      <c r="D24" s="5">
        <f>SUM(D2:D22)</f>
        <v>72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J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9" activeCellId="1" sqref="F9 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76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77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77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77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77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78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79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79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79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79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79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79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topLeftCell="A9"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80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80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80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80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80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80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80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80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80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80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topLeftCell="A15"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81"/>
      <c r="B34" s="82"/>
      <c r="C34" s="83"/>
      <c r="D34" s="84"/>
      <c r="E34" s="81"/>
      <c r="F34" s="85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80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80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80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80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80"/>
    </row>
    <row r="43" spans="1:7" x14ac:dyDescent="0.25">
      <c r="A43" s="25">
        <v>6</v>
      </c>
      <c r="B43" s="19"/>
      <c r="C43" s="34"/>
      <c r="D43" s="46"/>
      <c r="E43" s="29"/>
      <c r="F43" s="29"/>
      <c r="G43" s="80"/>
    </row>
    <row r="44" spans="1:7" x14ac:dyDescent="0.25">
      <c r="A44" s="25">
        <v>7</v>
      </c>
      <c r="B44" s="19"/>
      <c r="C44" s="34"/>
      <c r="D44" s="46"/>
      <c r="E44" s="29"/>
      <c r="F44" s="29"/>
      <c r="G44" s="80"/>
    </row>
    <row r="45" spans="1:7" x14ac:dyDescent="0.25">
      <c r="A45" s="25">
        <v>8</v>
      </c>
      <c r="B45" s="19"/>
      <c r="C45" s="34"/>
      <c r="D45" s="46"/>
      <c r="E45" s="29"/>
      <c r="F45" s="29"/>
      <c r="G45" s="80"/>
    </row>
    <row r="46" spans="1:7" x14ac:dyDescent="0.25">
      <c r="A46" s="25">
        <v>9</v>
      </c>
      <c r="B46" s="19"/>
      <c r="C46" s="34"/>
      <c r="D46" s="46"/>
      <c r="E46" s="29"/>
      <c r="F46" s="29"/>
      <c r="G46" s="80"/>
    </row>
    <row r="47" spans="1:7" x14ac:dyDescent="0.25">
      <c r="A47" s="25">
        <v>10</v>
      </c>
      <c r="B47" s="19"/>
      <c r="C47" s="34"/>
      <c r="D47" s="46"/>
      <c r="E47" s="29"/>
      <c r="F47" s="29"/>
      <c r="G47" s="80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topLeftCell="A15" workbookViewId="0">
      <selection activeCell="K37" sqref="K3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COUNTIF(C8:C17,"&lt;&gt;")</f>
        <v>0</v>
      </c>
      <c r="K1" s="9" t="s">
        <v>6</v>
      </c>
    </row>
    <row r="2" spans="1:12" s="7" customFormat="1" ht="15.75" x14ac:dyDescent="0.25">
      <c r="A2" s="6"/>
      <c r="H2" s="8">
        <f>COUNTIFS(B22:B31,"&lt;&gt;",C22:C31,"VH")</f>
        <v>0</v>
      </c>
      <c r="I2" s="9" t="s">
        <v>7</v>
      </c>
      <c r="J2" s="8">
        <f>COUNTA(C22:C31)-H2</f>
        <v>8</v>
      </c>
      <c r="K2" s="9" t="s">
        <v>6</v>
      </c>
      <c r="L2" s="10">
        <f>COUNTIF(E22:E31,"VIDE")</f>
        <v>0</v>
      </c>
    </row>
    <row r="3" spans="1:12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46282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2" x14ac:dyDescent="0.25">
      <c r="A8" s="17">
        <v>1</v>
      </c>
      <c r="B8" s="25"/>
      <c r="C8" s="68"/>
      <c r="D8" s="24"/>
      <c r="E8" s="24"/>
      <c r="F8" s="18"/>
    </row>
    <row r="9" spans="1:12" x14ac:dyDescent="0.25">
      <c r="A9" s="17">
        <v>2</v>
      </c>
      <c r="B9" s="70"/>
      <c r="C9" s="68"/>
      <c r="D9" s="18"/>
      <c r="E9" s="18"/>
      <c r="F9" s="18"/>
    </row>
    <row r="10" spans="1:12" x14ac:dyDescent="0.25">
      <c r="A10" s="17">
        <v>3</v>
      </c>
      <c r="B10" s="70"/>
      <c r="C10" s="68"/>
      <c r="D10" s="18"/>
      <c r="E10" s="18"/>
      <c r="F10" s="18"/>
    </row>
    <row r="11" spans="1:12" x14ac:dyDescent="0.25">
      <c r="A11" s="17">
        <v>4</v>
      </c>
      <c r="B11" s="70"/>
      <c r="C11" s="68"/>
      <c r="D11" s="18"/>
      <c r="E11" s="18"/>
      <c r="F11" s="18"/>
    </row>
    <row r="12" spans="1:12" x14ac:dyDescent="0.25">
      <c r="A12" s="17">
        <v>5</v>
      </c>
      <c r="B12" s="63"/>
      <c r="C12" s="68"/>
      <c r="D12" s="18"/>
      <c r="E12" s="18"/>
      <c r="F12" s="18"/>
    </row>
    <row r="13" spans="1:12" x14ac:dyDescent="0.25">
      <c r="A13" s="17">
        <v>6</v>
      </c>
      <c r="B13" s="63"/>
      <c r="C13" s="68"/>
      <c r="D13" s="18"/>
      <c r="E13" s="18"/>
      <c r="F13" s="18"/>
    </row>
    <row r="14" spans="1:12" x14ac:dyDescent="0.25">
      <c r="A14" s="17">
        <v>7</v>
      </c>
      <c r="B14" s="63"/>
      <c r="C14" s="68"/>
      <c r="D14" s="24"/>
      <c r="E14" s="24"/>
      <c r="F14" s="18"/>
    </row>
    <row r="15" spans="1:12" x14ac:dyDescent="0.25">
      <c r="A15" s="17"/>
      <c r="B15" s="53"/>
      <c r="C15" s="68"/>
      <c r="D15" s="24"/>
      <c r="E15" s="24"/>
      <c r="F15" s="18"/>
    </row>
    <row r="16" spans="1:12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87" t="s">
        <v>97</v>
      </c>
      <c r="D37" s="87" t="s">
        <v>98</v>
      </c>
      <c r="E37" s="8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89" t="s">
        <v>218</v>
      </c>
      <c r="D38" s="87" t="s">
        <v>219</v>
      </c>
      <c r="E38" s="8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8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6"/>
  <sheetViews>
    <sheetView topLeftCell="A9" workbookViewId="0">
      <selection activeCell="C37" sqref="C37:F37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COUNTIF(C8:C17,"&lt;&gt;")</f>
        <v>0</v>
      </c>
      <c r="K1" s="9" t="s">
        <v>6</v>
      </c>
    </row>
    <row r="2" spans="1:12" s="7" customFormat="1" ht="15.75" x14ac:dyDescent="0.25">
      <c r="A2" s="6"/>
      <c r="H2" s="8">
        <f>COUNTIFS(B22:B31,"&lt;&gt;",C22:C31,"VH")</f>
        <v>0</v>
      </c>
      <c r="I2" s="9" t="s">
        <v>7</v>
      </c>
      <c r="J2" s="8">
        <f>COUNTA(C22:C31)-H2</f>
        <v>0</v>
      </c>
      <c r="K2" s="9" t="s">
        <v>6</v>
      </c>
      <c r="L2" s="10">
        <f>COUNTIF(E22:E31,"VIDE")</f>
        <v>0</v>
      </c>
    </row>
    <row r="3" spans="1:12" s="7" customFormat="1" ht="25.5" x14ac:dyDescent="0.25">
      <c r="A3" s="75" t="s">
        <v>8</v>
      </c>
      <c r="B3" s="75"/>
      <c r="C3" s="75"/>
      <c r="D3" s="75"/>
      <c r="E3" s="75"/>
      <c r="F3" s="75"/>
      <c r="G3" s="75"/>
      <c r="H3" s="75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46286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2" x14ac:dyDescent="0.25">
      <c r="A8" s="17">
        <v>1</v>
      </c>
      <c r="B8" s="25"/>
      <c r="C8" s="68"/>
      <c r="D8" s="24"/>
      <c r="E8" s="24"/>
      <c r="F8" s="18"/>
    </row>
    <row r="9" spans="1:12" x14ac:dyDescent="0.25">
      <c r="A9" s="17">
        <v>2</v>
      </c>
      <c r="B9" s="70"/>
      <c r="C9" s="68"/>
      <c r="D9" s="18"/>
      <c r="E9" s="18"/>
      <c r="F9" s="18"/>
    </row>
    <row r="10" spans="1:12" x14ac:dyDescent="0.25">
      <c r="A10" s="17">
        <v>3</v>
      </c>
      <c r="B10" s="70"/>
      <c r="C10" s="68"/>
      <c r="D10" s="18"/>
      <c r="E10" s="18"/>
      <c r="F10" s="18"/>
    </row>
    <row r="11" spans="1:12" x14ac:dyDescent="0.25">
      <c r="A11" s="17">
        <v>4</v>
      </c>
      <c r="B11" s="70"/>
      <c r="C11" s="68"/>
      <c r="D11" s="18"/>
      <c r="E11" s="18"/>
      <c r="F11" s="18"/>
    </row>
    <row r="12" spans="1:12" x14ac:dyDescent="0.25">
      <c r="A12" s="17">
        <v>5</v>
      </c>
      <c r="B12" s="63"/>
      <c r="C12" s="68"/>
      <c r="D12" s="18"/>
      <c r="E12" s="18"/>
      <c r="F12" s="18"/>
    </row>
    <row r="13" spans="1:12" x14ac:dyDescent="0.25">
      <c r="A13" s="17">
        <v>6</v>
      </c>
      <c r="B13" s="63"/>
      <c r="C13" s="68"/>
      <c r="D13" s="18"/>
      <c r="E13" s="18"/>
      <c r="F13" s="18"/>
    </row>
    <row r="14" spans="1:12" x14ac:dyDescent="0.25">
      <c r="A14" s="17">
        <v>7</v>
      </c>
      <c r="B14" s="63"/>
      <c r="C14" s="68"/>
      <c r="D14" s="24"/>
      <c r="E14" s="24"/>
      <c r="F14" s="18"/>
    </row>
    <row r="15" spans="1:12" x14ac:dyDescent="0.25">
      <c r="A15" s="17"/>
      <c r="B15" s="53"/>
      <c r="C15" s="68"/>
      <c r="D15" s="24"/>
      <c r="E15" s="24"/>
      <c r="F15" s="18"/>
    </row>
    <row r="16" spans="1:12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21092026</v>
      </c>
      <c r="C22" s="34"/>
      <c r="D22" s="24"/>
      <c r="E22" s="39"/>
      <c r="F22" s="32"/>
    </row>
    <row r="23" spans="1:15" ht="15.75" customHeight="1" x14ac:dyDescent="0.25">
      <c r="A23" s="25">
        <v>2</v>
      </c>
      <c r="B23" s="19"/>
      <c r="C23" s="29"/>
      <c r="D23" s="34"/>
      <c r="E23" s="29"/>
      <c r="F23" s="18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21092026</v>
      </c>
      <c r="C37" s="87"/>
      <c r="D37" s="87"/>
      <c r="E37" s="88"/>
      <c r="F37" s="18"/>
      <c r="G37" s="74"/>
    </row>
    <row r="38" spans="1:7" ht="15.75" customHeight="1" x14ac:dyDescent="0.25">
      <c r="A38" s="25">
        <v>2</v>
      </c>
      <c r="B38" s="19"/>
      <c r="C38" s="89"/>
      <c r="D38" s="87"/>
      <c r="E38" s="88"/>
      <c r="F38" s="18"/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28"/>
      <c r="D40" s="8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 F24:F29" xr:uid="{314564C8-73C4-4FE1-B1A4-E2956228C86B}">
      <formula1>"20,40,45,50"</formula1>
    </dataValidation>
    <dataValidation type="list" allowBlank="1" showInputMessage="1" showErrorMessage="1" sqref="F37:F39 F8:F17 F23" xr:uid="{E43818B9-96C6-4529-B8DF-B4F7D161AD53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2026-09-21T09:53:47Z</cp:lastPrinted>
  <dcterms:created xsi:type="dcterms:W3CDTF">2026-09-01T09:18:21Z</dcterms:created>
  <dcterms:modified xsi:type="dcterms:W3CDTF">2026-09-21T10:02:15Z</dcterms:modified>
</cp:coreProperties>
</file>