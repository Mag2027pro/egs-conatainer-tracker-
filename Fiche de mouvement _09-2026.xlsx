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OneDrive\Documents\Samir\"/>
    </mc:Choice>
  </mc:AlternateContent>
  <xr:revisionPtr revIDLastSave="0" documentId="13_ncr:1_{AA5E98C9-6021-4B7B-A609-000B354B337A}" xr6:coauthVersionLast="47" xr6:coauthVersionMax="47" xr10:uidLastSave="{00000000-0000-0000-0000-000000000000}"/>
  <bookViews>
    <workbookView xWindow="-120" yWindow="-120" windowWidth="29040" windowHeight="15720" activeTab="6" xr2:uid="{403A34A7-5625-45D4-A0A1-FEBBA2615750}"/>
  </bookViews>
  <sheets>
    <sheet name="DASHBOARD" sheetId="1" r:id="rId1"/>
    <sheet name="01-09" sheetId="2" r:id="rId2"/>
    <sheet name="02-09" sheetId="3" r:id="rId3"/>
    <sheet name="03-09" sheetId="4" r:id="rId4"/>
    <sheet name="06-09" sheetId="5" r:id="rId5"/>
    <sheet name="07-09" sheetId="6" r:id="rId6"/>
    <sheet name="08-09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2" i="7" l="1"/>
  <c r="F2" i="7"/>
  <c r="H2" i="7" s="1"/>
  <c r="H1" i="7"/>
  <c r="B6" i="1"/>
  <c r="J2" i="6"/>
  <c r="F2" i="6"/>
  <c r="H2" i="6" s="1"/>
  <c r="C6" i="1" s="1"/>
  <c r="D6" i="1" s="1"/>
  <c r="H1" i="6"/>
  <c r="B4" i="1"/>
  <c r="J2" i="5"/>
  <c r="F2" i="5"/>
  <c r="H2" i="5" s="1"/>
  <c r="C5" i="1" s="1"/>
  <c r="H1" i="5"/>
  <c r="B5" i="1" s="1"/>
  <c r="L2" i="4"/>
  <c r="H2" i="4"/>
  <c r="J2" i="4" s="1"/>
  <c r="C4" i="1" s="1"/>
  <c r="J1" i="4"/>
  <c r="C3" i="1"/>
  <c r="B3" i="1"/>
  <c r="D3" i="1"/>
  <c r="J2" i="3"/>
  <c r="F2" i="3"/>
  <c r="H2" i="3" s="1"/>
  <c r="H1" i="3"/>
  <c r="F2" i="2"/>
  <c r="H2" i="2" s="1"/>
  <c r="C2" i="1" s="1"/>
  <c r="J2" i="2"/>
  <c r="H1" i="2"/>
  <c r="B2" i="1" s="1"/>
  <c r="D5" i="1" l="1"/>
  <c r="D4" i="1"/>
  <c r="C24" i="1"/>
  <c r="B24" i="1"/>
  <c r="D2" i="1"/>
  <c r="D24" i="1" l="1"/>
</calcChain>
</file>

<file path=xl/sharedStrings.xml><?xml version="1.0" encoding="utf-8"?>
<sst xmlns="http://schemas.openxmlformats.org/spreadsheetml/2006/main" count="258" uniqueCount="94">
  <si>
    <t>Date</t>
  </si>
  <si>
    <t>TC Réceptionnés</t>
  </si>
  <si>
    <t>TC Sortis</t>
  </si>
  <si>
    <t>Total Mouvements</t>
  </si>
  <si>
    <t>TC Sortis
VIDE</t>
  </si>
  <si>
    <t>Total</t>
  </si>
  <si>
    <t>TC</t>
  </si>
  <si>
    <t>VH</t>
  </si>
  <si>
    <t>FICHE DE MOUVEMENT</t>
  </si>
  <si>
    <t>RECEPTION</t>
  </si>
  <si>
    <t xml:space="preserve">N° </t>
  </si>
  <si>
    <t>N° CRN</t>
  </si>
  <si>
    <t>Date R</t>
  </si>
  <si>
    <t>N° Conteneur</t>
  </si>
  <si>
    <t>N° Scellé</t>
  </si>
  <si>
    <t>Vol</t>
  </si>
  <si>
    <t>40</t>
  </si>
  <si>
    <t>20</t>
  </si>
  <si>
    <t>CAIU873171 /8</t>
  </si>
  <si>
    <t>MEDU733219 /1</t>
  </si>
  <si>
    <t>SORTIE</t>
  </si>
  <si>
    <t>Date S</t>
  </si>
  <si>
    <t>IMM</t>
  </si>
  <si>
    <t>VISITE</t>
  </si>
  <si>
    <t>Date V</t>
  </si>
  <si>
    <t>AN° Scellé</t>
  </si>
  <si>
    <t>NO° Scellé</t>
  </si>
  <si>
    <t>ECMU512820/2</t>
  </si>
  <si>
    <t>000204-598-31</t>
  </si>
  <si>
    <t>CAIU634538 /3</t>
  </si>
  <si>
    <t>J1803692</t>
  </si>
  <si>
    <t>0723ICS0013</t>
  </si>
  <si>
    <t>TRLU948903 /4</t>
  </si>
  <si>
    <t>00327-510-31</t>
  </si>
  <si>
    <t>ROWEI I5</t>
  </si>
  <si>
    <t>LSJ--SZ782970</t>
  </si>
  <si>
    <t>LSJ--SZ782961</t>
  </si>
  <si>
    <t>LSJ--SZ783783</t>
  </si>
  <si>
    <t>LSJ--SZ754980</t>
  </si>
  <si>
    <t>LSJ--SZ754107</t>
  </si>
  <si>
    <t>LSJ--SZ754982</t>
  </si>
  <si>
    <t>LSJ--SZ754109</t>
  </si>
  <si>
    <t>TCLU331996 /2</t>
  </si>
  <si>
    <t>0073-512-31</t>
  </si>
  <si>
    <t>VIDE</t>
  </si>
  <si>
    <t>TIIU811908 /0</t>
  </si>
  <si>
    <t>TIIU811819 /1</t>
  </si>
  <si>
    <t>02177-588-31</t>
  </si>
  <si>
    <t>TGBU749046 /1</t>
  </si>
  <si>
    <t>FX48662628</t>
  </si>
  <si>
    <t>FDCU031798 /9</t>
  </si>
  <si>
    <t>FJ27558901</t>
  </si>
  <si>
    <t>0157ICS0016</t>
  </si>
  <si>
    <t>0157ICS0083</t>
  </si>
  <si>
    <t>DRYU939251 /7</t>
  </si>
  <si>
    <t>FDCU009891 /5</t>
  </si>
  <si>
    <t>LG00557484</t>
  </si>
  <si>
    <t>LG00557480</t>
  </si>
  <si>
    <t>FBIU026728 /0</t>
  </si>
  <si>
    <t>FX48618480</t>
  </si>
  <si>
    <t>MSMU769241 /6</t>
  </si>
  <si>
    <t>FX48648827</t>
  </si>
  <si>
    <t>0156ICS0112</t>
  </si>
  <si>
    <t>00563-510-31</t>
  </si>
  <si>
    <t>MSMU924819 /1</t>
  </si>
  <si>
    <t>02148-588-31</t>
  </si>
  <si>
    <t>02197-585-31</t>
  </si>
  <si>
    <t>TIIU809713 /9</t>
  </si>
  <si>
    <t>M1726190</t>
  </si>
  <si>
    <t>DRYU455945 /3</t>
  </si>
  <si>
    <t>45</t>
  </si>
  <si>
    <t>0754ICS0033</t>
  </si>
  <si>
    <t>0754ICS0069</t>
  </si>
  <si>
    <t>HGTU261674 /4</t>
  </si>
  <si>
    <t>184912</t>
  </si>
  <si>
    <t>TANK</t>
  </si>
  <si>
    <t>0754ICS0106</t>
  </si>
  <si>
    <t>ANNULL</t>
  </si>
  <si>
    <t>MEDU744845 /3</t>
  </si>
  <si>
    <t>006533-508-31</t>
  </si>
  <si>
    <t>CMAU225333 /7</t>
  </si>
  <si>
    <t>00168</t>
  </si>
  <si>
    <t>CMAU265891 /0</t>
  </si>
  <si>
    <t>00183</t>
  </si>
  <si>
    <t>CMAU326542 /0</t>
  </si>
  <si>
    <t>001577</t>
  </si>
  <si>
    <t>SEKU160562 /2</t>
  </si>
  <si>
    <t>00163</t>
  </si>
  <si>
    <t>TCLU734251 /2</t>
  </si>
  <si>
    <t>005369</t>
  </si>
  <si>
    <t>TLLU313561 /8</t>
  </si>
  <si>
    <t>005370</t>
  </si>
  <si>
    <t>00121-517-31</t>
  </si>
  <si>
    <t>00124-517-31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</si>
</sst>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##&quot;/&quot;##&quot;/&quot;####"/>
  </numFmts>
  <fonts count="20" x14ac:knownFonts="1">
    <font>
      <sz val="11"/>
      <color theme="1"/>
      <name val="Aptos Narrow"/>
      <family val="2"/>
      <scheme val="minor"/>
    </font>
    <font>
      <sz val="10"/>
      <color theme="1"/>
      <name val="Segoe UI"/>
      <family val="2"/>
    </font>
    <font>
      <b/>
      <sz val="11"/>
      <color rgb="FFFFFFFF"/>
      <name val="Segoe UI"/>
      <family val="2"/>
    </font>
    <font>
      <b/>
      <sz val="10"/>
      <color rgb="FF1A1A1A"/>
      <name val="Segoe UI"/>
      <family val="2"/>
    </font>
    <font>
      <b/>
      <sz val="11"/>
      <color rgb="FF2C3E50"/>
      <name val="Segoe UI"/>
      <family val="2"/>
    </font>
    <font>
      <sz val="8"/>
      <name val="Aptos Narrow"/>
      <family val="2"/>
      <scheme val="minor"/>
    </font>
    <font>
      <sz val="10"/>
      <name val="Calibri"/>
      <family val="2"/>
    </font>
    <font>
      <b/>
      <sz val="12"/>
      <name val="Calibri"/>
      <family val="2"/>
    </font>
    <font>
      <b/>
      <sz val="10"/>
      <color rgb="FFFFFFFF"/>
      <name val="Segoe UI"/>
      <family val="2"/>
    </font>
    <font>
      <b/>
      <sz val="16"/>
      <name val="Segoe UI"/>
      <family val="2"/>
    </font>
    <font>
      <b/>
      <sz val="11"/>
      <name val="Calibri"/>
      <family val="2"/>
    </font>
    <font>
      <b/>
      <sz val="10"/>
      <color rgb="FF2C3E50"/>
      <name val="Segoe UI"/>
      <family val="2"/>
    </font>
    <font>
      <sz val="10"/>
      <color rgb="FF000000"/>
      <name val="Segoe UI"/>
      <family val="2"/>
    </font>
    <font>
      <sz val="10"/>
      <name val="Segoe UI"/>
      <family val="2"/>
    </font>
    <font>
      <sz val="11"/>
      <color rgb="FF000000"/>
      <name val="Calibri"/>
      <family val="2"/>
    </font>
    <font>
      <sz val="10"/>
      <color rgb="FF334155"/>
      <name val="Segoe UI"/>
      <family val="2"/>
    </font>
    <font>
      <b/>
      <sz val="10"/>
      <name val="Segoe UI"/>
      <family val="2"/>
    </font>
    <font>
      <b/>
      <sz val="11"/>
      <color rgb="FF000000"/>
      <name val="Calibri"/>
      <family val="2"/>
    </font>
    <font>
      <b/>
      <sz val="10"/>
      <color rgb="FF000000"/>
      <name val="Segoe UI"/>
      <family val="2"/>
    </font>
    <font>
      <b/>
      <sz val="1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8F9F9"/>
        <bgColor rgb="FFF8F9F9"/>
      </patternFill>
    </fill>
    <fill>
      <patternFill patternType="solid">
        <fgColor rgb="FFD6EAF8"/>
        <bgColor rgb="FFD6EAF8"/>
      </patternFill>
    </fill>
    <fill>
      <patternFill patternType="solid">
        <fgColor rgb="FFFCF3CF"/>
        <bgColor rgb="FFFCF3CF"/>
      </patternFill>
    </fill>
    <fill>
      <patternFill patternType="solid">
        <fgColor rgb="FFFFC000"/>
        <bgColor indexed="64"/>
      </patternFill>
    </fill>
    <fill>
      <patternFill patternType="solid">
        <fgColor rgb="FFED0000"/>
        <bgColor rgb="FF2C3E50"/>
      </patternFill>
    </fill>
    <fill>
      <patternFill patternType="solid">
        <fgColor rgb="FF2C3E50"/>
        <bgColor rgb="FF2C3E50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3" fontId="3" fillId="5" borderId="1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8" fillId="7" borderId="0" xfId="0" applyFont="1" applyFill="1" applyAlignment="1">
      <alignment horizontal="center" vertical="center" wrapText="1"/>
    </xf>
    <xf numFmtId="0" fontId="7" fillId="6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14" fontId="10" fillId="0" borderId="0" xfId="0" applyNumberFormat="1" applyFont="1" applyAlignment="1">
      <alignment horizontal="center" vertical="center"/>
    </xf>
    <xf numFmtId="0" fontId="11" fillId="0" borderId="0" xfId="0" applyFont="1"/>
    <xf numFmtId="0" fontId="8" fillId="8" borderId="2" xfId="0" applyFont="1" applyFill="1" applyBorder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 wrapText="1"/>
    </xf>
    <xf numFmtId="0" fontId="8" fillId="8" borderId="4" xfId="0" applyFont="1" applyFill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165" fontId="13" fillId="0" borderId="5" xfId="0" applyNumberFormat="1" applyFont="1" applyBorder="1" applyAlignment="1">
      <alignment horizontal="center" vertical="center"/>
    </xf>
    <xf numFmtId="14" fontId="7" fillId="0" borderId="0" xfId="0" applyNumberFormat="1" applyFont="1" applyAlignment="1">
      <alignment horizontal="center" vertical="center"/>
    </xf>
    <xf numFmtId="0" fontId="0" fillId="0" borderId="0" xfId="0" applyAlignment="1">
      <alignment vertical="center"/>
    </xf>
    <xf numFmtId="0" fontId="14" fillId="0" borderId="5" xfId="0" applyFont="1" applyBorder="1" applyAlignment="1">
      <alignment horizontal="center" vertical="center"/>
    </xf>
    <xf numFmtId="0" fontId="12" fillId="0" borderId="5" xfId="0" applyFont="1" applyBorder="1" applyAlignment="1">
      <alignment horizontal="center"/>
    </xf>
    <xf numFmtId="0" fontId="12" fillId="0" borderId="5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3" fillId="9" borderId="5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/>
    </xf>
    <xf numFmtId="0" fontId="0" fillId="0" borderId="0" xfId="0" applyAlignment="1">
      <alignment vertical="center" wrapText="1"/>
    </xf>
    <xf numFmtId="0" fontId="13" fillId="0" borderId="5" xfId="0" applyFont="1" applyBorder="1" applyAlignment="1">
      <alignment horizontal="center"/>
    </xf>
    <xf numFmtId="0" fontId="13" fillId="0" borderId="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3" fillId="0" borderId="0" xfId="0" applyFont="1" applyAlignment="1">
      <alignment horizontal="center" vertical="center"/>
    </xf>
    <xf numFmtId="165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5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vertical="center"/>
    </xf>
    <xf numFmtId="0" fontId="0" fillId="0" borderId="0" xfId="0" applyAlignment="1">
      <alignment horizontal="center" vertical="center"/>
    </xf>
    <xf numFmtId="14" fontId="12" fillId="0" borderId="5" xfId="0" applyNumberFormat="1" applyFont="1" applyBorder="1" applyAlignment="1">
      <alignment vertical="center"/>
    </xf>
    <xf numFmtId="0" fontId="14" fillId="0" borderId="6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0" fillId="0" borderId="5" xfId="0" applyBorder="1"/>
    <xf numFmtId="165" fontId="13" fillId="0" borderId="5" xfId="0" applyNumberFormat="1" applyFont="1" applyBorder="1" applyAlignment="1">
      <alignment horizontal="center" vertical="top"/>
    </xf>
    <xf numFmtId="0" fontId="13" fillId="0" borderId="5" xfId="0" applyFont="1" applyBorder="1" applyAlignment="1">
      <alignment horizontal="left" vertical="top"/>
    </xf>
    <xf numFmtId="0" fontId="12" fillId="0" borderId="5" xfId="0" applyFont="1" applyBorder="1" applyAlignment="1">
      <alignment horizontal="center" vertical="top" wrapText="1"/>
    </xf>
    <xf numFmtId="14" fontId="13" fillId="0" borderId="5" xfId="0" applyNumberFormat="1" applyFont="1" applyBorder="1" applyAlignment="1">
      <alignment horizontal="left"/>
    </xf>
    <xf numFmtId="0" fontId="12" fillId="0" borderId="5" xfId="0" applyFont="1" applyBorder="1" applyAlignment="1">
      <alignment horizontal="center" vertical="top"/>
    </xf>
    <xf numFmtId="0" fontId="9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 wrapText="1"/>
    </xf>
    <xf numFmtId="14" fontId="6" fillId="0" borderId="5" xfId="0" applyNumberFormat="1" applyFont="1" applyBorder="1" applyAlignment="1">
      <alignment horizontal="center" vertical="center"/>
    </xf>
    <xf numFmtId="165" fontId="16" fillId="0" borderId="5" xfId="0" applyNumberFormat="1" applyFont="1" applyBorder="1" applyAlignment="1">
      <alignment horizontal="center" vertical="top"/>
    </xf>
    <xf numFmtId="0" fontId="17" fillId="0" borderId="5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4" fontId="19" fillId="0" borderId="5" xfId="0" applyNumberFormat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 vertical="center"/>
    </xf>
    <xf numFmtId="0" fontId="12" fillId="0" borderId="5" xfId="0" quotePrefix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0</xdr:row>
      <xdr:rowOff>0</xdr:rowOff>
    </xdr:from>
    <xdr:to>
      <xdr:col>2</xdr:col>
      <xdr:colOff>933450</xdr:colOff>
      <xdr:row>2</xdr:row>
      <xdr:rowOff>95247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200C2120-E128-4FDC-8178-E76D28EB79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0"/>
          <a:ext cx="2000250" cy="4952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85725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BC32A58-E0EC-438C-8359-D84AE7F1F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8577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752475</xdr:colOff>
      <xdr:row>2</xdr:row>
      <xdr:rowOff>142872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16AD9580-2333-433B-9112-1D778915C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2000250" cy="5429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57150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EBC811C5-8BD0-4D50-90C9-361BDEF2E7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76200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F6463E0-D715-4FF7-8BE6-CD00B622D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5719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3</xdr:rowOff>
    </xdr:from>
    <xdr:to>
      <xdr:col>2</xdr:col>
      <xdr:colOff>752475</xdr:colOff>
      <xdr:row>2</xdr:row>
      <xdr:rowOff>95250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89A74B33-2C1E-4DA3-A901-6884EF7E6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"/>
          <a:ext cx="2000250" cy="47624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104B694-3CF0-4236-B0D3-C3AB4D8B016D}">
  <we:reference id="wa200007447" version="1.1.6.7" store="fr-FR" storeType="OMEX"/>
  <we:alternateReferences>
    <we:reference id="wa200007447" version="1.1.6.7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_xldudf_BOARDFLARE_EXEC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A621F-D49D-46BA-BFA7-25906CD018F1}">
  <dimension ref="A1:F24"/>
  <sheetViews>
    <sheetView workbookViewId="0">
      <selection sqref="A1:XFD1048576"/>
    </sheetView>
  </sheetViews>
  <sheetFormatPr baseColWidth="10" defaultColWidth="9.140625" defaultRowHeight="15" x14ac:dyDescent="0.25"/>
  <cols>
    <col min="1" max="1" width="47" customWidth="1"/>
    <col min="2" max="2" width="18" bestFit="1" customWidth="1"/>
    <col min="3" max="3" width="17.42578125" bestFit="1" customWidth="1"/>
    <col min="4" max="4" width="20.28515625" bestFit="1" customWidth="1"/>
    <col min="5" max="5" width="4.85546875" customWidth="1"/>
    <col min="6" max="6" width="15.42578125" customWidth="1"/>
  </cols>
  <sheetData>
    <row r="1" spans="1:6" ht="33" x14ac:dyDescent="0.25">
      <c r="A1" s="1" t="s">
        <v>0</v>
      </c>
      <c r="B1" s="1" t="s">
        <v>1</v>
      </c>
      <c r="C1" s="1" t="s">
        <v>2</v>
      </c>
      <c r="D1" s="1" t="s">
        <v>3</v>
      </c>
      <c r="E1" s="1"/>
      <c r="F1" s="1" t="s">
        <v>4</v>
      </c>
    </row>
    <row r="2" spans="1:6" ht="16.5" x14ac:dyDescent="0.25">
      <c r="A2" s="2">
        <v>46266</v>
      </c>
      <c r="B2" s="3">
        <f>'01-09'!H1</f>
        <v>1</v>
      </c>
      <c r="C2" s="3">
        <f>'01-09'!H2</f>
        <v>3</v>
      </c>
      <c r="D2" s="4">
        <f t="shared" ref="D2" si="0">SUM(B2:C2)</f>
        <v>4</v>
      </c>
      <c r="F2" s="3"/>
    </row>
    <row r="3" spans="1:6" ht="16.5" x14ac:dyDescent="0.25">
      <c r="A3" s="2">
        <v>46267</v>
      </c>
      <c r="B3" s="3">
        <f>'02-09'!H1</f>
        <v>2</v>
      </c>
      <c r="C3" s="3">
        <f>'02-09'!H1</f>
        <v>2</v>
      </c>
      <c r="D3" s="4">
        <f t="shared" ref="D3" si="1">SUM(B3:C3)</f>
        <v>4</v>
      </c>
      <c r="F3" s="3"/>
    </row>
    <row r="4" spans="1:6" ht="16.5" x14ac:dyDescent="0.25">
      <c r="A4" s="2">
        <v>46268</v>
      </c>
      <c r="B4" s="3">
        <f>'03-09'!J1</f>
        <v>2</v>
      </c>
      <c r="C4" s="3">
        <f>'03-09'!J2</f>
        <v>3</v>
      </c>
      <c r="D4" s="4">
        <f t="shared" ref="D4:D5" si="2">SUM(B4:C4)</f>
        <v>5</v>
      </c>
      <c r="F4" s="3"/>
    </row>
    <row r="5" spans="1:6" ht="16.5" x14ac:dyDescent="0.25">
      <c r="A5" s="2">
        <v>46271</v>
      </c>
      <c r="B5" s="3">
        <f>'06-09'!H1</f>
        <v>1</v>
      </c>
      <c r="C5" s="3">
        <f>'06-09'!H2</f>
        <v>0</v>
      </c>
      <c r="D5" s="4">
        <f t="shared" si="2"/>
        <v>1</v>
      </c>
      <c r="F5" s="3"/>
    </row>
    <row r="6" spans="1:6" ht="16.5" x14ac:dyDescent="0.25">
      <c r="A6" s="2">
        <v>46272</v>
      </c>
      <c r="B6" s="3">
        <f>'07-09'!H1</f>
        <v>1</v>
      </c>
      <c r="C6" s="3">
        <f>'07-09'!H2</f>
        <v>7</v>
      </c>
      <c r="D6" s="4">
        <f t="shared" ref="D6" si="3">SUM(B6:C6)</f>
        <v>8</v>
      </c>
      <c r="F6" s="3"/>
    </row>
    <row r="7" spans="1:6" ht="16.5" x14ac:dyDescent="0.25">
      <c r="A7" s="2">
        <v>46273</v>
      </c>
      <c r="B7" s="3"/>
      <c r="C7" s="3"/>
      <c r="D7" s="4"/>
      <c r="F7" s="3"/>
    </row>
    <row r="8" spans="1:6" ht="16.5" x14ac:dyDescent="0.25">
      <c r="A8" s="2">
        <v>46274</v>
      </c>
      <c r="B8" s="3"/>
      <c r="C8" s="3"/>
      <c r="D8" s="4"/>
      <c r="F8" s="3"/>
    </row>
    <row r="9" spans="1:6" ht="16.5" x14ac:dyDescent="0.25">
      <c r="A9" s="2">
        <v>46275</v>
      </c>
      <c r="B9" s="3"/>
      <c r="C9" s="3"/>
      <c r="D9" s="4"/>
      <c r="F9" s="3"/>
    </row>
    <row r="10" spans="1:6" ht="16.5" x14ac:dyDescent="0.25">
      <c r="A10" s="2">
        <v>46274</v>
      </c>
      <c r="B10" s="3"/>
      <c r="C10" s="3"/>
      <c r="D10" s="4"/>
      <c r="F10" s="3"/>
    </row>
    <row r="11" spans="1:6" ht="16.5" x14ac:dyDescent="0.25">
      <c r="A11" s="2">
        <v>46275</v>
      </c>
      <c r="B11" s="3"/>
      <c r="C11" s="3"/>
      <c r="D11" s="4"/>
      <c r="F11" s="3"/>
    </row>
    <row r="12" spans="1:6" ht="16.5" x14ac:dyDescent="0.25">
      <c r="A12" s="2">
        <v>46276</v>
      </c>
      <c r="B12" s="3"/>
      <c r="C12" s="3"/>
      <c r="D12" s="4"/>
      <c r="F12" s="3"/>
    </row>
    <row r="13" spans="1:6" ht="16.5" x14ac:dyDescent="0.25">
      <c r="A13" s="2">
        <v>46277</v>
      </c>
      <c r="B13" s="3"/>
      <c r="C13" s="3"/>
      <c r="D13" s="4"/>
      <c r="F13" s="3"/>
    </row>
    <row r="14" spans="1:6" ht="16.5" x14ac:dyDescent="0.25">
      <c r="A14" s="2">
        <v>46278</v>
      </c>
      <c r="B14" s="3"/>
      <c r="C14" s="3"/>
      <c r="D14" s="4"/>
      <c r="F14" s="3"/>
    </row>
    <row r="15" spans="1:6" ht="16.5" x14ac:dyDescent="0.25">
      <c r="A15" s="2">
        <v>46279</v>
      </c>
      <c r="B15" s="3"/>
      <c r="C15" s="3"/>
      <c r="D15" s="4"/>
      <c r="F15" s="3"/>
    </row>
    <row r="16" spans="1:6" ht="16.5" x14ac:dyDescent="0.25">
      <c r="A16" s="2">
        <v>46280</v>
      </c>
      <c r="B16" s="3"/>
      <c r="C16" s="3"/>
      <c r="D16" s="4"/>
      <c r="F16" s="3"/>
    </row>
    <row r="17" spans="1:6" ht="16.5" x14ac:dyDescent="0.25">
      <c r="A17" s="2">
        <v>46281</v>
      </c>
      <c r="B17" s="3"/>
      <c r="C17" s="3"/>
      <c r="D17" s="4"/>
      <c r="F17" s="3"/>
    </row>
    <row r="18" spans="1:6" ht="16.5" x14ac:dyDescent="0.25">
      <c r="A18" s="2">
        <v>46282</v>
      </c>
      <c r="B18" s="3"/>
      <c r="C18" s="3"/>
      <c r="D18" s="4"/>
      <c r="F18" s="3"/>
    </row>
    <row r="19" spans="1:6" ht="16.5" x14ac:dyDescent="0.25">
      <c r="A19" s="2">
        <v>46283</v>
      </c>
      <c r="B19" s="3"/>
      <c r="C19" s="3"/>
      <c r="D19" s="4"/>
      <c r="F19" s="3"/>
    </row>
    <row r="20" spans="1:6" ht="16.5" x14ac:dyDescent="0.25">
      <c r="A20" s="2">
        <v>46284</v>
      </c>
      <c r="B20" s="3"/>
      <c r="C20" s="3"/>
      <c r="D20" s="4"/>
      <c r="F20" s="3"/>
    </row>
    <row r="21" spans="1:6" ht="16.5" x14ac:dyDescent="0.25">
      <c r="A21" s="2">
        <v>46285</v>
      </c>
      <c r="B21" s="3"/>
      <c r="C21" s="3"/>
      <c r="D21" s="4"/>
      <c r="F21" s="3"/>
    </row>
    <row r="22" spans="1:6" ht="16.5" x14ac:dyDescent="0.25">
      <c r="A22" s="2">
        <v>46286</v>
      </c>
      <c r="B22" s="3"/>
      <c r="C22" s="3"/>
      <c r="D22" s="4"/>
      <c r="F22" s="3"/>
    </row>
    <row r="23" spans="1:6" ht="16.5" x14ac:dyDescent="0.25">
      <c r="F23" s="3"/>
    </row>
    <row r="24" spans="1:6" ht="16.5" x14ac:dyDescent="0.25">
      <c r="A24" s="1" t="s">
        <v>5</v>
      </c>
      <c r="B24" s="5">
        <f>SUM(B2:B22)</f>
        <v>7</v>
      </c>
      <c r="C24" s="5">
        <f>SUM(C2:C22)</f>
        <v>15</v>
      </c>
      <c r="D24" s="5">
        <f>SUM(D2:D22)</f>
        <v>22</v>
      </c>
      <c r="E24" s="5"/>
      <c r="F24" s="5"/>
    </row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E3EF0-42A6-4E9D-BB88-F1F87C40E4D1}">
  <dimension ref="A1:M42"/>
  <sheetViews>
    <sheetView topLeftCell="B1" workbookViewId="0">
      <selection activeCell="J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7</v>
      </c>
      <c r="G2" s="9" t="s">
        <v>7</v>
      </c>
      <c r="H2" s="8">
        <f>COUNTA(C20:C29)-F2</f>
        <v>3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46266</v>
      </c>
    </row>
    <row r="6" spans="1:10" s="7" customFormat="1" thickBot="1" x14ac:dyDescent="0.3">
      <c r="A6" s="6"/>
      <c r="B6" s="13"/>
    </row>
    <row r="7" spans="1:10" s="7" customFormat="1" thickBot="1" x14ac:dyDescent="0.3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5" t="s">
        <v>31</v>
      </c>
      <c r="C8" s="19">
        <v>1092026</v>
      </c>
      <c r="D8" s="43" t="s">
        <v>29</v>
      </c>
      <c r="E8" s="43" t="s">
        <v>30</v>
      </c>
      <c r="F8" s="44" t="s">
        <v>17</v>
      </c>
      <c r="G8" s="20"/>
    </row>
    <row r="9" spans="1:10" ht="15.75" x14ac:dyDescent="0.25">
      <c r="A9" s="17">
        <v>2</v>
      </c>
      <c r="B9" s="42"/>
      <c r="C9" s="19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1092026</v>
      </c>
      <c r="C20" s="27" t="s">
        <v>28</v>
      </c>
      <c r="D20" s="28" t="s">
        <v>27</v>
      </c>
      <c r="E20" s="29">
        <v>3579</v>
      </c>
      <c r="F20" s="25">
        <v>40</v>
      </c>
    </row>
    <row r="21" spans="1:13" ht="15.75" customHeight="1" x14ac:dyDescent="0.25">
      <c r="A21" s="25">
        <v>2</v>
      </c>
      <c r="B21" s="19">
        <v>1092026</v>
      </c>
      <c r="C21" s="27" t="s">
        <v>33</v>
      </c>
      <c r="D21" s="30" t="s">
        <v>32</v>
      </c>
      <c r="E21" s="30">
        <v>3571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1092026</v>
      </c>
      <c r="C22" s="27" t="s">
        <v>7</v>
      </c>
      <c r="D22" s="30" t="s">
        <v>35</v>
      </c>
      <c r="E22" s="30" t="s">
        <v>34</v>
      </c>
      <c r="F22" s="27" t="s">
        <v>7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1092026</v>
      </c>
      <c r="C23" s="27" t="s">
        <v>7</v>
      </c>
      <c r="D23" s="30" t="s">
        <v>36</v>
      </c>
      <c r="E23" s="30" t="s">
        <v>34</v>
      </c>
      <c r="F23" s="27" t="s">
        <v>7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1092026</v>
      </c>
      <c r="C24" s="27" t="s">
        <v>7</v>
      </c>
      <c r="D24" s="30" t="s">
        <v>37</v>
      </c>
      <c r="E24" s="30" t="s">
        <v>34</v>
      </c>
      <c r="F24" s="27" t="s">
        <v>7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1092026</v>
      </c>
      <c r="C25" s="27" t="s">
        <v>7</v>
      </c>
      <c r="D25" s="30" t="s">
        <v>38</v>
      </c>
      <c r="E25" s="30" t="s">
        <v>34</v>
      </c>
      <c r="F25" s="27" t="s">
        <v>7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1092026</v>
      </c>
      <c r="C26" s="27" t="s">
        <v>7</v>
      </c>
      <c r="D26" s="25" t="s">
        <v>39</v>
      </c>
      <c r="E26" s="30" t="s">
        <v>34</v>
      </c>
      <c r="F26" s="27" t="s">
        <v>7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>
        <v>1092026</v>
      </c>
      <c r="C27" s="27" t="s">
        <v>7</v>
      </c>
      <c r="D27" s="34" t="s">
        <v>40</v>
      </c>
      <c r="E27" s="30" t="s">
        <v>34</v>
      </c>
      <c r="F27" s="27" t="s">
        <v>7</v>
      </c>
    </row>
    <row r="28" spans="1:13" x14ac:dyDescent="0.25">
      <c r="A28" s="25">
        <v>9</v>
      </c>
      <c r="B28" s="19">
        <v>1092026</v>
      </c>
      <c r="C28" s="27" t="s">
        <v>7</v>
      </c>
      <c r="D28" s="28" t="s">
        <v>41</v>
      </c>
      <c r="E28" s="30" t="s">
        <v>34</v>
      </c>
      <c r="F28" s="27" t="s">
        <v>7</v>
      </c>
    </row>
    <row r="29" spans="1:13" x14ac:dyDescent="0.25">
      <c r="A29" s="25">
        <v>10</v>
      </c>
      <c r="B29" s="19">
        <v>1092026</v>
      </c>
      <c r="C29" s="33" t="s">
        <v>43</v>
      </c>
      <c r="D29" s="34" t="s">
        <v>42</v>
      </c>
      <c r="E29" s="30">
        <v>3572</v>
      </c>
      <c r="F29" s="25">
        <v>40</v>
      </c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29"/>
      <c r="D35" s="29"/>
      <c r="E35" s="39"/>
      <c r="F35" s="39"/>
    </row>
    <row r="36" spans="1:6" ht="15.75" customHeight="1" x14ac:dyDescent="0.25">
      <c r="A36" s="25">
        <v>2</v>
      </c>
      <c r="B36" s="19"/>
      <c r="C36" s="34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phoneticPr fontId="5" type="noConversion"/>
  <dataValidations count="2">
    <dataValidation type="list" allowBlank="1" showInputMessage="1" showErrorMessage="1" sqref="F41 F16" xr:uid="{8D5CED29-C3B3-4840-830F-0E19160AE997}">
      <formula1>"20,40,45,50"</formula1>
    </dataValidation>
    <dataValidation type="list" allowBlank="1" showInputMessage="1" showErrorMessage="1" sqref="F8:F15" xr:uid="{EB3D4CBD-BBEF-4A47-B1AA-9DF877D833AD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C856B-C7FE-4404-9D75-FE95EF21C2E2}">
  <dimension ref="A1:M42"/>
  <sheetViews>
    <sheetView workbookViewId="0">
      <selection activeCell="F1" sqref="F1:J2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2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2</v>
      </c>
      <c r="I2" s="9" t="s">
        <v>6</v>
      </c>
      <c r="J2" s="10">
        <f>COUNTIF(E20:E29,"VIDE")</f>
        <v>2</v>
      </c>
    </row>
    <row r="3" spans="1:10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46267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48" t="s">
        <v>52</v>
      </c>
      <c r="C8" s="47">
        <v>2092026</v>
      </c>
      <c r="D8" s="49" t="s">
        <v>48</v>
      </c>
      <c r="E8" s="49" t="s">
        <v>49</v>
      </c>
      <c r="F8" s="18" t="s">
        <v>16</v>
      </c>
      <c r="G8" s="20"/>
    </row>
    <row r="9" spans="1:10" ht="15.75" x14ac:dyDescent="0.25">
      <c r="A9" s="17">
        <v>2</v>
      </c>
      <c r="B9" s="50" t="s">
        <v>53</v>
      </c>
      <c r="C9" s="47">
        <v>2092026</v>
      </c>
      <c r="D9" s="51" t="s">
        <v>50</v>
      </c>
      <c r="E9" s="51" t="s">
        <v>51</v>
      </c>
      <c r="F9" s="18" t="s">
        <v>16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2092026</v>
      </c>
      <c r="C20" s="27" t="s">
        <v>47</v>
      </c>
      <c r="D20" s="28" t="s">
        <v>45</v>
      </c>
      <c r="E20" s="29" t="s">
        <v>44</v>
      </c>
      <c r="F20" s="25">
        <v>40</v>
      </c>
    </row>
    <row r="21" spans="1:13" ht="15.75" customHeight="1" x14ac:dyDescent="0.25">
      <c r="A21" s="25">
        <v>2</v>
      </c>
      <c r="B21" s="19">
        <v>2092026</v>
      </c>
      <c r="C21" s="27" t="s">
        <v>47</v>
      </c>
      <c r="D21" s="30" t="s">
        <v>46</v>
      </c>
      <c r="E21" s="30" t="s">
        <v>44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30"/>
      <c r="E22" s="30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0"/>
      <c r="E23" s="30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0"/>
      <c r="E24" s="3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>
        <v>2092026</v>
      </c>
      <c r="C35" s="34" t="s">
        <v>54</v>
      </c>
      <c r="D35" s="34" t="s">
        <v>56</v>
      </c>
      <c r="E35" s="39">
        <v>3575</v>
      </c>
      <c r="F35" s="39">
        <v>40</v>
      </c>
    </row>
    <row r="36" spans="1:6" ht="15.75" customHeight="1" x14ac:dyDescent="0.25">
      <c r="A36" s="25">
        <v>2</v>
      </c>
      <c r="B36" s="19">
        <v>2092026</v>
      </c>
      <c r="C36" s="28" t="s">
        <v>55</v>
      </c>
      <c r="D36" s="34" t="s">
        <v>57</v>
      </c>
      <c r="E36" s="39">
        <v>3576</v>
      </c>
      <c r="F36" s="39">
        <v>40</v>
      </c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8BBACC69-AE68-4940-9EE9-D3253579B367}">
      <formula1>"20,40,45,50"</formula1>
      <formula2>0</formula2>
    </dataValidation>
    <dataValidation type="list" allowBlank="1" showInputMessage="1" showErrorMessage="1" sqref="F41 F16" xr:uid="{D2505F38-AE05-4E92-861B-69325FDB849A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190F6-620A-405F-A592-028D59F85BE0}">
  <dimension ref="A1:M42"/>
  <sheetViews>
    <sheetView workbookViewId="0">
      <selection activeCell="I13" sqref="I13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2" s="7" customFormat="1" ht="15.75" x14ac:dyDescent="0.25">
      <c r="A1" s="6"/>
      <c r="J1" s="8">
        <f>COUNTIF(C8:C15,"&lt;&gt;")</f>
        <v>2</v>
      </c>
      <c r="K1" s="9" t="s">
        <v>6</v>
      </c>
    </row>
    <row r="2" spans="1:12" s="7" customFormat="1" ht="15.75" x14ac:dyDescent="0.25">
      <c r="A2" s="6"/>
      <c r="H2" s="8">
        <f>COUNTIFS(B20:B29,"&lt;&gt;",C20:C29,"VH")</f>
        <v>0</v>
      </c>
      <c r="I2" s="9" t="s">
        <v>7</v>
      </c>
      <c r="J2" s="8">
        <f>COUNTA(C20:C29)-H2</f>
        <v>3</v>
      </c>
      <c r="K2" s="9" t="s">
        <v>6</v>
      </c>
      <c r="L2" s="10">
        <f>COUNTIF(E20:E29,"VIDE")</f>
        <v>0</v>
      </c>
    </row>
    <row r="3" spans="1:12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2" s="7" customFormat="1" ht="12.75" x14ac:dyDescent="0.25">
      <c r="A4" s="6"/>
    </row>
    <row r="5" spans="1:12" s="7" customFormat="1" ht="15.75" x14ac:dyDescent="0.25">
      <c r="A5" s="6"/>
      <c r="B5" s="11" t="s">
        <v>9</v>
      </c>
      <c r="G5" s="12">
        <v>46268</v>
      </c>
    </row>
    <row r="6" spans="1:12" s="7" customFormat="1" thickBot="1" x14ac:dyDescent="0.3">
      <c r="A6" s="6"/>
      <c r="B6" s="13"/>
    </row>
    <row r="7" spans="1:12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2" ht="15.75" x14ac:dyDescent="0.25">
      <c r="A8" s="17">
        <v>1</v>
      </c>
      <c r="B8" s="17" t="s">
        <v>62</v>
      </c>
      <c r="C8" s="47">
        <v>3092026</v>
      </c>
      <c r="D8" s="53" t="s">
        <v>58</v>
      </c>
      <c r="E8" s="53" t="s">
        <v>59</v>
      </c>
      <c r="F8" s="18" t="s">
        <v>17</v>
      </c>
      <c r="G8" s="20"/>
    </row>
    <row r="9" spans="1:12" ht="15.75" x14ac:dyDescent="0.25">
      <c r="A9" s="17">
        <v>2</v>
      </c>
      <c r="B9" s="54" t="s">
        <v>62</v>
      </c>
      <c r="C9" s="47">
        <v>3092026</v>
      </c>
      <c r="D9" s="22" t="s">
        <v>60</v>
      </c>
      <c r="E9" s="18" t="s">
        <v>61</v>
      </c>
      <c r="F9" s="18" t="s">
        <v>16</v>
      </c>
      <c r="G9" s="20"/>
    </row>
    <row r="10" spans="1:12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2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2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2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2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2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2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3092026</v>
      </c>
      <c r="C20" s="27" t="s">
        <v>63</v>
      </c>
      <c r="D20" s="28" t="s">
        <v>64</v>
      </c>
      <c r="E20" s="29">
        <v>3578</v>
      </c>
      <c r="F20" s="25">
        <v>45</v>
      </c>
    </row>
    <row r="21" spans="1:13" ht="15.75" customHeight="1" x14ac:dyDescent="0.25">
      <c r="A21" s="25">
        <v>2</v>
      </c>
      <c r="B21" s="19">
        <v>3092026</v>
      </c>
      <c r="C21" s="29" t="s">
        <v>66</v>
      </c>
      <c r="D21" s="29" t="s">
        <v>18</v>
      </c>
      <c r="E21" s="39">
        <v>3573</v>
      </c>
      <c r="F21" s="25">
        <v>40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3092026</v>
      </c>
      <c r="C22" s="27" t="s">
        <v>65</v>
      </c>
      <c r="D22" s="29" t="s">
        <v>19</v>
      </c>
      <c r="E22" s="39">
        <v>3574</v>
      </c>
      <c r="F22" s="25">
        <v>40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B1F619BD-3EA3-41B1-A495-D1424868D8F1}">
      <formula1>"20,40,45,50"</formula1>
    </dataValidation>
    <dataValidation type="list" allowBlank="1" showInputMessage="1" showErrorMessage="1" sqref="F8:F15" xr:uid="{B8E3B6BF-1734-4653-860B-14E738E727DC}">
      <formula1>"20,40,45,50"</formula1>
      <formula2>0</formula2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56CC4-8E30-4C4B-8984-EC96F1E08576}">
  <dimension ref="A1:M42"/>
  <sheetViews>
    <sheetView workbookViewId="0">
      <selection activeCell="J11" sqref="J11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46271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71</v>
      </c>
      <c r="C8" s="19">
        <v>6092026</v>
      </c>
      <c r="D8" s="53" t="s">
        <v>67</v>
      </c>
      <c r="E8" s="53" t="s">
        <v>68</v>
      </c>
      <c r="F8" s="18" t="s">
        <v>16</v>
      </c>
      <c r="G8" s="20"/>
    </row>
    <row r="9" spans="1:10" ht="15.75" x14ac:dyDescent="0.25">
      <c r="A9" s="17">
        <v>2</v>
      </c>
      <c r="B9" s="58" t="s">
        <v>72</v>
      </c>
      <c r="D9" s="56" t="s">
        <v>69</v>
      </c>
      <c r="E9" s="55" t="s">
        <v>77</v>
      </c>
      <c r="F9" s="57" t="s">
        <v>70</v>
      </c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/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29"/>
      <c r="E21" s="3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29"/>
      <c r="E22" s="3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7"/>
      <c r="D23" s="39"/>
      <c r="E23" s="39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7"/>
      <c r="D24" s="39"/>
      <c r="E24" s="39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30"/>
      <c r="E25" s="30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7"/>
      <c r="D26" s="25"/>
      <c r="E26" s="30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49196DC9-871A-49B7-B76F-217BE4312612}">
      <formula1>"20,40,45,50"</formula1>
      <formula2>0</formula2>
    </dataValidation>
    <dataValidation type="list" allowBlank="1" showInputMessage="1" showErrorMessage="1" sqref="F41 F16" xr:uid="{E6B381A0-C4BE-4983-9414-E5E4F42AD60C}">
      <formula1>"20,40,45,50"</formula1>
    </dataValidation>
  </dataValidations>
  <pageMargins left="0.31496062992125984" right="0.11811023622047245" top="0.74803149606299213" bottom="0.74803149606299213" header="0.31496062992125984" footer="0.31496062992125984"/>
  <pageSetup paperSize="9" orientation="portrait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58D52-F617-4B72-ADA0-C765A313D71B}">
  <dimension ref="A1:M42"/>
  <sheetViews>
    <sheetView topLeftCell="A9" workbookViewId="0">
      <selection activeCell="A9" sqref="A1:XFD1048576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1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7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46272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 t="s">
        <v>76</v>
      </c>
      <c r="C8" s="19">
        <v>7092026</v>
      </c>
      <c r="D8" s="53" t="s">
        <v>73</v>
      </c>
      <c r="E8" s="53" t="s">
        <v>74</v>
      </c>
      <c r="F8" s="18">
        <v>20</v>
      </c>
      <c r="G8" s="20" t="s">
        <v>75</v>
      </c>
    </row>
    <row r="9" spans="1:10" ht="15.75" x14ac:dyDescent="0.25">
      <c r="A9" s="17">
        <v>2</v>
      </c>
      <c r="B9" s="54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 t="s">
        <v>79</v>
      </c>
      <c r="D20" s="28" t="s">
        <v>78</v>
      </c>
      <c r="E20" s="29">
        <v>3994</v>
      </c>
      <c r="F20" s="25">
        <v>40</v>
      </c>
    </row>
    <row r="21" spans="1:13" ht="15.75" customHeight="1" x14ac:dyDescent="0.25">
      <c r="A21" s="25">
        <v>2</v>
      </c>
      <c r="B21" s="19">
        <v>7092026</v>
      </c>
      <c r="C21" s="29" t="s">
        <v>92</v>
      </c>
      <c r="D21" s="18" t="s">
        <v>80</v>
      </c>
      <c r="E21" s="59" t="s">
        <v>81</v>
      </c>
      <c r="F21" s="25">
        <v>20</v>
      </c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>
        <v>7092026</v>
      </c>
      <c r="C22" s="27" t="s">
        <v>93</v>
      </c>
      <c r="D22" s="18" t="s">
        <v>82</v>
      </c>
      <c r="E22" s="59" t="s">
        <v>83</v>
      </c>
      <c r="F22" s="25">
        <v>20</v>
      </c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>
        <v>7092026</v>
      </c>
      <c r="C23" s="29" t="s">
        <v>92</v>
      </c>
      <c r="D23" s="18" t="s">
        <v>84</v>
      </c>
      <c r="E23" s="23" t="s">
        <v>85</v>
      </c>
      <c r="F23" s="25">
        <v>20</v>
      </c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>
        <v>7092026</v>
      </c>
      <c r="C24" s="29" t="s">
        <v>92</v>
      </c>
      <c r="D24" s="18" t="s">
        <v>86</v>
      </c>
      <c r="E24" s="60" t="s">
        <v>87</v>
      </c>
      <c r="F24" s="25">
        <v>20</v>
      </c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>
        <v>7092026</v>
      </c>
      <c r="C25" s="27" t="s">
        <v>93</v>
      </c>
      <c r="D25" s="18" t="s">
        <v>88</v>
      </c>
      <c r="E25" s="23" t="s">
        <v>89</v>
      </c>
      <c r="F25" s="25">
        <v>20</v>
      </c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>
        <v>7092026</v>
      </c>
      <c r="C26" s="29" t="s">
        <v>92</v>
      </c>
      <c r="D26" s="24" t="s">
        <v>90</v>
      </c>
      <c r="E26" s="23" t="s">
        <v>91</v>
      </c>
      <c r="F26" s="25">
        <v>20</v>
      </c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41 F16" xr:uid="{CE340E61-1C9A-4626-AE21-92A800AC9FC7}">
      <formula1>"20,40,45,50"</formula1>
    </dataValidation>
    <dataValidation type="list" allowBlank="1" showInputMessage="1" showErrorMessage="1" sqref="F8:F15" xr:uid="{11B51B2B-7C69-4E18-85F6-9C40A9E67DBF}">
      <formula1>"20,40,45,50"</formula1>
      <formula2>0</formula2>
    </dataValidation>
  </dataValidation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11B97-4126-4C83-B74A-4E710002A39D}">
  <dimension ref="A1:M42"/>
  <sheetViews>
    <sheetView tabSelected="1" workbookViewId="0">
      <selection activeCell="I19" sqref="I19"/>
    </sheetView>
  </sheetViews>
  <sheetFormatPr baseColWidth="10" defaultRowHeight="15" x14ac:dyDescent="0.25"/>
  <cols>
    <col min="1" max="1" width="3.140625" style="21" bestFit="1" customWidth="1"/>
    <col min="2" max="2" width="15.5703125" style="21" bestFit="1" customWidth="1"/>
    <col min="3" max="3" width="19.28515625" style="21" customWidth="1"/>
    <col min="4" max="4" width="19.140625" style="21" customWidth="1"/>
    <col min="5" max="5" width="14.28515625" style="21" customWidth="1"/>
    <col min="6" max="6" width="13.85546875" style="21" bestFit="1" customWidth="1"/>
    <col min="7" max="7" width="12.140625" style="21" bestFit="1" customWidth="1"/>
    <col min="8" max="10" width="11.42578125" style="21"/>
    <col min="11" max="11" width="14.7109375" style="21" bestFit="1" customWidth="1"/>
    <col min="12" max="16384" width="11.42578125" style="21"/>
  </cols>
  <sheetData>
    <row r="1" spans="1:10" s="7" customFormat="1" ht="15.75" x14ac:dyDescent="0.25">
      <c r="A1" s="6"/>
      <c r="H1" s="8">
        <f>COUNTIF(C8:C15,"&lt;&gt;")</f>
        <v>0</v>
      </c>
      <c r="I1" s="9" t="s">
        <v>6</v>
      </c>
    </row>
    <row r="2" spans="1:10" s="7" customFormat="1" ht="15.75" x14ac:dyDescent="0.25">
      <c r="A2" s="6"/>
      <c r="F2" s="8">
        <f>COUNTIFS(B20:B29,"&lt;&gt;",C20:C29,"VH")</f>
        <v>0</v>
      </c>
      <c r="G2" s="9" t="s">
        <v>7</v>
      </c>
      <c r="H2" s="8">
        <f>COUNTA(C20:C29)-F2</f>
        <v>0</v>
      </c>
      <c r="I2" s="9" t="s">
        <v>6</v>
      </c>
      <c r="J2" s="10">
        <f>COUNTIF(E20:E29,"VIDE")</f>
        <v>0</v>
      </c>
    </row>
    <row r="3" spans="1:10" s="7" customFormat="1" ht="25.5" x14ac:dyDescent="0.25">
      <c r="A3" s="52" t="s">
        <v>8</v>
      </c>
      <c r="B3" s="52"/>
      <c r="C3" s="52"/>
      <c r="D3" s="52"/>
      <c r="E3" s="52"/>
      <c r="F3" s="52"/>
      <c r="G3" s="52"/>
      <c r="H3" s="52"/>
    </row>
    <row r="4" spans="1:10" s="7" customFormat="1" ht="12.75" x14ac:dyDescent="0.25">
      <c r="A4" s="6"/>
    </row>
    <row r="5" spans="1:10" s="7" customFormat="1" ht="15.75" x14ac:dyDescent="0.25">
      <c r="A5" s="6"/>
      <c r="B5" s="11" t="s">
        <v>9</v>
      </c>
      <c r="G5" s="12">
        <v>46273</v>
      </c>
    </row>
    <row r="6" spans="1:10" s="7" customFormat="1" thickBot="1" x14ac:dyDescent="0.3">
      <c r="A6" s="6"/>
      <c r="B6" s="13"/>
    </row>
    <row r="7" spans="1:10" s="7" customFormat="1" ht="14.25" x14ac:dyDescent="0.25">
      <c r="A7" s="14" t="s">
        <v>10</v>
      </c>
      <c r="B7" s="15" t="s">
        <v>11</v>
      </c>
      <c r="C7" s="15" t="s">
        <v>12</v>
      </c>
      <c r="D7" s="15" t="s">
        <v>13</v>
      </c>
      <c r="E7" s="15" t="s">
        <v>14</v>
      </c>
      <c r="F7" s="16" t="s">
        <v>15</v>
      </c>
    </row>
    <row r="8" spans="1:10" ht="15.75" x14ac:dyDescent="0.25">
      <c r="A8" s="17">
        <v>1</v>
      </c>
      <c r="B8" s="17"/>
      <c r="C8" s="19"/>
      <c r="D8" s="53"/>
      <c r="E8" s="53"/>
      <c r="F8" s="18"/>
      <c r="G8" s="20"/>
    </row>
    <row r="9" spans="1:10" ht="15.75" x14ac:dyDescent="0.25">
      <c r="A9" s="17">
        <v>2</v>
      </c>
      <c r="B9" s="54"/>
      <c r="C9" s="47"/>
      <c r="D9" s="22"/>
      <c r="E9" s="18"/>
      <c r="F9" s="18"/>
      <c r="G9" s="20"/>
    </row>
    <row r="10" spans="1:10" ht="15.75" x14ac:dyDescent="0.25">
      <c r="A10" s="17">
        <v>3</v>
      </c>
      <c r="B10" s="42"/>
      <c r="C10" s="19"/>
      <c r="D10" s="18"/>
      <c r="E10" s="18"/>
      <c r="F10" s="18"/>
      <c r="G10" s="20"/>
    </row>
    <row r="11" spans="1:10" ht="15.75" x14ac:dyDescent="0.25">
      <c r="A11" s="17">
        <v>4</v>
      </c>
      <c r="B11" s="42"/>
      <c r="C11" s="19"/>
      <c r="D11" s="18"/>
      <c r="E11" s="18"/>
      <c r="F11" s="18"/>
      <c r="G11" s="20"/>
    </row>
    <row r="12" spans="1:10" ht="15.75" x14ac:dyDescent="0.25">
      <c r="A12" s="17">
        <v>5</v>
      </c>
      <c r="B12" s="42"/>
      <c r="C12" s="19"/>
      <c r="D12" s="18"/>
      <c r="E12" s="23"/>
      <c r="F12" s="18"/>
      <c r="G12" s="20"/>
    </row>
    <row r="13" spans="1:10" ht="15.75" x14ac:dyDescent="0.25">
      <c r="A13" s="17">
        <v>6</v>
      </c>
      <c r="B13" s="42"/>
      <c r="C13" s="19"/>
      <c r="D13" s="18"/>
      <c r="E13" s="23"/>
      <c r="F13" s="18"/>
      <c r="G13" s="20"/>
    </row>
    <row r="14" spans="1:10" ht="15.75" x14ac:dyDescent="0.25">
      <c r="A14" s="17">
        <v>7</v>
      </c>
      <c r="B14" s="42"/>
      <c r="C14" s="19"/>
      <c r="D14" s="18"/>
      <c r="E14" s="23"/>
      <c r="F14" s="18"/>
      <c r="G14" s="20"/>
    </row>
    <row r="15" spans="1:10" ht="15.75" x14ac:dyDescent="0.25">
      <c r="A15" s="17">
        <v>8</v>
      </c>
      <c r="B15" s="42"/>
      <c r="C15" s="19"/>
      <c r="D15" s="24"/>
      <c r="E15" s="23"/>
      <c r="F15" s="18"/>
      <c r="G15" s="20"/>
    </row>
    <row r="16" spans="1:10" ht="15.75" x14ac:dyDescent="0.25">
      <c r="A16" s="6"/>
      <c r="B16" s="20"/>
      <c r="C16" s="7"/>
      <c r="D16" s="26"/>
      <c r="E16" s="26"/>
      <c r="F16" s="26"/>
      <c r="G16" s="7"/>
    </row>
    <row r="17" spans="1:13" ht="15.75" x14ac:dyDescent="0.25">
      <c r="A17" s="6"/>
      <c r="B17" s="11" t="s">
        <v>20</v>
      </c>
    </row>
    <row r="18" spans="1:13" ht="15.75" thickBot="1" x14ac:dyDescent="0.3">
      <c r="A18" s="6"/>
      <c r="B18" s="13"/>
      <c r="C18" s="7"/>
      <c r="D18" s="7"/>
      <c r="E18" s="7"/>
      <c r="F18" s="7"/>
    </row>
    <row r="19" spans="1:13" x14ac:dyDescent="0.25">
      <c r="A19" s="14" t="s">
        <v>10</v>
      </c>
      <c r="B19" s="15" t="s">
        <v>21</v>
      </c>
      <c r="C19" s="15" t="s">
        <v>22</v>
      </c>
      <c r="D19" s="15" t="s">
        <v>13</v>
      </c>
      <c r="E19" s="15" t="s">
        <v>14</v>
      </c>
      <c r="F19" s="16" t="s">
        <v>15</v>
      </c>
    </row>
    <row r="20" spans="1:13" x14ac:dyDescent="0.25">
      <c r="A20" s="25">
        <v>1</v>
      </c>
      <c r="B20" s="19">
        <v>7092026</v>
      </c>
      <c r="C20" s="27"/>
      <c r="D20" s="28"/>
      <c r="E20" s="29"/>
      <c r="F20" s="25"/>
    </row>
    <row r="21" spans="1:13" ht="15.75" customHeight="1" x14ac:dyDescent="0.25">
      <c r="A21" s="25">
        <v>2</v>
      </c>
      <c r="B21" s="19"/>
      <c r="C21" s="29"/>
      <c r="D21" s="18"/>
      <c r="E21" s="59"/>
      <c r="F21" s="25"/>
      <c r="I21" s="31"/>
      <c r="J21" s="31"/>
      <c r="K21" s="31"/>
      <c r="L21" s="31"/>
      <c r="M21" s="31"/>
    </row>
    <row r="22" spans="1:13" ht="15.75" customHeight="1" x14ac:dyDescent="0.25">
      <c r="A22" s="25">
        <v>3</v>
      </c>
      <c r="B22" s="19"/>
      <c r="C22" s="27"/>
      <c r="D22" s="18"/>
      <c r="E22" s="59"/>
      <c r="F22" s="25"/>
      <c r="I22" s="31"/>
      <c r="J22" s="31"/>
      <c r="K22" s="31"/>
      <c r="L22" s="31"/>
      <c r="M22" s="31"/>
    </row>
    <row r="23" spans="1:13" ht="15.75" customHeight="1" x14ac:dyDescent="0.25">
      <c r="A23" s="25">
        <v>4</v>
      </c>
      <c r="B23" s="19"/>
      <c r="C23" s="29"/>
      <c r="D23" s="18"/>
      <c r="E23" s="23"/>
      <c r="F23" s="25"/>
      <c r="I23" s="31"/>
      <c r="J23" s="31"/>
      <c r="K23" s="31"/>
      <c r="L23" s="31"/>
      <c r="M23" s="31"/>
    </row>
    <row r="24" spans="1:13" ht="15.75" customHeight="1" x14ac:dyDescent="0.25">
      <c r="A24" s="25">
        <v>5</v>
      </c>
      <c r="B24" s="19"/>
      <c r="C24" s="29"/>
      <c r="D24" s="18"/>
      <c r="E24" s="60"/>
      <c r="F24" s="25"/>
      <c r="I24" s="31"/>
      <c r="J24" s="31"/>
      <c r="K24" s="31"/>
      <c r="L24" s="31"/>
      <c r="M24" s="31"/>
    </row>
    <row r="25" spans="1:13" ht="15.75" customHeight="1" x14ac:dyDescent="0.25">
      <c r="A25" s="25">
        <v>6</v>
      </c>
      <c r="B25" s="19"/>
      <c r="C25" s="27"/>
      <c r="D25" s="18"/>
      <c r="E25" s="23"/>
      <c r="F25" s="25"/>
      <c r="I25" s="31"/>
      <c r="J25" s="31"/>
      <c r="K25" s="31"/>
      <c r="L25" s="31"/>
      <c r="M25" s="31"/>
    </row>
    <row r="26" spans="1:13" ht="15.75" customHeight="1" x14ac:dyDescent="0.25">
      <c r="A26" s="25">
        <v>7</v>
      </c>
      <c r="B26" s="19"/>
      <c r="C26" s="29"/>
      <c r="D26" s="24"/>
      <c r="E26" s="23"/>
      <c r="F26" s="25"/>
      <c r="I26" s="31"/>
      <c r="J26" s="31"/>
      <c r="K26" s="31"/>
      <c r="L26" s="31"/>
      <c r="M26" s="31"/>
    </row>
    <row r="27" spans="1:13" x14ac:dyDescent="0.25">
      <c r="A27" s="25">
        <v>8</v>
      </c>
      <c r="B27" s="19"/>
      <c r="C27" s="27"/>
      <c r="D27" s="34"/>
      <c r="E27" s="30"/>
      <c r="F27" s="25"/>
    </row>
    <row r="28" spans="1:13" x14ac:dyDescent="0.25">
      <c r="A28" s="25">
        <v>9</v>
      </c>
      <c r="B28" s="19"/>
      <c r="C28" s="27"/>
      <c r="D28" s="28"/>
      <c r="E28" s="30"/>
      <c r="F28" s="25"/>
    </row>
    <row r="29" spans="1:13" x14ac:dyDescent="0.25">
      <c r="A29" s="25">
        <v>10</v>
      </c>
      <c r="B29" s="19"/>
      <c r="C29" s="33"/>
      <c r="D29" s="34"/>
      <c r="E29" s="30"/>
      <c r="F29" s="25"/>
    </row>
    <row r="30" spans="1:13" ht="15.75" customHeight="1" x14ac:dyDescent="0.25">
      <c r="A30" s="25">
        <v>11</v>
      </c>
      <c r="B30" s="19"/>
      <c r="C30" s="33"/>
      <c r="D30" s="46"/>
      <c r="E30" s="30"/>
      <c r="F30" s="25"/>
    </row>
    <row r="31" spans="1:13" ht="15.75" customHeight="1" x14ac:dyDescent="0.25">
      <c r="A31" s="35"/>
      <c r="B31" s="36"/>
      <c r="C31" s="37"/>
      <c r="D31"/>
      <c r="E31" s="38"/>
      <c r="F31" s="35"/>
    </row>
    <row r="32" spans="1:13" ht="15.75" x14ac:dyDescent="0.25">
      <c r="A32" s="6"/>
      <c r="B32" s="11" t="s">
        <v>23</v>
      </c>
      <c r="E32" s="7"/>
      <c r="F32" s="7"/>
    </row>
    <row r="33" spans="1:6" ht="15.75" thickBot="1" x14ac:dyDescent="0.3">
      <c r="A33" s="6"/>
      <c r="B33" s="13"/>
      <c r="C33" s="7"/>
      <c r="D33" s="7"/>
      <c r="E33" s="7"/>
      <c r="F33" s="7"/>
    </row>
    <row r="34" spans="1:6" x14ac:dyDescent="0.25">
      <c r="A34" s="14" t="s">
        <v>10</v>
      </c>
      <c r="B34" s="15" t="s">
        <v>24</v>
      </c>
      <c r="C34" s="15" t="s">
        <v>13</v>
      </c>
      <c r="D34" s="15" t="s">
        <v>25</v>
      </c>
      <c r="E34" s="15" t="s">
        <v>26</v>
      </c>
      <c r="F34" s="16" t="s">
        <v>15</v>
      </c>
    </row>
    <row r="35" spans="1:6" ht="15.75" customHeight="1" x14ac:dyDescent="0.25">
      <c r="A35" s="25">
        <v>1</v>
      </c>
      <c r="B35" s="19"/>
      <c r="C35" s="34"/>
      <c r="D35" s="34"/>
      <c r="E35" s="39"/>
      <c r="F35" s="39"/>
    </row>
    <row r="36" spans="1:6" ht="15.75" customHeight="1" x14ac:dyDescent="0.25">
      <c r="A36" s="25">
        <v>2</v>
      </c>
      <c r="B36" s="19"/>
      <c r="C36" s="28"/>
      <c r="D36" s="34"/>
      <c r="E36" s="39"/>
      <c r="F36" s="39"/>
    </row>
    <row r="37" spans="1:6" ht="15.75" customHeight="1" x14ac:dyDescent="0.25">
      <c r="A37" s="25">
        <v>3</v>
      </c>
      <c r="B37" s="19"/>
      <c r="C37" s="29"/>
      <c r="D37" s="29"/>
      <c r="E37" s="39"/>
      <c r="F37" s="39"/>
    </row>
    <row r="38" spans="1:6" ht="15.75" customHeight="1" x14ac:dyDescent="0.25">
      <c r="A38" s="25">
        <v>4</v>
      </c>
      <c r="B38" s="19"/>
      <c r="C38" s="29"/>
      <c r="D38" s="29"/>
      <c r="E38" s="39"/>
      <c r="F38" s="39"/>
    </row>
    <row r="39" spans="1:6" ht="15.75" customHeight="1" x14ac:dyDescent="0.25">
      <c r="A39" s="25">
        <v>5</v>
      </c>
      <c r="B39" s="19"/>
      <c r="C39" s="18"/>
      <c r="D39" s="18"/>
      <c r="E39" s="39"/>
      <c r="F39" s="39"/>
    </row>
    <row r="40" spans="1:6" x14ac:dyDescent="0.25">
      <c r="A40" s="40">
        <v>6</v>
      </c>
      <c r="B40" s="19"/>
      <c r="C40" s="25"/>
      <c r="D40" s="32"/>
      <c r="E40" s="29"/>
      <c r="F40" s="29"/>
    </row>
    <row r="41" spans="1:6" x14ac:dyDescent="0.25">
      <c r="A41" s="40">
        <v>7</v>
      </c>
      <c r="B41" s="19"/>
      <c r="C41" s="29"/>
      <c r="D41" s="25"/>
      <c r="E41" s="29"/>
      <c r="F41" s="25"/>
    </row>
    <row r="42" spans="1:6" x14ac:dyDescent="0.25">
      <c r="F42" s="41"/>
    </row>
  </sheetData>
  <mergeCells count="1">
    <mergeCell ref="A3:H3"/>
  </mergeCells>
  <dataValidations count="2">
    <dataValidation type="list" allowBlank="1" showInputMessage="1" showErrorMessage="1" sqref="F8:F15" xr:uid="{2EC0EC5B-7C08-4C22-AA95-368F2D69FED9}">
      <formula1>"20,40,45,50"</formula1>
      <formula2>0</formula2>
    </dataValidation>
    <dataValidation type="list" allowBlank="1" showInputMessage="1" showErrorMessage="1" sqref="F41 F16" xr:uid="{14D22049-3295-498F-9836-6B814172B93A}">
      <formula1>"20,40,45,50"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DASHBOARD</vt:lpstr>
      <vt:lpstr>01-09</vt:lpstr>
      <vt:lpstr>02-09</vt:lpstr>
      <vt:lpstr>03-09</vt:lpstr>
      <vt:lpstr>06-09</vt:lpstr>
      <vt:lpstr>07-09</vt:lpstr>
      <vt:lpstr>08-09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Samir Haddad</cp:lastModifiedBy>
  <cp:lastPrinted>2026-09-07T10:16:27Z</cp:lastPrinted>
  <dcterms:created xsi:type="dcterms:W3CDTF">2026-09-01T09:18:21Z</dcterms:created>
  <dcterms:modified xsi:type="dcterms:W3CDTF">2026-09-08T08:42:16Z</dcterms:modified>
</cp:coreProperties>
</file>