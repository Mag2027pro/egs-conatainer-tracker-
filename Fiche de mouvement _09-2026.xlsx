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105" documentId="8_{110EE0FD-1A37-4947-891C-6105C32C194C}" xr6:coauthVersionLast="47" xr6:coauthVersionMax="47" xr10:uidLastSave="{F18BBD0B-AB74-4608-8E25-5334F1B9C144}"/>
  <bookViews>
    <workbookView xWindow="-120" yWindow="-120" windowWidth="29040" windowHeight="15720" activeTab="13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6" sheetId="14" r:id="rId1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4" l="1"/>
  <c r="F2" i="14"/>
  <c r="H2" i="14" s="1"/>
  <c r="H1" i="14"/>
  <c r="H2" i="13"/>
  <c r="J2" i="13"/>
  <c r="F2" i="13"/>
  <c r="H1" i="13"/>
  <c r="B15" i="1" s="1"/>
  <c r="C14" i="1"/>
  <c r="B14" i="1"/>
  <c r="C13" i="1"/>
  <c r="B13" i="1"/>
  <c r="D13" i="1" s="1"/>
  <c r="C12" i="1"/>
  <c r="B12" i="1"/>
  <c r="D12" i="1" s="1"/>
  <c r="B10" i="1"/>
  <c r="D10" i="1" s="1"/>
  <c r="C10" i="1"/>
  <c r="B11" i="1"/>
  <c r="D11" i="1" s="1"/>
  <c r="C11" i="1"/>
  <c r="D14" i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C4" i="1" s="1"/>
  <c r="J1" i="4"/>
  <c r="C3" i="1"/>
  <c r="B3" i="1"/>
  <c r="D3" i="1"/>
  <c r="J2" i="3"/>
  <c r="F2" i="3"/>
  <c r="H2" i="3" s="1"/>
  <c r="H1" i="3"/>
  <c r="F2" i="2"/>
  <c r="H2" i="2" s="1"/>
  <c r="C2" i="1" s="1"/>
  <c r="J2" i="2"/>
  <c r="H1" i="2"/>
  <c r="B2" i="1" s="1"/>
  <c r="C15" i="1" l="1"/>
  <c r="D8" i="1"/>
  <c r="D9" i="1"/>
  <c r="D7" i="1"/>
  <c r="D5" i="1"/>
  <c r="D4" i="1"/>
  <c r="B24" i="1"/>
  <c r="D2" i="1"/>
  <c r="D15" i="1" l="1"/>
  <c r="D24" i="1" s="1"/>
  <c r="C24" i="1"/>
</calcChain>
</file>

<file path=xl/sharedStrings.xml><?xml version="1.0" encoding="utf-8"?>
<sst xmlns="http://schemas.openxmlformats.org/spreadsheetml/2006/main" count="631" uniqueCount="218">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</sst>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</font>
    <font>
      <sz val="10"/>
      <color rgb="FF000000"/>
      <name val="Segoe UI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8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workbookViewId="0">
      <selection activeCell="M27" sqref="M27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'03-09'!J2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4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46274</v>
      </c>
      <c r="B10" s="3">
        <f>'10-09'!H2</f>
        <v>1</v>
      </c>
      <c r="C10" s="3">
        <f>'10-09'!H3</f>
        <v>0</v>
      </c>
      <c r="D10" s="4">
        <f t="shared" si="1"/>
        <v>1</v>
      </c>
      <c r="F10" s="3"/>
    </row>
    <row r="11" spans="1:6" ht="16.5" x14ac:dyDescent="0.25">
      <c r="A11" s="2">
        <v>46275</v>
      </c>
      <c r="B11" s="3">
        <f>'10-09'!H3</f>
        <v>0</v>
      </c>
      <c r="C11" s="3">
        <f>'10-09'!H4</f>
        <v>0</v>
      </c>
      <c r="D11" s="4">
        <f t="shared" si="1"/>
        <v>0</v>
      </c>
      <c r="F11" s="3"/>
    </row>
    <row r="12" spans="1:6" ht="16.5" x14ac:dyDescent="0.25">
      <c r="A12" s="2">
        <v>46278</v>
      </c>
      <c r="B12" s="3">
        <f>'13-09'!H1</f>
        <v>0</v>
      </c>
      <c r="C12" s="3">
        <f>'13-09'!H2</f>
        <v>2</v>
      </c>
      <c r="D12" s="4">
        <f t="shared" si="1"/>
        <v>2</v>
      </c>
      <c r="F12" s="3"/>
    </row>
    <row r="13" spans="1:6" ht="16.5" x14ac:dyDescent="0.25">
      <c r="A13" s="2">
        <v>46279</v>
      </c>
      <c r="B13" s="3">
        <f>'14-09'!H1</f>
        <v>1</v>
      </c>
      <c r="C13" s="3">
        <f>'14-09'!H2</f>
        <v>0</v>
      </c>
      <c r="D13" s="4">
        <f t="shared" si="1"/>
        <v>1</v>
      </c>
      <c r="F13" s="3"/>
    </row>
    <row r="14" spans="1:6" ht="16.5" x14ac:dyDescent="0.25">
      <c r="A14" s="2">
        <v>46280</v>
      </c>
      <c r="B14" s="3">
        <f>'15-09'!H1</f>
        <v>4</v>
      </c>
      <c r="C14" s="3">
        <f>'10-09'!H2</f>
        <v>1</v>
      </c>
      <c r="D14" s="4">
        <f t="shared" si="1"/>
        <v>5</v>
      </c>
      <c r="F14" s="3"/>
    </row>
    <row r="15" spans="1:6" ht="16.5" x14ac:dyDescent="0.25">
      <c r="A15" s="2">
        <v>46281</v>
      </c>
      <c r="B15" s="3">
        <f>'16-09'!H1</f>
        <v>0</v>
      </c>
      <c r="C15" s="3">
        <f>'16-09'!H2</f>
        <v>12</v>
      </c>
      <c r="D15" s="4">
        <f t="shared" ref="D15" si="2">SUM(B15:C15)</f>
        <v>12</v>
      </c>
      <c r="F15" s="3"/>
    </row>
    <row r="16" spans="1:6" ht="16.5" x14ac:dyDescent="0.25">
      <c r="A16" s="2">
        <v>46280</v>
      </c>
      <c r="B16" s="3"/>
      <c r="C16" s="3"/>
      <c r="D16" s="4"/>
      <c r="F16" s="3"/>
    </row>
    <row r="17" spans="1:6" ht="16.5" x14ac:dyDescent="0.25">
      <c r="A17" s="2">
        <v>46281</v>
      </c>
      <c r="B17" s="3"/>
      <c r="C17" s="3"/>
      <c r="D17" s="4"/>
      <c r="F17" s="3"/>
    </row>
    <row r="18" spans="1:6" ht="16.5" x14ac:dyDescent="0.25">
      <c r="A18" s="2">
        <v>46282</v>
      </c>
      <c r="B18" s="3"/>
      <c r="C18" s="3"/>
      <c r="D18" s="4"/>
      <c r="F18" s="3"/>
    </row>
    <row r="19" spans="1:6" ht="16.5" x14ac:dyDescent="0.25">
      <c r="A19" s="2">
        <v>46283</v>
      </c>
      <c r="B19" s="3"/>
      <c r="C19" s="3"/>
      <c r="D19" s="4"/>
      <c r="F19" s="3"/>
    </row>
    <row r="20" spans="1:6" ht="16.5" x14ac:dyDescent="0.25">
      <c r="A20" s="2">
        <v>46284</v>
      </c>
      <c r="B20" s="3"/>
      <c r="C20" s="3"/>
      <c r="D20" s="4"/>
      <c r="F20" s="3"/>
    </row>
    <row r="21" spans="1:6" ht="16.5" x14ac:dyDescent="0.25">
      <c r="A21" s="2">
        <v>46285</v>
      </c>
      <c r="B21" s="3"/>
      <c r="C21" s="3"/>
      <c r="D21" s="4"/>
      <c r="F21" s="3"/>
    </row>
    <row r="22" spans="1:6" ht="16.5" x14ac:dyDescent="0.25">
      <c r="A22" s="2">
        <v>46286</v>
      </c>
      <c r="B22" s="3"/>
      <c r="C22" s="3"/>
      <c r="D22" s="4"/>
      <c r="F22" s="3"/>
    </row>
    <row r="23" spans="1:6" ht="16.5" x14ac:dyDescent="0.25">
      <c r="F23" s="3"/>
    </row>
    <row r="24" spans="1:6" ht="16.5" x14ac:dyDescent="0.25">
      <c r="A24" s="1" t="s">
        <v>5</v>
      </c>
      <c r="B24" s="5">
        <f>SUM(B2:B22)</f>
        <v>31</v>
      </c>
      <c r="C24" s="5">
        <f>SUM(C2:C22)</f>
        <v>31</v>
      </c>
      <c r="D24" s="5">
        <f>SUM(D2:D22)</f>
        <v>62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J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F9" activeCellId="1" sqref="D9 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topLeftCell="A3" workbookViewId="0">
      <selection activeCell="D8" sqref="D8: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D9" activeCellId="1" sqref="F9 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72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73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73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73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73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74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75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75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75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75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75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75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topLeftCell="A9"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76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76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76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76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76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76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76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76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76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76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54"/>
  <sheetViews>
    <sheetView topLeftCell="A18" workbookViewId="0">
      <selection activeCell="D37" activeCellId="5" sqref="D24:F25 D27:F27 D30:F30 D32:F32 D34:F35 D37:F3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COUNTIFS(B22:B36,"&lt;&gt;",C22:C36,"VH")</f>
        <v>0</v>
      </c>
      <c r="G2" s="9" t="s">
        <v>7</v>
      </c>
      <c r="H2" s="8">
        <f>COUNTA(C22:C41)-F2</f>
        <v>12</v>
      </c>
      <c r="I2" s="9" t="s">
        <v>6</v>
      </c>
      <c r="J2" s="10">
        <f>COUNTIF(E22:E36,"VIDE")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1" x14ac:dyDescent="0.25">
      <c r="A17" s="17">
        <v>8</v>
      </c>
      <c r="B17" s="42"/>
      <c r="C17" s="68"/>
      <c r="D17" s="24"/>
      <c r="E17" s="23"/>
      <c r="F17" s="18"/>
    </row>
    <row r="18" spans="1:11" ht="15.75" x14ac:dyDescent="0.25">
      <c r="A18" s="6"/>
      <c r="B18" s="20"/>
      <c r="C18" s="7"/>
      <c r="D18" s="26"/>
      <c r="E18" s="26"/>
      <c r="F18" s="26"/>
      <c r="G18" s="7"/>
    </row>
    <row r="19" spans="1:11" ht="15.75" x14ac:dyDescent="0.25">
      <c r="A19" s="6"/>
      <c r="B19" s="11" t="s">
        <v>20</v>
      </c>
    </row>
    <row r="20" spans="1:11" ht="15.75" thickBot="1" x14ac:dyDescent="0.3">
      <c r="A20" s="6"/>
      <c r="B20" s="13"/>
      <c r="C20" s="7"/>
      <c r="D20" s="7"/>
      <c r="E20" s="7"/>
      <c r="F20" s="7"/>
    </row>
    <row r="21" spans="1:11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1" x14ac:dyDescent="0.25">
      <c r="A22" s="25">
        <v>1</v>
      </c>
      <c r="B22" s="19">
        <v>16092026</v>
      </c>
      <c r="C22" s="27" t="s">
        <v>205</v>
      </c>
      <c r="D22" s="77" t="s">
        <v>184</v>
      </c>
      <c r="E22" s="39">
        <v>3561</v>
      </c>
      <c r="F22" s="32">
        <v>40</v>
      </c>
    </row>
    <row r="23" spans="1:11" x14ac:dyDescent="0.25">
      <c r="A23" s="25">
        <v>2</v>
      </c>
      <c r="B23" s="19">
        <v>16092026</v>
      </c>
      <c r="C23" s="27" t="s">
        <v>202</v>
      </c>
      <c r="D23" s="77" t="s">
        <v>185</v>
      </c>
      <c r="E23" s="39">
        <v>3562</v>
      </c>
      <c r="F23" s="32">
        <v>40</v>
      </c>
    </row>
    <row r="24" spans="1:11" x14ac:dyDescent="0.25">
      <c r="A24" s="25">
        <v>3</v>
      </c>
      <c r="B24" s="19">
        <v>16092026</v>
      </c>
      <c r="C24" s="27"/>
      <c r="D24" s="24" t="s">
        <v>186</v>
      </c>
      <c r="E24" s="39">
        <v>3564</v>
      </c>
      <c r="F24" s="32">
        <v>40</v>
      </c>
    </row>
    <row r="25" spans="1:11" x14ac:dyDescent="0.25">
      <c r="A25" s="25">
        <v>4</v>
      </c>
      <c r="B25" s="19">
        <v>16092026</v>
      </c>
      <c r="C25" s="27"/>
      <c r="D25" s="24" t="s">
        <v>187</v>
      </c>
      <c r="E25" s="39">
        <v>3563</v>
      </c>
      <c r="F25" s="32">
        <v>40</v>
      </c>
    </row>
    <row r="26" spans="1:11" x14ac:dyDescent="0.25">
      <c r="A26" s="25">
        <v>5</v>
      </c>
      <c r="B26" s="19">
        <v>16092026</v>
      </c>
      <c r="C26" s="27" t="s">
        <v>206</v>
      </c>
      <c r="D26" s="24" t="s">
        <v>188</v>
      </c>
      <c r="E26" s="39">
        <v>3565</v>
      </c>
      <c r="F26" s="32">
        <v>40</v>
      </c>
    </row>
    <row r="27" spans="1:11" x14ac:dyDescent="0.25">
      <c r="A27" s="25">
        <v>6</v>
      </c>
      <c r="B27" s="19">
        <v>16092026</v>
      </c>
      <c r="C27" s="27"/>
      <c r="D27" s="24" t="s">
        <v>189</v>
      </c>
      <c r="E27" s="39">
        <v>3566</v>
      </c>
      <c r="F27" s="32">
        <v>40</v>
      </c>
    </row>
    <row r="28" spans="1:11" ht="15.75" customHeight="1" x14ac:dyDescent="0.25">
      <c r="A28" s="25">
        <v>7</v>
      </c>
      <c r="B28" s="19">
        <v>16092026</v>
      </c>
      <c r="C28" s="29" t="s">
        <v>203</v>
      </c>
      <c r="D28" s="24" t="s">
        <v>190</v>
      </c>
      <c r="E28" s="39">
        <v>3567</v>
      </c>
      <c r="F28" s="32">
        <v>40</v>
      </c>
      <c r="H28" s="31"/>
      <c r="I28" s="31"/>
      <c r="J28" s="31"/>
      <c r="K28" s="31"/>
    </row>
    <row r="29" spans="1:11" ht="15.75" customHeight="1" x14ac:dyDescent="0.25">
      <c r="A29" s="25">
        <v>8</v>
      </c>
      <c r="B29" s="19">
        <v>16092026</v>
      </c>
      <c r="C29" s="27" t="s">
        <v>204</v>
      </c>
      <c r="D29" s="24" t="s">
        <v>198</v>
      </c>
      <c r="E29" s="39">
        <v>3568</v>
      </c>
      <c r="F29" s="78">
        <v>40</v>
      </c>
      <c r="H29" s="31"/>
      <c r="I29" s="31"/>
      <c r="J29" s="31"/>
      <c r="K29" s="31"/>
    </row>
    <row r="30" spans="1:11" ht="15.75" customHeight="1" x14ac:dyDescent="0.25">
      <c r="A30" s="25">
        <v>9</v>
      </c>
      <c r="B30" s="19">
        <v>16092026</v>
      </c>
      <c r="C30" s="29"/>
      <c r="D30" s="24" t="s">
        <v>191</v>
      </c>
      <c r="E30" s="39">
        <v>3569</v>
      </c>
      <c r="F30" s="32">
        <v>40</v>
      </c>
      <c r="H30" s="31"/>
      <c r="I30" s="31"/>
      <c r="J30" s="31"/>
      <c r="K30" s="31"/>
    </row>
    <row r="31" spans="1:11" ht="15.75" customHeight="1" x14ac:dyDescent="0.25">
      <c r="A31" s="25">
        <v>10</v>
      </c>
      <c r="B31" s="19">
        <v>16092026</v>
      </c>
      <c r="C31" s="29" t="s">
        <v>200</v>
      </c>
      <c r="D31" s="24" t="s">
        <v>192</v>
      </c>
      <c r="E31" s="39">
        <v>3570</v>
      </c>
      <c r="F31" s="32">
        <v>40</v>
      </c>
      <c r="H31" s="31"/>
      <c r="I31" s="31"/>
      <c r="J31" s="31"/>
      <c r="K31" s="31"/>
    </row>
    <row r="32" spans="1:11" ht="15.75" customHeight="1" x14ac:dyDescent="0.25">
      <c r="A32" s="25">
        <v>11</v>
      </c>
      <c r="B32" s="19">
        <v>16092026</v>
      </c>
      <c r="C32" s="27"/>
      <c r="D32" s="24" t="s">
        <v>193</v>
      </c>
      <c r="E32" s="39">
        <v>3503</v>
      </c>
      <c r="F32" s="32">
        <v>40</v>
      </c>
      <c r="H32" s="31"/>
      <c r="I32" s="31"/>
      <c r="J32" s="31"/>
      <c r="K32" s="31"/>
    </row>
    <row r="33" spans="1:14" ht="15.75" customHeight="1" x14ac:dyDescent="0.25">
      <c r="A33" s="25">
        <v>12</v>
      </c>
      <c r="B33" s="19">
        <v>16092026</v>
      </c>
      <c r="C33" s="29" t="s">
        <v>207</v>
      </c>
      <c r="D33" s="24" t="s">
        <v>194</v>
      </c>
      <c r="E33" s="39">
        <v>3502</v>
      </c>
      <c r="F33" s="32">
        <v>40</v>
      </c>
      <c r="H33" s="31"/>
      <c r="I33" s="31"/>
      <c r="J33" s="31"/>
      <c r="K33" s="31"/>
    </row>
    <row r="34" spans="1:14" x14ac:dyDescent="0.25">
      <c r="A34" s="25">
        <v>13</v>
      </c>
      <c r="B34" s="19">
        <v>16092026</v>
      </c>
      <c r="C34" s="27"/>
      <c r="D34" s="24" t="s">
        <v>195</v>
      </c>
      <c r="E34" s="39">
        <v>3501</v>
      </c>
      <c r="F34" s="32">
        <v>40</v>
      </c>
    </row>
    <row r="35" spans="1:14" x14ac:dyDescent="0.25">
      <c r="A35" s="25">
        <v>14</v>
      </c>
      <c r="B35" s="19">
        <v>16092026</v>
      </c>
      <c r="C35" s="27"/>
      <c r="D35" s="24" t="s">
        <v>199</v>
      </c>
      <c r="F35" s="32">
        <v>40</v>
      </c>
    </row>
    <row r="36" spans="1:14" x14ac:dyDescent="0.25">
      <c r="A36" s="25">
        <v>15</v>
      </c>
      <c r="B36" s="19">
        <v>16092026</v>
      </c>
      <c r="C36" s="33" t="s">
        <v>201</v>
      </c>
      <c r="D36" s="24" t="s">
        <v>196</v>
      </c>
      <c r="E36" s="39">
        <v>3580</v>
      </c>
      <c r="F36" s="32">
        <v>40</v>
      </c>
      <c r="K36" s="31"/>
      <c r="L36" s="31"/>
      <c r="M36" s="31"/>
    </row>
    <row r="37" spans="1:14" ht="15.75" customHeight="1" x14ac:dyDescent="0.25">
      <c r="A37" s="25">
        <v>16</v>
      </c>
      <c r="B37" s="19">
        <v>16092026</v>
      </c>
      <c r="C37" s="33"/>
      <c r="D37" s="24" t="s">
        <v>197</v>
      </c>
      <c r="E37" s="24"/>
      <c r="F37" s="32">
        <v>40</v>
      </c>
      <c r="K37" s="31"/>
      <c r="L37" s="31"/>
      <c r="M37" s="31"/>
    </row>
    <row r="38" spans="1:14" ht="15.75" customHeight="1" x14ac:dyDescent="0.25">
      <c r="A38" s="25">
        <v>17</v>
      </c>
      <c r="B38" s="19">
        <v>16092026</v>
      </c>
      <c r="C38" s="33" t="s">
        <v>210</v>
      </c>
      <c r="D38" s="65" t="s">
        <v>153</v>
      </c>
      <c r="E38" s="29">
        <v>3554</v>
      </c>
      <c r="F38" s="66">
        <v>20</v>
      </c>
      <c r="K38" s="31"/>
      <c r="L38" s="31"/>
      <c r="M38" s="31"/>
    </row>
    <row r="39" spans="1:14" ht="15.75" customHeight="1" x14ac:dyDescent="0.25">
      <c r="A39" s="25">
        <v>18</v>
      </c>
      <c r="B39" s="19">
        <v>16092026</v>
      </c>
      <c r="C39" s="33" t="s">
        <v>208</v>
      </c>
      <c r="D39" s="67" t="s">
        <v>155</v>
      </c>
      <c r="E39" s="29">
        <v>0</v>
      </c>
      <c r="F39" s="66" t="s">
        <v>157</v>
      </c>
      <c r="K39" s="31"/>
      <c r="L39" s="31"/>
      <c r="M39" s="31"/>
    </row>
    <row r="40" spans="1:14" ht="15.75" customHeight="1" x14ac:dyDescent="0.25">
      <c r="A40" s="25">
        <v>19</v>
      </c>
      <c r="B40" s="19">
        <v>16092026</v>
      </c>
      <c r="C40" s="33" t="s">
        <v>209</v>
      </c>
      <c r="D40" s="66" t="s">
        <v>158</v>
      </c>
      <c r="E40" s="29">
        <v>0</v>
      </c>
      <c r="F40" s="66" t="s">
        <v>157</v>
      </c>
      <c r="L40" s="31"/>
      <c r="M40" s="31"/>
      <c r="N40" s="31"/>
    </row>
    <row r="41" spans="1:14" ht="15.75" customHeight="1" x14ac:dyDescent="0.25">
      <c r="A41" s="25">
        <v>20</v>
      </c>
      <c r="B41" s="19">
        <v>16092026</v>
      </c>
      <c r="C41" s="33" t="s">
        <v>212</v>
      </c>
      <c r="D41" s="79" t="s">
        <v>211</v>
      </c>
      <c r="E41" s="25">
        <v>3943</v>
      </c>
      <c r="F41" s="80">
        <v>20</v>
      </c>
    </row>
    <row r="42" spans="1:14" ht="15.75" x14ac:dyDescent="0.25">
      <c r="A42" s="6"/>
      <c r="B42" s="11" t="s">
        <v>23</v>
      </c>
      <c r="E42" s="7"/>
      <c r="F42" s="7"/>
    </row>
    <row r="43" spans="1:14" ht="15.75" thickBot="1" x14ac:dyDescent="0.3">
      <c r="A43" s="6"/>
      <c r="B43" s="13"/>
      <c r="C43" s="7"/>
      <c r="D43" s="7"/>
      <c r="E43" s="7"/>
      <c r="F43" s="7"/>
    </row>
    <row r="44" spans="1:14" x14ac:dyDescent="0.25">
      <c r="A44" s="14" t="s">
        <v>10</v>
      </c>
      <c r="B44" s="15" t="s">
        <v>24</v>
      </c>
      <c r="C44" s="15" t="s">
        <v>13</v>
      </c>
      <c r="D44" s="15" t="s">
        <v>25</v>
      </c>
      <c r="E44" s="15" t="s">
        <v>26</v>
      </c>
      <c r="F44" s="16" t="s">
        <v>15</v>
      </c>
    </row>
    <row r="45" spans="1:14" ht="15.75" customHeight="1" x14ac:dyDescent="0.25">
      <c r="A45" s="25">
        <v>1</v>
      </c>
      <c r="B45" s="19">
        <v>16092026</v>
      </c>
      <c r="C45" s="34" t="s">
        <v>100</v>
      </c>
      <c r="D45" s="34" t="s">
        <v>101</v>
      </c>
      <c r="E45" s="29">
        <v>3556</v>
      </c>
      <c r="F45" s="66">
        <v>40</v>
      </c>
      <c r="G45" s="76"/>
    </row>
    <row r="46" spans="1:14" ht="15.75" customHeight="1" x14ac:dyDescent="0.25">
      <c r="A46" s="25">
        <v>2</v>
      </c>
      <c r="B46" s="19">
        <v>16092026</v>
      </c>
      <c r="C46" s="34" t="s">
        <v>50</v>
      </c>
      <c r="D46" s="28" t="s">
        <v>51</v>
      </c>
      <c r="E46" s="29">
        <v>3555</v>
      </c>
      <c r="F46" s="18">
        <v>40</v>
      </c>
      <c r="G46" s="76"/>
    </row>
    <row r="47" spans="1:14" ht="15.75" customHeight="1" x14ac:dyDescent="0.25">
      <c r="A47" s="25">
        <v>3</v>
      </c>
      <c r="B47" s="19">
        <v>16092026</v>
      </c>
      <c r="C47" s="34" t="s">
        <v>130</v>
      </c>
      <c r="D47" s="34">
        <v>18233786</v>
      </c>
      <c r="E47" s="29">
        <v>3558</v>
      </c>
      <c r="F47" s="66">
        <v>40</v>
      </c>
      <c r="G47" s="76"/>
    </row>
    <row r="48" spans="1:14" ht="15.75" customHeight="1" x14ac:dyDescent="0.25">
      <c r="A48" s="25">
        <v>4</v>
      </c>
      <c r="B48" s="19"/>
      <c r="C48" s="34"/>
      <c r="D48" s="46"/>
      <c r="E48" s="29"/>
      <c r="F48" s="39"/>
      <c r="G48" s="76"/>
    </row>
    <row r="49" spans="1:7" ht="15.75" customHeight="1" x14ac:dyDescent="0.25">
      <c r="A49" s="25">
        <v>5</v>
      </c>
      <c r="B49" s="19"/>
      <c r="C49" s="34"/>
      <c r="D49" s="29"/>
      <c r="E49" s="29"/>
      <c r="F49" s="29"/>
      <c r="G49" s="76"/>
    </row>
    <row r="50" spans="1:7" x14ac:dyDescent="0.25">
      <c r="A50" s="25">
        <v>6</v>
      </c>
      <c r="B50" s="19"/>
      <c r="C50" s="34"/>
      <c r="D50" s="46"/>
      <c r="E50" s="29"/>
      <c r="F50" s="29"/>
      <c r="G50" s="76"/>
    </row>
    <row r="51" spans="1:7" x14ac:dyDescent="0.25">
      <c r="A51" s="25">
        <v>7</v>
      </c>
      <c r="B51" s="19"/>
      <c r="C51" s="34"/>
      <c r="D51" s="46"/>
      <c r="E51" s="29"/>
      <c r="F51" s="29"/>
      <c r="G51" s="76"/>
    </row>
    <row r="52" spans="1:7" x14ac:dyDescent="0.25">
      <c r="A52" s="25">
        <v>8</v>
      </c>
      <c r="B52" s="19"/>
      <c r="C52" s="34"/>
      <c r="D52" s="46"/>
      <c r="E52" s="29"/>
      <c r="F52" s="29"/>
      <c r="G52" s="76"/>
    </row>
    <row r="53" spans="1:7" x14ac:dyDescent="0.25">
      <c r="A53" s="25">
        <v>9</v>
      </c>
      <c r="B53" s="19"/>
      <c r="C53" s="34"/>
      <c r="D53" s="46"/>
      <c r="E53" s="29"/>
      <c r="F53" s="29"/>
      <c r="G53" s="76"/>
    </row>
    <row r="54" spans="1:7" x14ac:dyDescent="0.25">
      <c r="A54" s="25">
        <v>10</v>
      </c>
      <c r="B54" s="19"/>
      <c r="C54" s="34"/>
      <c r="D54" s="46"/>
      <c r="E54" s="29"/>
      <c r="F54" s="29"/>
      <c r="G54" s="76"/>
    </row>
  </sheetData>
  <mergeCells count="2">
    <mergeCell ref="A3:H3"/>
    <mergeCell ref="G45:G54"/>
  </mergeCells>
  <dataValidations count="2">
    <dataValidation type="list" allowBlank="1" showInputMessage="1" showErrorMessage="1" sqref="F18 F22:F37" xr:uid="{891C7987-B10E-436C-8334-E349696CE1DC}">
      <formula1>"20,40,45,50"</formula1>
    </dataValidation>
    <dataValidation type="list" allowBlank="1" showInputMessage="1" showErrorMessage="1" sqref="F45:F47 F8:F17 F38:F40" xr:uid="{43175F8C-86E7-45FE-A167-E0EFC0821C3A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tabSelected="1" topLeftCell="A15" workbookViewId="0">
      <selection activeCell="J30" sqref="J3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1" t="s">
        <v>8</v>
      </c>
      <c r="B3" s="71"/>
      <c r="C3" s="71"/>
      <c r="D3" s="71"/>
      <c r="E3" s="71"/>
      <c r="F3" s="71"/>
      <c r="G3" s="71"/>
      <c r="H3" s="71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/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81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3558</v>
      </c>
      <c r="F38" s="66">
        <v>40</v>
      </c>
      <c r="G38" s="81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81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81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81"/>
    </row>
    <row r="42" spans="1:7" x14ac:dyDescent="0.25">
      <c r="A42" s="25">
        <v>6</v>
      </c>
      <c r="B42" s="19"/>
      <c r="C42" s="34"/>
      <c r="D42" s="46"/>
      <c r="E42" s="29"/>
      <c r="F42" s="29"/>
      <c r="G42" s="81"/>
    </row>
    <row r="43" spans="1:7" x14ac:dyDescent="0.25">
      <c r="A43" s="25">
        <v>7</v>
      </c>
      <c r="B43" s="19"/>
      <c r="C43" s="34"/>
      <c r="D43" s="46"/>
      <c r="E43" s="29"/>
      <c r="F43" s="29"/>
      <c r="G43" s="81"/>
    </row>
    <row r="44" spans="1:7" x14ac:dyDescent="0.25">
      <c r="A44" s="25">
        <v>8</v>
      </c>
      <c r="B44" s="19"/>
      <c r="C44" s="34"/>
      <c r="D44" s="46"/>
      <c r="E44" s="29"/>
      <c r="F44" s="29"/>
      <c r="G44" s="81"/>
    </row>
    <row r="45" spans="1:7" x14ac:dyDescent="0.25">
      <c r="A45" s="25">
        <v>9</v>
      </c>
      <c r="B45" s="19"/>
      <c r="C45" s="34"/>
      <c r="D45" s="46"/>
      <c r="E45" s="29"/>
      <c r="F45" s="29"/>
      <c r="G45" s="81"/>
    </row>
    <row r="46" spans="1:7" x14ac:dyDescent="0.25">
      <c r="A46" s="25">
        <v>10</v>
      </c>
      <c r="B46" s="19"/>
      <c r="C46" s="34"/>
      <c r="D46" s="46"/>
      <c r="E46" s="29"/>
      <c r="F46" s="29"/>
      <c r="G46" s="81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2026-09-15T15:19:00Z</cp:lastPrinted>
  <dcterms:created xsi:type="dcterms:W3CDTF">2026-09-01T09:18:21Z</dcterms:created>
  <dcterms:modified xsi:type="dcterms:W3CDTF">2026-09-17T15:57:01Z</dcterms:modified>
</cp:coreProperties>
</file>