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354" documentId="8_{110EE0FD-1A37-4947-891C-6105C32C194C}" xr6:coauthVersionLast="47" xr6:coauthVersionMax="47" xr10:uidLastSave="{C0E0758E-3E6C-4707-94EE-34898817A289}"/>
  <bookViews>
    <workbookView xWindow="-120" yWindow="-120" windowWidth="29040" windowHeight="15720" firstSheet="2" activeTab="16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  <sheet name="13-09" sheetId="10" r:id="rId10"/>
    <sheet name="14-09" sheetId="11" r:id="rId11"/>
    <sheet name="15-09" sheetId="12" r:id="rId12"/>
    <sheet name="16-09" sheetId="13" r:id="rId13"/>
    <sheet name="17-09" sheetId="14" r:id="rId14"/>
    <sheet name="20-09" sheetId="15" r:id="rId15"/>
    <sheet name="21-09" sheetId="16" r:id="rId16"/>
    <sheet name="22-09" sheetId="17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9" i="1" l="1"/>
  <c r="B19" i="1"/>
  <c r="D19" i="1"/>
  <c r="C18" i="1"/>
  <c r="B18" i="1"/>
  <c r="D18" i="1" s="1"/>
  <c r="J2" i="17"/>
  <c r="F2" i="17"/>
  <c r="H2" i="17" s="1"/>
  <c r="H1" i="17"/>
  <c r="B17" i="1"/>
  <c r="C17" i="1"/>
  <c r="J2" i="16"/>
  <c r="F2" i="16"/>
  <c r="H2" i="16" s="1"/>
  <c r="H1" i="16"/>
  <c r="B16" i="1"/>
  <c r="J2" i="15"/>
  <c r="F2" i="15"/>
  <c r="H2" i="15" s="1"/>
  <c r="H1" i="15"/>
  <c r="J2" i="14"/>
  <c r="F2" i="14"/>
  <c r="H2" i="14" s="1"/>
  <c r="C16" i="1" s="1"/>
  <c r="D16" i="1" s="1"/>
  <c r="H1" i="14"/>
  <c r="J2" i="13"/>
  <c r="F2" i="13"/>
  <c r="H2" i="13" s="1"/>
  <c r="H1" i="13"/>
  <c r="B15" i="1" s="1"/>
  <c r="C14" i="1"/>
  <c r="B14" i="1"/>
  <c r="C13" i="1"/>
  <c r="B13" i="1"/>
  <c r="D13" i="1" s="1"/>
  <c r="C12" i="1"/>
  <c r="B12" i="1"/>
  <c r="D12" i="1" s="1"/>
  <c r="B10" i="1"/>
  <c r="D10" i="1" s="1"/>
  <c r="C10" i="1"/>
  <c r="B11" i="1"/>
  <c r="D11" i="1" s="1"/>
  <c r="C11" i="1"/>
  <c r="D14" i="1"/>
  <c r="J2" i="12"/>
  <c r="F2" i="12"/>
  <c r="H2" i="12" s="1"/>
  <c r="H1" i="12"/>
  <c r="J2" i="11"/>
  <c r="F2" i="11"/>
  <c r="H2" i="11" s="1"/>
  <c r="H1" i="11"/>
  <c r="J2" i="10"/>
  <c r="F2" i="10"/>
  <c r="H2" i="10" s="1"/>
  <c r="H1" i="10"/>
  <c r="J2" i="9"/>
  <c r="F2" i="9"/>
  <c r="H2" i="9" s="1"/>
  <c r="C9" i="1" s="1"/>
  <c r="H1" i="9"/>
  <c r="B9" i="1" s="1"/>
  <c r="J2" i="8"/>
  <c r="F2" i="8"/>
  <c r="H2" i="8" s="1"/>
  <c r="C8" i="1" s="1"/>
  <c r="H1" i="8"/>
  <c r="B8" i="1" s="1"/>
  <c r="J2" i="7"/>
  <c r="F2" i="7"/>
  <c r="H2" i="7" s="1"/>
  <c r="C7" i="1" s="1"/>
  <c r="H1" i="7"/>
  <c r="B7" i="1" s="1"/>
  <c r="B6" i="1"/>
  <c r="J2" i="6"/>
  <c r="F2" i="6"/>
  <c r="H2" i="6" s="1"/>
  <c r="C6" i="1" s="1"/>
  <c r="D6" i="1" s="1"/>
  <c r="H1" i="6"/>
  <c r="B4" i="1"/>
  <c r="J2" i="5"/>
  <c r="F2" i="5"/>
  <c r="H2" i="5" s="1"/>
  <c r="C5" i="1" s="1"/>
  <c r="H1" i="5"/>
  <c r="B5" i="1" s="1"/>
  <c r="L2" i="4"/>
  <c r="H2" i="4"/>
  <c r="J2" i="4" s="1"/>
  <c r="C4" i="1" s="1"/>
  <c r="J1" i="4"/>
  <c r="C3" i="1"/>
  <c r="B3" i="1"/>
  <c r="D3" i="1"/>
  <c r="J2" i="3"/>
  <c r="F2" i="3"/>
  <c r="H2" i="3" s="1"/>
  <c r="H1" i="3"/>
  <c r="F2" i="2"/>
  <c r="H2" i="2" s="1"/>
  <c r="C2" i="1" s="1"/>
  <c r="J2" i="2"/>
  <c r="H1" i="2"/>
  <c r="B2" i="1" s="1"/>
  <c r="D17" i="1" l="1"/>
  <c r="C15" i="1"/>
  <c r="D8" i="1"/>
  <c r="D9" i="1"/>
  <c r="D7" i="1"/>
  <c r="D5" i="1"/>
  <c r="D4" i="1"/>
  <c r="B24" i="1"/>
  <c r="D2" i="1"/>
  <c r="D15" i="1" l="1"/>
  <c r="D24" i="1" s="1"/>
  <c r="C24" i="1"/>
</calcChain>
</file>

<file path=xl/sharedStrings.xml><?xml version="1.0" encoding="utf-8"?>
<sst xmlns="http://schemas.openxmlformats.org/spreadsheetml/2006/main" count="754" uniqueCount="256">
  <si>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</si>
  <si>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</si>
  <si>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</si>
  <si>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</si>
  <si>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</si>
  <si>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</si>
  <si>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</si>
  <si>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</si>
  <si>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</si>
  <si>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</si>
  <si>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</si>
  <si>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</si>
  <si>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</si>
  <si>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</si>
  <si>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</si>
  <si>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</si>
  <si>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</si>
  <si>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</si>
  <si>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</si>
  <si>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</si>
  <si>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</si>
  <si>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</si>
  <si>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</si>
  <si>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</si>
  <si>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</si>
  <si>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</si>
  <si>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</si>
  <si>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</si>
  <si>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</si>
  <si>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</si>
  <si>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</si>
  <si>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</si>
  <si>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</si>
  <si>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</si>
  <si>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</si>
  <si>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</si>
  <si>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</si>
  <si>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</si>
  <si>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</si>
  <si>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</si>
  <si>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</si>
  <si>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</si>
  <si>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</si>
  <si>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</si>
  <si>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</si>
  <si>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</si>
  <si>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</si>
  <si>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</si>
  <si>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</si>
  <si>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</si>
  <si>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</si>
  <si>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</si>
  <si>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</si>
  <si>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</si>
  <si>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</si>
  <si>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</si>
  <si>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</si>
  <si>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</si>
  <si>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</si>
  <si>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</si>
  <si>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</si>
  <si>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</si>
  <si>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</si>
  <si>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</si>
  <si>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</si>
  <si>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</si>
  <si>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</si>
  <si>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</si>
  <si>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</si>
  <si>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</si>
  <si>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</si>
  <si>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</si>
  <si>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</si>
  <si>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</si>
  <si>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</si>
  <si>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</si>
  <si>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</si>
  <si>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</si>
  <si>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</si>
  <si>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</si>
  <si>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</si>
  <si>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</si>
  <si>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</si>
  <si>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</si>
  <si>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</si>
  <si>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</si>
  <si>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</si>
  <si>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</si>
  <si>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</si>
  <si>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</si>
  <si>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</si>
  <si>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</si>
  <si>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</si>
  <si>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</si>
  <si>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</si>
  <si>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</si>
  <si>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</si>
  <si>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</si>
  <si>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</si>
  <si>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</si>
  <si>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</si>
  <si>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</si>
  <si>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</si>
  <si>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</si>
  <si>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</si>
  <si>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</si>
  <si>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</si>
  <si>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</si>
  <si>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</si>
  <si>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</si>
  <si>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</si>
  <si>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</si>
  <si>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</si>
  <si>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</si>
  <si>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</si>
  <si>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</si>
  <si>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</si>
  <si>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</si>
  <si>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</si>
  <si>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</si>
  <si>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</si>
  <si>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</si>
  <si>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</si>
  <si>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</si>
  <si>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</si>
  <si>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</si>
  <si>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</si>
  <si>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</si>
  <si>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</si>
  <si>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</si>
  <si>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</si>
  <si>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</si>
  <si>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</si>
  <si>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</si>
  <si>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</si>
  <si>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</si>
  <si>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</si>
  <si>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</si>
  <si>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</si>
  <si>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</si>
  <si>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</si>
  <si>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</si>
  <si>
    <t>0683ICS0020</t>
  </si>
  <si>
    <t>HMMU433444 /9</t>
  </si>
  <si>
    <t>26H0108168</t>
  </si>
  <si>
    <t>SEGU585325 /8</t>
  </si>
  <si>
    <t>26H0108169</t>
  </si>
  <si>
    <t>OPT</t>
  </si>
  <si>
    <t>MEDU760577 /9</t>
  </si>
  <si>
    <t>MA526075</t>
  </si>
  <si>
    <t>MSDU787252 /0</t>
  </si>
  <si>
    <t>MA526074</t>
  </si>
  <si>
    <t>00017-511-31</t>
  </si>
  <si>
    <t>BMOU213576 /9</t>
  </si>
  <si>
    <t>2134430</t>
  </si>
  <si>
    <t>CXSU114000 /6</t>
  </si>
  <si>
    <t>0</t>
  </si>
  <si>
    <t>FLAT</t>
  </si>
  <si>
    <t>TCLU600602 /5</t>
  </si>
  <si>
    <t>00183-524-31</t>
  </si>
  <si>
    <t>00426-510-31</t>
  </si>
  <si>
    <t>APZU213305 /9</t>
  </si>
  <si>
    <t>CMAU194208 /0</t>
  </si>
  <si>
    <t>TEMU387154 /1</t>
  </si>
  <si>
    <t>MRKU714747 /1</t>
  </si>
  <si>
    <t>MRKU776760 /0</t>
  </si>
  <si>
    <t>MRKU862304 /2</t>
  </si>
  <si>
    <t>MSKU561006 /4</t>
  </si>
  <si>
    <t>SUDU747145 /0</t>
  </si>
  <si>
    <t>TCKU302077 /9</t>
  </si>
  <si>
    <t>TEMU342001 /8</t>
  </si>
  <si>
    <t>TCNU628382 /9</t>
  </si>
  <si>
    <t>M9768365</t>
  </si>
  <si>
    <t>MSNU975917 /4</t>
  </si>
  <si>
    <t>5055347</t>
  </si>
  <si>
    <t>MSDU612394 /9</t>
  </si>
  <si>
    <t>2139541</t>
  </si>
  <si>
    <t>XXXU459750 /8</t>
  </si>
  <si>
    <t>LB0268891</t>
  </si>
  <si>
    <t>0246ICS0005</t>
  </si>
  <si>
    <t>0165ICS0071</t>
  </si>
  <si>
    <t>0165ICS0016</t>
  </si>
  <si>
    <t>0038ICS0013</t>
  </si>
  <si>
    <t>HUISSIER +RECETTE+DOUANE</t>
  </si>
  <si>
    <t>CAIU818783 /6</t>
  </si>
  <si>
    <t>CAIU819501 /9</t>
  </si>
  <si>
    <t>CAXU959721 /0</t>
  </si>
  <si>
    <t>CRSU928503 /0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</si>
  <si>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</si>
  <si>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</si>
  <si>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</si>
  <si>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</si>
  <si>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</si>
  <si>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</si>
  <si>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</si>
  <si>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</si>
  <si>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</si>
  <si>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TOLU878955 /6</t>
  </si>
  <si>
    <t>GESU575475 /4</t>
  </si>
  <si>
    <t>TEXU895077 /6</t>
  </si>
  <si>
    <t>00539-508-31</t>
  </si>
  <si>
    <t>00704-525-16</t>
  </si>
  <si>
    <t>000355-524-16</t>
  </si>
  <si>
    <t>500058-519-16</t>
  </si>
  <si>
    <t>500132-519-16</t>
  </si>
  <si>
    <t>500114-519-16</t>
  </si>
  <si>
    <t>000710-525-16</t>
  </si>
  <si>
    <t>000679-525-16</t>
  </si>
  <si>
    <t>00692-509-31</t>
  </si>
  <si>
    <t>00358-510-31</t>
  </si>
  <si>
    <t>00112-510-31</t>
  </si>
  <si>
    <t>ECMU266869 /7</t>
  </si>
  <si>
    <t>00164-513-31</t>
  </si>
  <si>
    <t>000704-525-16</t>
  </si>
  <si>
    <t>000354-524-16</t>
  </si>
  <si>
    <t>000677-525-16</t>
  </si>
  <si>
    <t>500114 et 00355-524</t>
  </si>
  <si>
    <t>500054 et 00679-525</t>
  </si>
  <si>
    <t>ARKU855648 /7</t>
  </si>
  <si>
    <t>B1779962</t>
  </si>
  <si>
    <t>MSBU721115 /8</t>
  </si>
  <si>
    <t>MSMU504541 /0</t>
  </si>
  <si>
    <t>TCLU786835 /9</t>
  </si>
  <si>
    <t>00533-508-31</t>
  </si>
  <si>
    <t>018432-511-28</t>
  </si>
  <si>
    <t>MBSU281340 /6</t>
  </si>
  <si>
    <t>LB0263265</t>
  </si>
  <si>
    <t>00018-506-31</t>
  </si>
  <si>
    <t>00099-509-31</t>
  </si>
  <si>
    <t>00328-507-31</t>
  </si>
  <si>
    <t>ARKU241132 /0</t>
  </si>
  <si>
    <t>TRHU307416 /1</t>
  </si>
  <si>
    <t>MSNU191236 /9</t>
  </si>
  <si>
    <t>SK360769</t>
  </si>
  <si>
    <t>B1758829</t>
  </si>
  <si>
    <t>B1758825</t>
  </si>
  <si>
    <t>FSCU873148 /5</t>
  </si>
  <si>
    <t>HASU512425 /3</t>
  </si>
  <si>
    <t>CMAU789256 /2</t>
  </si>
  <si>
    <t>MRKU753756 /7</t>
  </si>
  <si>
    <t>ML-IN2987561</t>
  </si>
  <si>
    <t>MRKU772089 /7</t>
  </si>
  <si>
    <t>ML-IN2987565</t>
  </si>
  <si>
    <t>MRKU905919 /5</t>
  </si>
  <si>
    <t>ML-IN2987562</t>
  </si>
  <si>
    <t>MRSU023326 /7</t>
  </si>
  <si>
    <t>ML-IN2987566</t>
  </si>
  <si>
    <t>MSKU704341 /6</t>
  </si>
  <si>
    <t>ML-IN2987564</t>
  </si>
  <si>
    <t>MSKU730475 /7</t>
  </si>
  <si>
    <t>ML-IN2987563</t>
  </si>
  <si>
    <t>00117-523-31</t>
  </si>
  <si>
    <t>500017-525-31</t>
  </si>
  <si>
    <t>00139-525-31</t>
  </si>
  <si>
    <t>000164-513-31</t>
  </si>
  <si>
    <t>HLXU629565 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</si>
</sst>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4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  <font>
      <sz val="11"/>
      <color rgb="FF000000"/>
      <name val="Calibri"/>
    </font>
    <font>
      <sz val="10"/>
      <color rgb="FF000000"/>
      <name val="Segoe UI"/>
    </font>
    <font>
      <sz val="10"/>
      <name val="Arial"/>
      <family val="2"/>
    </font>
    <font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8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65" fontId="13" fillId="10" borderId="5" xfId="0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12" fillId="0" borderId="5" xfId="1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vertical="center" textRotation="90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23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vertical="center" wrapText="1"/>
    </xf>
  </cellXfs>
  <cellStyles count="2">
    <cellStyle name="Normal" xfId="0" builtinId="0"/>
    <cellStyle name="Normal 2" xfId="1" xr:uid="{916521BF-F3AB-4A1E-83AD-7A0FE5592B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9EF49A0-47E2-49A9-B570-BD1329178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381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5D4AF65-81E3-466F-8159-3A9F12D30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247E0F-C4DB-4AFF-8AD8-F0B049EC9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4A7479D-1B26-4037-BF41-BAD2AE3ED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C0DDB3A-BA0A-41B7-92C4-226B3AF87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9614840-93B2-4D83-AAAC-256EAF6D6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152400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BB8086D3-646C-4804-ADCA-9E3028476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333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BC85AFE-D9D1-4696-BD71-50DB4C115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5244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topLeftCell="A17" workbookViewId="0">
      <selection activeCell="C20" sqref="C20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7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'02-09'!H1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'03-09'!J1</f>
        <v>2</v>
      </c>
      <c r="C4" s="3">
        <f>'03-09'!J2</f>
        <v>3</v>
      </c>
      <c r="D4" s="4">
        <f t="shared" si="0"/>
        <v>5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46273</v>
      </c>
      <c r="B7" s="3">
        <f>'08-09'!H1</f>
        <v>0</v>
      </c>
      <c r="C7" s="3">
        <f>'08-09'!H2</f>
        <v>0</v>
      </c>
      <c r="D7" s="4">
        <f t="shared" si="0"/>
        <v>0</v>
      </c>
      <c r="F7" s="3"/>
    </row>
    <row r="8" spans="1:6" ht="16.5" x14ac:dyDescent="0.25">
      <c r="A8" s="2">
        <v>46274</v>
      </c>
      <c r="B8" s="3">
        <f>'09-09'!H1</f>
        <v>11</v>
      </c>
      <c r="C8" s="3">
        <f>'09-09'!H2</f>
        <v>0</v>
      </c>
      <c r="D8" s="4">
        <f t="shared" ref="D8:D14" si="1">SUM(B8:C8)</f>
        <v>11</v>
      </c>
      <c r="F8" s="3"/>
    </row>
    <row r="9" spans="1:6" ht="16.5" x14ac:dyDescent="0.25">
      <c r="A9" s="2">
        <v>46275</v>
      </c>
      <c r="B9" s="3">
        <f>'10-09'!H1</f>
        <v>7</v>
      </c>
      <c r="C9" s="3">
        <f>'10-09'!H2</f>
        <v>1</v>
      </c>
      <c r="D9" s="4">
        <f t="shared" si="1"/>
        <v>8</v>
      </c>
      <c r="F9" s="3"/>
    </row>
    <row r="10" spans="1:6" ht="16.5" x14ac:dyDescent="0.25">
      <c r="A10" s="2">
        <v>46274</v>
      </c>
      <c r="B10" s="3">
        <f>'10-09'!H2</f>
        <v>1</v>
      </c>
      <c r="C10" s="3">
        <f>'10-09'!H3</f>
        <v>0</v>
      </c>
      <c r="D10" s="4">
        <f t="shared" si="1"/>
        <v>1</v>
      </c>
      <c r="F10" s="3"/>
    </row>
    <row r="11" spans="1:6" ht="16.5" x14ac:dyDescent="0.25">
      <c r="A11" s="2">
        <v>46275</v>
      </c>
      <c r="B11" s="3">
        <f>'10-09'!H3</f>
        <v>0</v>
      </c>
      <c r="C11" s="3">
        <f>'10-09'!H4</f>
        <v>0</v>
      </c>
      <c r="D11" s="4">
        <f t="shared" si="1"/>
        <v>0</v>
      </c>
      <c r="F11" s="3"/>
    </row>
    <row r="12" spans="1:6" ht="16.5" x14ac:dyDescent="0.25">
      <c r="A12" s="2">
        <v>46278</v>
      </c>
      <c r="B12" s="3">
        <f>'13-09'!H1</f>
        <v>0</v>
      </c>
      <c r="C12" s="3">
        <f>'13-09'!H2</f>
        <v>2</v>
      </c>
      <c r="D12" s="4">
        <f t="shared" si="1"/>
        <v>2</v>
      </c>
      <c r="F12" s="3"/>
    </row>
    <row r="13" spans="1:6" ht="16.5" x14ac:dyDescent="0.25">
      <c r="A13" s="2">
        <v>46279</v>
      </c>
      <c r="B13" s="3">
        <f>'14-09'!H1</f>
        <v>1</v>
      </c>
      <c r="C13" s="3">
        <f>'14-09'!H2</f>
        <v>0</v>
      </c>
      <c r="D13" s="4">
        <f t="shared" si="1"/>
        <v>1</v>
      </c>
      <c r="F13" s="3"/>
    </row>
    <row r="14" spans="1:6" ht="16.5" x14ac:dyDescent="0.25">
      <c r="A14" s="2">
        <v>46280</v>
      </c>
      <c r="B14" s="3">
        <f>'15-09'!H1</f>
        <v>4</v>
      </c>
      <c r="C14" s="3">
        <f>'10-09'!H2</f>
        <v>1</v>
      </c>
      <c r="D14" s="4">
        <f t="shared" si="1"/>
        <v>5</v>
      </c>
      <c r="F14" s="3"/>
    </row>
    <row r="15" spans="1:6" ht="16.5" x14ac:dyDescent="0.25">
      <c r="A15" s="2">
        <v>46281</v>
      </c>
      <c r="B15" s="3">
        <f>'16-09'!H1</f>
        <v>0</v>
      </c>
      <c r="C15" s="3">
        <f>'16-09'!H2</f>
        <v>12</v>
      </c>
      <c r="D15" s="4">
        <f t="shared" ref="D15" si="2">SUM(B15:C15)</f>
        <v>12</v>
      </c>
      <c r="F15" s="3"/>
    </row>
    <row r="16" spans="1:6" ht="16.5" x14ac:dyDescent="0.25">
      <c r="A16" s="2">
        <v>46282</v>
      </c>
      <c r="B16" s="3">
        <f>'17-09'!H1</f>
        <v>0</v>
      </c>
      <c r="C16" s="3">
        <f>'17-09'!H2</f>
        <v>8</v>
      </c>
      <c r="D16" s="4">
        <f t="shared" ref="D16" si="3">SUM(B16:C16)</f>
        <v>8</v>
      </c>
      <c r="F16" s="3"/>
    </row>
    <row r="17" spans="1:6" ht="16.5" x14ac:dyDescent="0.25">
      <c r="A17" s="2">
        <v>46285</v>
      </c>
      <c r="B17" s="3">
        <f>'20-09'!H1</f>
        <v>0</v>
      </c>
      <c r="C17" s="3">
        <f>'20-09'!H2</f>
        <v>2</v>
      </c>
      <c r="D17" s="4">
        <f t="shared" ref="D17" si="4">SUM(B17:C17)</f>
        <v>2</v>
      </c>
      <c r="F17" s="3"/>
    </row>
    <row r="18" spans="1:6" ht="16.5" x14ac:dyDescent="0.25">
      <c r="A18" s="2">
        <v>46286</v>
      </c>
      <c r="B18" s="3">
        <f>'21-09'!H1</f>
        <v>0</v>
      </c>
      <c r="C18" s="3">
        <f>'21-09'!H2</f>
        <v>4</v>
      </c>
      <c r="D18" s="4">
        <f t="shared" ref="D18" si="5">SUM(B18:C18)</f>
        <v>4</v>
      </c>
      <c r="F18" s="3"/>
    </row>
    <row r="19" spans="1:6" ht="16.5" x14ac:dyDescent="0.25">
      <c r="A19" s="2">
        <v>46287</v>
      </c>
      <c r="B19" s="3">
        <f>'22-09'!H1</f>
        <v>0</v>
      </c>
      <c r="C19" s="3">
        <f>'22-09'!H2</f>
        <v>7</v>
      </c>
      <c r="D19" s="4">
        <f t="shared" ref="D19" si="6">SUM(B19:C19)</f>
        <v>7</v>
      </c>
      <c r="F19" s="3"/>
    </row>
    <row r="20" spans="1:6" ht="16.5" x14ac:dyDescent="0.25">
      <c r="A20" s="2">
        <v>46288</v>
      </c>
      <c r="B20" s="3"/>
      <c r="C20" s="3"/>
      <c r="D20" s="4"/>
      <c r="F20" s="3"/>
    </row>
    <row r="21" spans="1:6" ht="16.5" x14ac:dyDescent="0.25">
      <c r="A21" s="2">
        <v>46289</v>
      </c>
      <c r="B21" s="3"/>
      <c r="C21" s="3"/>
      <c r="D21" s="4"/>
      <c r="F21" s="3"/>
    </row>
    <row r="22" spans="1:6" ht="16.5" x14ac:dyDescent="0.25">
      <c r="A22" s="2">
        <v>46292</v>
      </c>
      <c r="B22" s="3"/>
      <c r="C22" s="3"/>
      <c r="D22" s="4"/>
      <c r="F22" s="3"/>
    </row>
    <row r="23" spans="1:6" ht="16.5" x14ac:dyDescent="0.25">
      <c r="A23" s="2">
        <v>46293</v>
      </c>
      <c r="B23" s="3"/>
      <c r="C23" s="3"/>
      <c r="D23" s="4"/>
      <c r="F23" s="3"/>
    </row>
    <row r="24" spans="1:6" ht="16.5" x14ac:dyDescent="0.25">
      <c r="A24" s="1" t="s">
        <v>5</v>
      </c>
      <c r="B24" s="5">
        <f>SUM(B2:B22)</f>
        <v>31</v>
      </c>
      <c r="C24" s="5">
        <f>SUM(C2:C22)</f>
        <v>52</v>
      </c>
      <c r="D24" s="5">
        <f>SUM(D2:D22)</f>
        <v>83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D9" sqref="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topLeftCell="A3" workbookViewId="0">
      <selection activeCell="D8" sqref="D8:F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2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46268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2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2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2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2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2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2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2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workbookViewId="0">
      <selection activeCell="C35" sqref="C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42"/>
  <sheetViews>
    <sheetView workbookViewId="0">
      <selection activeCell="D11" sqref="D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COUNTIF(C8:C24,"&lt;&gt;")</f>
        <v>11</v>
      </c>
      <c r="I1" s="9" t="s">
        <v>6</v>
      </c>
    </row>
    <row r="2" spans="1:10" s="7" customFormat="1" ht="15.75" x14ac:dyDescent="0.25">
      <c r="A2" s="6"/>
      <c r="F2" s="8">
        <f>COUNTIFS(B29:B30,"&lt;&gt;",C29:C30,"VH")</f>
        <v>0</v>
      </c>
      <c r="G2" s="9" t="s">
        <v>7</v>
      </c>
      <c r="H2" s="8">
        <f>COUNTA(C29:C30)-F2</f>
        <v>0</v>
      </c>
      <c r="I2" s="9" t="s">
        <v>6</v>
      </c>
      <c r="J2" s="10">
        <f>COUNTIF(E29:E30,"VIDE")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106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64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81" t="s">
        <v>116</v>
      </c>
      <c r="C15" s="64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82"/>
      <c r="C16" s="64"/>
      <c r="D16" s="24" t="s">
        <v>119</v>
      </c>
      <c r="E16" s="18" t="s">
        <v>120</v>
      </c>
      <c r="F16" s="18" t="s">
        <v>16</v>
      </c>
      <c r="G16" s="61"/>
    </row>
    <row r="17" spans="1:13" ht="15.75" x14ac:dyDescent="0.25">
      <c r="A17" s="17">
        <v>10</v>
      </c>
      <c r="B17" s="82"/>
      <c r="C17" s="64"/>
      <c r="D17" s="18" t="s">
        <v>121</v>
      </c>
      <c r="E17" s="18" t="s">
        <v>122</v>
      </c>
      <c r="F17" s="18" t="s">
        <v>16</v>
      </c>
      <c r="G17" s="61"/>
    </row>
    <row r="18" spans="1:13" ht="15.75" x14ac:dyDescent="0.25">
      <c r="A18" s="17">
        <v>11</v>
      </c>
      <c r="B18" s="82"/>
      <c r="C18" s="64"/>
      <c r="D18" s="18" t="s">
        <v>123</v>
      </c>
      <c r="E18" s="18" t="s">
        <v>124</v>
      </c>
      <c r="F18" s="18" t="s">
        <v>16</v>
      </c>
      <c r="G18" s="61"/>
    </row>
    <row r="19" spans="1:13" ht="15.75" x14ac:dyDescent="0.25">
      <c r="A19" s="17">
        <v>12</v>
      </c>
      <c r="B19" s="82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13" ht="15.75" x14ac:dyDescent="0.25">
      <c r="A20" s="17">
        <v>13</v>
      </c>
      <c r="B20" s="83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13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13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13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13" ht="15.75" x14ac:dyDescent="0.25">
      <c r="A24" s="17">
        <v>17</v>
      </c>
      <c r="B24" s="60" t="s">
        <v>138</v>
      </c>
      <c r="C24" s="64"/>
      <c r="D24" s="24" t="s">
        <v>139</v>
      </c>
      <c r="E24" s="24" t="s">
        <v>140</v>
      </c>
      <c r="F24" s="18">
        <v>20</v>
      </c>
      <c r="G24" s="61"/>
    </row>
    <row r="25" spans="1:13" ht="15.75" x14ac:dyDescent="0.25">
      <c r="A25" s="6"/>
      <c r="B25" s="20"/>
      <c r="C25" s="7"/>
      <c r="D25" s="26"/>
      <c r="E25" s="26"/>
      <c r="F25" s="26"/>
      <c r="G25" s="7"/>
    </row>
    <row r="26" spans="1:13" ht="15.75" x14ac:dyDescent="0.25">
      <c r="A26" s="6"/>
      <c r="B26" s="11" t="s">
        <v>20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21</v>
      </c>
      <c r="C28" s="15" t="s">
        <v>22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5">
        <v>1</v>
      </c>
      <c r="B29" s="19"/>
      <c r="C29" s="27"/>
      <c r="D29" s="28"/>
      <c r="E29" s="29"/>
      <c r="F29" s="25"/>
    </row>
    <row r="30" spans="1:13" ht="15.75" customHeight="1" x14ac:dyDescent="0.25">
      <c r="A30" s="25">
        <v>2</v>
      </c>
      <c r="B30" s="19"/>
      <c r="C30" s="29"/>
      <c r="D30" s="18"/>
      <c r="E30" s="58"/>
      <c r="F30" s="25"/>
      <c r="I30" s="31"/>
      <c r="J30" s="31"/>
      <c r="K30" s="31"/>
      <c r="L30" s="31"/>
      <c r="M30" s="31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2">
    <mergeCell ref="A3:H3"/>
    <mergeCell ref="B15:B20"/>
  </mergeCells>
  <dataValidations count="2">
    <dataValidation type="list" allowBlank="1" showInputMessage="1" showErrorMessage="1" sqref="F41 F25" xr:uid="{C60EBE37-60DD-4590-A805-1B082306F56F}">
      <formula1>"20,40,45,50"</formula1>
    </dataValidation>
    <dataValidation type="list" allowBlank="1" showInputMessage="1" showErrorMessage="1" sqref="F8:F24" xr:uid="{38E0B31F-E63B-4BBF-A034-5D91A0C57AE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7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1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x14ac:dyDescent="0.25">
      <c r="A8" s="17">
        <v>1</v>
      </c>
      <c r="B8" s="53" t="s">
        <v>138</v>
      </c>
      <c r="C8" s="19">
        <v>10092026</v>
      </c>
      <c r="D8" s="24" t="s">
        <v>139</v>
      </c>
      <c r="E8" s="24" t="s">
        <v>140</v>
      </c>
      <c r="F8" s="18">
        <v>20</v>
      </c>
      <c r="G8" s="62" t="s">
        <v>147</v>
      </c>
    </row>
    <row r="9" spans="1:10" ht="15.75" x14ac:dyDescent="0.25">
      <c r="A9" s="17">
        <v>2</v>
      </c>
      <c r="B9" s="84" t="s">
        <v>142</v>
      </c>
      <c r="C9" s="19">
        <v>10092026</v>
      </c>
      <c r="D9" s="18" t="s">
        <v>143</v>
      </c>
      <c r="E9" s="23" t="s">
        <v>144</v>
      </c>
      <c r="F9" s="18" t="s">
        <v>16</v>
      </c>
      <c r="G9" s="61"/>
    </row>
    <row r="10" spans="1:10" ht="15.75" x14ac:dyDescent="0.25">
      <c r="A10" s="17">
        <v>3</v>
      </c>
      <c r="B10" s="84"/>
      <c r="C10" s="19">
        <v>10092026</v>
      </c>
      <c r="D10" s="18" t="s">
        <v>145</v>
      </c>
      <c r="E10" s="18" t="s">
        <v>146</v>
      </c>
      <c r="F10" s="18" t="s">
        <v>16</v>
      </c>
      <c r="G10" s="61"/>
    </row>
    <row r="11" spans="1:10" x14ac:dyDescent="0.25">
      <c r="A11" s="17">
        <v>4</v>
      </c>
      <c r="B11" s="84" t="s">
        <v>116</v>
      </c>
      <c r="C11" s="19">
        <v>10092026</v>
      </c>
      <c r="D11" s="18" t="s">
        <v>117</v>
      </c>
      <c r="E11" s="18" t="s">
        <v>118</v>
      </c>
      <c r="F11" s="18">
        <v>20</v>
      </c>
      <c r="G11" s="62" t="s">
        <v>147</v>
      </c>
    </row>
    <row r="12" spans="1:10" x14ac:dyDescent="0.25">
      <c r="A12" s="17">
        <v>5</v>
      </c>
      <c r="B12" s="84"/>
      <c r="C12" s="19">
        <v>10092026</v>
      </c>
      <c r="D12" s="18" t="s">
        <v>119</v>
      </c>
      <c r="E12" s="18" t="s">
        <v>120</v>
      </c>
      <c r="F12" s="18" t="s">
        <v>16</v>
      </c>
      <c r="G12" s="62" t="s">
        <v>147</v>
      </c>
    </row>
    <row r="13" spans="1:10" x14ac:dyDescent="0.25">
      <c r="A13" s="17">
        <v>6</v>
      </c>
      <c r="B13" s="84"/>
      <c r="C13" s="19">
        <v>10092026</v>
      </c>
      <c r="D13" s="18" t="s">
        <v>121</v>
      </c>
      <c r="E13" s="18" t="s">
        <v>122</v>
      </c>
      <c r="F13" s="18" t="s">
        <v>16</v>
      </c>
      <c r="G13" s="62" t="s">
        <v>147</v>
      </c>
    </row>
    <row r="14" spans="1:10" x14ac:dyDescent="0.25">
      <c r="A14" s="17">
        <v>7</v>
      </c>
      <c r="B14" s="84"/>
      <c r="C14" s="19">
        <v>10092026</v>
      </c>
      <c r="D14" s="24" t="s">
        <v>123</v>
      </c>
      <c r="E14" s="24" t="s">
        <v>124</v>
      </c>
      <c r="F14" s="18" t="s">
        <v>16</v>
      </c>
      <c r="G14" s="62" t="s">
        <v>147</v>
      </c>
    </row>
    <row r="15" spans="1:10" x14ac:dyDescent="0.25">
      <c r="A15" s="17"/>
      <c r="B15" s="53"/>
      <c r="C15" s="19"/>
      <c r="D15" s="24"/>
      <c r="E15" s="24"/>
      <c r="F15" s="18"/>
      <c r="G15" s="62"/>
    </row>
    <row r="16" spans="1:10" x14ac:dyDescent="0.25">
      <c r="A16" s="17"/>
      <c r="B16" s="53"/>
      <c r="C16" s="19"/>
      <c r="D16" s="24"/>
      <c r="E16" s="24"/>
      <c r="F16" s="18"/>
      <c r="G16" s="62"/>
    </row>
    <row r="17" spans="1:13" ht="15.75" x14ac:dyDescent="0.25">
      <c r="A17" s="17">
        <v>8</v>
      </c>
      <c r="B17" s="42"/>
      <c r="C17" s="19"/>
      <c r="D17" s="24"/>
      <c r="E17" s="23"/>
      <c r="F17" s="18"/>
      <c r="G17" s="61"/>
    </row>
    <row r="18" spans="1:13" ht="15.75" x14ac:dyDescent="0.25">
      <c r="A18" s="6"/>
      <c r="B18" s="20"/>
      <c r="C18" s="7"/>
      <c r="D18" s="26"/>
      <c r="E18" s="26"/>
      <c r="F18" s="26"/>
      <c r="G18" s="7"/>
    </row>
    <row r="19" spans="1:13" ht="15.75" x14ac:dyDescent="0.25">
      <c r="A19" s="6"/>
      <c r="B19" s="11" t="s">
        <v>20</v>
      </c>
    </row>
    <row r="20" spans="1:13" ht="15.75" thickBot="1" x14ac:dyDescent="0.3">
      <c r="A20" s="6"/>
      <c r="B20" s="13"/>
      <c r="C20" s="7"/>
      <c r="D20" s="7"/>
      <c r="E20" s="7"/>
      <c r="F20" s="7"/>
    </row>
    <row r="21" spans="1:13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3" x14ac:dyDescent="0.25">
      <c r="A22" s="25">
        <v>1</v>
      </c>
      <c r="B22" s="19">
        <v>10092026</v>
      </c>
      <c r="C22" s="27" t="s">
        <v>152</v>
      </c>
      <c r="D22" s="34" t="s">
        <v>94</v>
      </c>
      <c r="E22" s="29">
        <v>3577</v>
      </c>
      <c r="F22" s="25">
        <v>40</v>
      </c>
    </row>
    <row r="23" spans="1:13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3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3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3" x14ac:dyDescent="0.25">
      <c r="A29" s="25">
        <v>8</v>
      </c>
      <c r="B29" s="19"/>
      <c r="C29" s="27"/>
      <c r="D29" s="34"/>
      <c r="E29" s="30"/>
      <c r="F29" s="25"/>
    </row>
    <row r="30" spans="1:13" x14ac:dyDescent="0.25">
      <c r="A30" s="25">
        <v>9</v>
      </c>
      <c r="B30" s="19"/>
      <c r="C30" s="27"/>
      <c r="D30" s="28"/>
      <c r="E30" s="30"/>
      <c r="F30" s="25"/>
    </row>
    <row r="31" spans="1:13" x14ac:dyDescent="0.25">
      <c r="A31" s="25">
        <v>10</v>
      </c>
      <c r="B31" s="19"/>
      <c r="C31" s="33"/>
      <c r="D31" s="34"/>
      <c r="E31" s="30"/>
      <c r="F31" s="25"/>
    </row>
    <row r="32" spans="1:13" ht="15.75" customHeight="1" x14ac:dyDescent="0.25">
      <c r="A32" s="25">
        <v>11</v>
      </c>
      <c r="B32" s="19"/>
      <c r="C32" s="33"/>
      <c r="D32" s="46"/>
      <c r="E32" s="30"/>
      <c r="F32" s="25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10092026</v>
      </c>
      <c r="C37" s="24" t="s">
        <v>148</v>
      </c>
      <c r="D37" s="24" t="s">
        <v>149</v>
      </c>
      <c r="E37" s="39">
        <v>3552</v>
      </c>
      <c r="F37" s="39">
        <v>40</v>
      </c>
    </row>
    <row r="38" spans="1:6" ht="15.75" customHeight="1" x14ac:dyDescent="0.25">
      <c r="A38" s="25">
        <v>2</v>
      </c>
      <c r="B38" s="19">
        <v>10092026</v>
      </c>
      <c r="C38" s="18" t="s">
        <v>150</v>
      </c>
      <c r="D38" s="18" t="s">
        <v>151</v>
      </c>
      <c r="E38" s="39">
        <v>3551</v>
      </c>
      <c r="F38" s="39">
        <v>40</v>
      </c>
    </row>
    <row r="39" spans="1:6" ht="15.75" customHeight="1" x14ac:dyDescent="0.25">
      <c r="A39" s="25">
        <v>3</v>
      </c>
      <c r="B39" s="19"/>
      <c r="C39" s="29"/>
      <c r="D39" s="29"/>
      <c r="E39" s="39"/>
      <c r="F39" s="39"/>
    </row>
    <row r="40" spans="1:6" ht="15.75" customHeight="1" x14ac:dyDescent="0.25">
      <c r="A40" s="25">
        <v>4</v>
      </c>
      <c r="B40" s="19"/>
      <c r="C40" s="29"/>
      <c r="D40" s="29"/>
      <c r="E40" s="39"/>
      <c r="F40" s="39"/>
    </row>
    <row r="41" spans="1:6" ht="15.75" customHeight="1" x14ac:dyDescent="0.25">
      <c r="A41" s="25">
        <v>5</v>
      </c>
      <c r="B41" s="19"/>
      <c r="C41" s="18"/>
      <c r="D41" s="18"/>
      <c r="E41" s="3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3">
    <mergeCell ref="A3:H3"/>
    <mergeCell ref="B9:B10"/>
    <mergeCell ref="B11:B14"/>
  </mergeCells>
  <dataValidations count="2">
    <dataValidation type="list" allowBlank="1" showInputMessage="1" showErrorMessage="1" sqref="F43 F18" xr:uid="{2C76199B-A1FF-4695-A4B3-E9AFCFD4BC11}">
      <formula1>"20,40,45,50"</formula1>
    </dataValidation>
    <dataValidation type="list" allowBlank="1" showInputMessage="1" showErrorMessage="1" sqref="F8:F17" xr:uid="{6AE38A2C-D536-43A6-874D-A17F73BC6B4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F5FD-19B1-4E48-8880-94629C3B00D2}">
  <dimension ref="A1:O44"/>
  <sheetViews>
    <sheetView workbookViewId="0">
      <selection activeCell="F37" activeCellId="2" sqref="C37:C39 E37:E39 F37: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7.710937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53"/>
      <c r="C8" s="19"/>
      <c r="D8" s="24"/>
      <c r="E8" s="24"/>
      <c r="F8" s="18"/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 t="s">
        <v>159</v>
      </c>
      <c r="D22" s="28" t="s">
        <v>54</v>
      </c>
      <c r="E22" s="29">
        <v>3575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 t="s">
        <v>160</v>
      </c>
      <c r="D23" s="28" t="s">
        <v>55</v>
      </c>
      <c r="E23" s="58">
        <v>3576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13092026</v>
      </c>
      <c r="C37" s="65" t="s">
        <v>153</v>
      </c>
      <c r="D37" s="65" t="s">
        <v>154</v>
      </c>
      <c r="E37" s="29">
        <v>3554</v>
      </c>
      <c r="F37" s="66">
        <v>20</v>
      </c>
    </row>
    <row r="38" spans="1:6" ht="15.75" customHeight="1" x14ac:dyDescent="0.25">
      <c r="A38" s="25">
        <v>2</v>
      </c>
      <c r="B38" s="19">
        <v>13092026</v>
      </c>
      <c r="C38" s="67" t="s">
        <v>155</v>
      </c>
      <c r="D38" s="66" t="s">
        <v>156</v>
      </c>
      <c r="E38" s="29">
        <v>0</v>
      </c>
      <c r="F38" s="66" t="s">
        <v>157</v>
      </c>
    </row>
    <row r="39" spans="1:6" ht="15.75" customHeight="1" x14ac:dyDescent="0.25">
      <c r="A39" s="25">
        <v>3</v>
      </c>
      <c r="B39" s="19">
        <v>13092026</v>
      </c>
      <c r="C39" s="66" t="s">
        <v>158</v>
      </c>
      <c r="D39" s="66" t="s">
        <v>156</v>
      </c>
      <c r="E39" s="29">
        <v>0</v>
      </c>
      <c r="F39" s="66" t="s">
        <v>157</v>
      </c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8:F17 F37:F39" xr:uid="{477DA8D9-A8D5-4C4E-8278-E67C3D88C529}">
      <formula1>"20,40,45,50"</formula1>
      <formula2>0</formula2>
    </dataValidation>
    <dataValidation type="list" allowBlank="1" showInputMessage="1" showErrorMessage="1" sqref="F43 F18" xr:uid="{5853D75A-A2FC-46E5-9849-55E8D1E71EC6}">
      <formula1>"20,40,45,50"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28C-535B-4DB4-808D-EEA54E82FBF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1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60" t="s">
        <v>111</v>
      </c>
      <c r="C8" s="19">
        <v>14092026</v>
      </c>
      <c r="D8" s="18" t="s">
        <v>112</v>
      </c>
      <c r="E8" s="18">
        <v>313157</v>
      </c>
      <c r="F8" s="18">
        <v>40</v>
      </c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/>
      <c r="D22" s="24" t="s">
        <v>148</v>
      </c>
      <c r="E22" s="29">
        <v>3552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/>
      <c r="D23" s="18" t="s">
        <v>150</v>
      </c>
      <c r="E23" s="58">
        <v>3551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/>
      <c r="C37" s="65"/>
      <c r="D37" s="65"/>
      <c r="E37" s="29"/>
      <c r="F37" s="66"/>
    </row>
    <row r="38" spans="1:6" ht="15.75" customHeight="1" x14ac:dyDescent="0.25">
      <c r="A38" s="25">
        <v>2</v>
      </c>
      <c r="B38" s="19"/>
      <c r="C38" s="67"/>
      <c r="D38" s="66"/>
      <c r="E38" s="29"/>
      <c r="F38" s="66"/>
    </row>
    <row r="39" spans="1:6" ht="15.75" customHeight="1" x14ac:dyDescent="0.25">
      <c r="A39" s="25">
        <v>3</v>
      </c>
      <c r="B39" s="19"/>
      <c r="C39" s="66"/>
      <c r="D39" s="66"/>
      <c r="E39" s="29"/>
      <c r="F39" s="66"/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43 F18" xr:uid="{0AFD59BA-583F-4C95-AC51-CAAF9556C872}">
      <formula1>"20,40,45,50"</formula1>
    </dataValidation>
    <dataValidation type="list" allowBlank="1" showInputMessage="1" showErrorMessage="1" sqref="F37:F39 F8:F17" xr:uid="{F399C93B-FD8F-4D0D-8BEC-B79CC3D65A0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54D21-9CAD-4065-B54D-D0B6ECCC7A19}">
  <dimension ref="A1:O46"/>
  <sheetViews>
    <sheetView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4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 t="s">
        <v>179</v>
      </c>
      <c r="C8" s="68">
        <v>15092026</v>
      </c>
      <c r="D8" s="24" t="s">
        <v>171</v>
      </c>
      <c r="E8" s="24" t="s">
        <v>172</v>
      </c>
      <c r="F8" s="18" t="s">
        <v>16</v>
      </c>
    </row>
    <row r="9" spans="1:10" x14ac:dyDescent="0.25">
      <c r="A9" s="17">
        <v>2</v>
      </c>
      <c r="B9" s="70" t="s">
        <v>180</v>
      </c>
      <c r="C9" s="68">
        <v>15092026</v>
      </c>
      <c r="D9" s="18" t="s">
        <v>173</v>
      </c>
      <c r="E9" s="18" t="s">
        <v>174</v>
      </c>
      <c r="F9" s="18" t="s">
        <v>16</v>
      </c>
    </row>
    <row r="10" spans="1:10" x14ac:dyDescent="0.25">
      <c r="A10" s="17">
        <v>3</v>
      </c>
      <c r="B10" s="70" t="s">
        <v>181</v>
      </c>
      <c r="C10" s="68">
        <v>15092026</v>
      </c>
      <c r="D10" s="18" t="s">
        <v>175</v>
      </c>
      <c r="E10" s="18" t="s">
        <v>176</v>
      </c>
      <c r="F10" s="18" t="s">
        <v>16</v>
      </c>
    </row>
    <row r="11" spans="1:10" x14ac:dyDescent="0.25">
      <c r="A11" s="17">
        <v>4</v>
      </c>
      <c r="B11" s="70" t="s">
        <v>182</v>
      </c>
      <c r="C11" s="68">
        <v>15092026</v>
      </c>
      <c r="D11" s="18" t="s">
        <v>177</v>
      </c>
      <c r="E11" s="18" t="s">
        <v>178</v>
      </c>
      <c r="F11" s="18" t="s">
        <v>70</v>
      </c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/>
      <c r="C22" s="27"/>
      <c r="D22" s="24"/>
      <c r="E22" s="29"/>
      <c r="F22" s="25"/>
    </row>
    <row r="23" spans="1:15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15092026</v>
      </c>
      <c r="C37" s="34" t="s">
        <v>161</v>
      </c>
      <c r="D37" s="46"/>
      <c r="E37" s="29">
        <v>3602</v>
      </c>
      <c r="F37" s="66">
        <v>20</v>
      </c>
      <c r="G37" s="85" t="s">
        <v>183</v>
      </c>
    </row>
    <row r="38" spans="1:7" ht="15.75" customHeight="1" x14ac:dyDescent="0.25">
      <c r="A38" s="25">
        <v>2</v>
      </c>
      <c r="B38" s="19">
        <v>15092026</v>
      </c>
      <c r="C38" s="34" t="s">
        <v>162</v>
      </c>
      <c r="D38" s="46"/>
      <c r="E38" s="29">
        <v>3603</v>
      </c>
      <c r="F38" s="66">
        <v>20</v>
      </c>
      <c r="G38" s="85"/>
    </row>
    <row r="39" spans="1:7" ht="15.75" customHeight="1" x14ac:dyDescent="0.25">
      <c r="A39" s="25">
        <v>3</v>
      </c>
      <c r="B39" s="19">
        <v>15092026</v>
      </c>
      <c r="C39" s="34" t="s">
        <v>163</v>
      </c>
      <c r="D39" s="46"/>
      <c r="E39" s="29">
        <v>3601</v>
      </c>
      <c r="F39" s="66">
        <v>20</v>
      </c>
      <c r="G39" s="85"/>
    </row>
    <row r="40" spans="1:7" ht="15.75" customHeight="1" x14ac:dyDescent="0.25">
      <c r="A40" s="25">
        <v>4</v>
      </c>
      <c r="B40" s="19">
        <v>15092026</v>
      </c>
      <c r="C40" s="34" t="s">
        <v>164</v>
      </c>
      <c r="D40" s="46"/>
      <c r="E40" s="29">
        <v>3609</v>
      </c>
      <c r="F40" s="39">
        <v>20</v>
      </c>
      <c r="G40" s="85"/>
    </row>
    <row r="41" spans="1:7" ht="15.75" customHeight="1" x14ac:dyDescent="0.25">
      <c r="A41" s="25">
        <v>5</v>
      </c>
      <c r="B41" s="19">
        <v>15092026</v>
      </c>
      <c r="C41" s="34" t="s">
        <v>165</v>
      </c>
      <c r="D41" s="29">
        <v>3606</v>
      </c>
      <c r="E41" s="29">
        <v>3553</v>
      </c>
      <c r="F41" s="29">
        <v>20</v>
      </c>
      <c r="G41" s="85"/>
    </row>
    <row r="42" spans="1:7" x14ac:dyDescent="0.25">
      <c r="A42" s="25">
        <v>6</v>
      </c>
      <c r="B42" s="19">
        <v>15092026</v>
      </c>
      <c r="C42" s="34" t="s">
        <v>166</v>
      </c>
      <c r="D42" s="46"/>
      <c r="E42" s="29">
        <v>3607</v>
      </c>
      <c r="F42" s="29">
        <v>20</v>
      </c>
      <c r="G42" s="85"/>
    </row>
    <row r="43" spans="1:7" x14ac:dyDescent="0.25">
      <c r="A43" s="25">
        <v>7</v>
      </c>
      <c r="B43" s="19">
        <v>15092026</v>
      </c>
      <c r="C43" s="34" t="s">
        <v>167</v>
      </c>
      <c r="D43" s="46"/>
      <c r="E43" s="29">
        <v>3605</v>
      </c>
      <c r="F43" s="29">
        <v>20</v>
      </c>
      <c r="G43" s="85"/>
    </row>
    <row r="44" spans="1:7" x14ac:dyDescent="0.25">
      <c r="A44" s="25">
        <v>8</v>
      </c>
      <c r="B44" s="19">
        <v>15092026</v>
      </c>
      <c r="C44" s="34" t="s">
        <v>168</v>
      </c>
      <c r="D44" s="46"/>
      <c r="E44" s="29">
        <v>3610</v>
      </c>
      <c r="F44" s="29">
        <v>20</v>
      </c>
      <c r="G44" s="85"/>
    </row>
    <row r="45" spans="1:7" x14ac:dyDescent="0.25">
      <c r="A45" s="25">
        <v>9</v>
      </c>
      <c r="B45" s="19">
        <v>15092026</v>
      </c>
      <c r="C45" s="34" t="s">
        <v>169</v>
      </c>
      <c r="D45" s="46"/>
      <c r="E45" s="29">
        <v>3608</v>
      </c>
      <c r="F45" s="29">
        <v>20</v>
      </c>
      <c r="G45" s="85"/>
    </row>
    <row r="46" spans="1:7" x14ac:dyDescent="0.25">
      <c r="A46" s="25">
        <v>10</v>
      </c>
      <c r="B46" s="19">
        <v>15092026</v>
      </c>
      <c r="C46" s="34" t="s">
        <v>170</v>
      </c>
      <c r="D46" s="46"/>
      <c r="E46" s="29">
        <v>3604</v>
      </c>
      <c r="F46" s="29">
        <v>20</v>
      </c>
      <c r="G46" s="85"/>
    </row>
  </sheetData>
  <mergeCells count="2">
    <mergeCell ref="G37:G46"/>
    <mergeCell ref="A3:H3"/>
  </mergeCells>
  <dataValidations count="2">
    <dataValidation type="list" allowBlank="1" showInputMessage="1" showErrorMessage="1" sqref="F37:F39 F8:F17" xr:uid="{BE976A68-E648-4F40-966B-6A401B30B1D2}">
      <formula1>"20,40,45,50"</formula1>
      <formula2>0</formula2>
    </dataValidation>
    <dataValidation type="list" allowBlank="1" showInputMessage="1" showErrorMessage="1" sqref="F18" xr:uid="{A6C20A5E-C2BD-41E8-A206-5A78C74926B4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FD95-392C-46D2-BEA6-1E5A8A7942D2}">
  <dimension ref="A1:N47"/>
  <sheetViews>
    <sheetView workbookViewId="0">
      <selection activeCell="F39" activeCellId="2" sqref="C39 E39 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COUNTIFS(B22:B29,"&lt;&gt;",C22:C29,"VH")</f>
        <v>0</v>
      </c>
      <c r="G2" s="9" t="s">
        <v>7</v>
      </c>
      <c r="H2" s="8">
        <f>COUNTA(C22:C33)-F2</f>
        <v>12</v>
      </c>
      <c r="I2" s="9" t="s">
        <v>6</v>
      </c>
      <c r="J2" s="10">
        <f>COUNTIF(E22:E29,"VIDE")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4" x14ac:dyDescent="0.25">
      <c r="A17" s="17">
        <v>8</v>
      </c>
      <c r="B17" s="42"/>
      <c r="C17" s="68"/>
      <c r="D17" s="24"/>
      <c r="E17" s="23"/>
      <c r="F17" s="18"/>
    </row>
    <row r="18" spans="1:14" ht="15.75" x14ac:dyDescent="0.25">
      <c r="A18" s="6"/>
      <c r="B18" s="20"/>
      <c r="C18" s="7"/>
      <c r="D18" s="26"/>
      <c r="E18" s="26"/>
      <c r="F18" s="26"/>
      <c r="G18" s="7"/>
    </row>
    <row r="19" spans="1:14" ht="15.75" x14ac:dyDescent="0.25">
      <c r="A19" s="6"/>
      <c r="B19" s="11" t="s">
        <v>20</v>
      </c>
    </row>
    <row r="20" spans="1:14" ht="15.75" thickBot="1" x14ac:dyDescent="0.3">
      <c r="A20" s="6"/>
      <c r="B20" s="13"/>
      <c r="C20" s="7"/>
      <c r="D20" s="7"/>
      <c r="E20" s="7"/>
      <c r="F20" s="7"/>
    </row>
    <row r="21" spans="1:14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4" x14ac:dyDescent="0.25">
      <c r="A22" s="25">
        <v>1</v>
      </c>
      <c r="B22" s="19">
        <v>16092026</v>
      </c>
      <c r="C22" s="27" t="s">
        <v>205</v>
      </c>
      <c r="D22" s="71" t="s">
        <v>184</v>
      </c>
      <c r="E22" s="39">
        <v>3561</v>
      </c>
      <c r="F22" s="32">
        <v>40</v>
      </c>
    </row>
    <row r="23" spans="1:14" x14ac:dyDescent="0.25">
      <c r="A23" s="25">
        <v>2</v>
      </c>
      <c r="B23" s="19">
        <v>16092026</v>
      </c>
      <c r="C23" s="27" t="s">
        <v>202</v>
      </c>
      <c r="D23" s="71" t="s">
        <v>185</v>
      </c>
      <c r="E23" s="39">
        <v>3562</v>
      </c>
      <c r="F23" s="32">
        <v>40</v>
      </c>
    </row>
    <row r="24" spans="1:14" x14ac:dyDescent="0.25">
      <c r="A24" s="25">
        <v>3</v>
      </c>
      <c r="B24" s="19">
        <v>16092026</v>
      </c>
      <c r="C24" s="27" t="s">
        <v>206</v>
      </c>
      <c r="D24" s="24" t="s">
        <v>188</v>
      </c>
      <c r="E24" s="39">
        <v>3565</v>
      </c>
      <c r="F24" s="32">
        <v>40</v>
      </c>
    </row>
    <row r="25" spans="1:14" ht="15.75" customHeight="1" x14ac:dyDescent="0.25">
      <c r="A25" s="25">
        <v>4</v>
      </c>
      <c r="B25" s="19">
        <v>16092026</v>
      </c>
      <c r="C25" s="29" t="s">
        <v>203</v>
      </c>
      <c r="D25" s="24" t="s">
        <v>190</v>
      </c>
      <c r="E25" s="39">
        <v>3567</v>
      </c>
      <c r="F25" s="32">
        <v>40</v>
      </c>
      <c r="H25" s="31"/>
      <c r="I25" s="31"/>
      <c r="J25" s="31"/>
      <c r="K25" s="31"/>
    </row>
    <row r="26" spans="1:14" ht="15.75" customHeight="1" x14ac:dyDescent="0.25">
      <c r="A26" s="25">
        <v>5</v>
      </c>
      <c r="B26" s="19">
        <v>16092026</v>
      </c>
      <c r="C26" s="27" t="s">
        <v>204</v>
      </c>
      <c r="D26" s="24" t="s">
        <v>198</v>
      </c>
      <c r="E26" s="39">
        <v>3568</v>
      </c>
      <c r="F26" s="72">
        <v>40</v>
      </c>
      <c r="H26" s="31"/>
      <c r="I26" s="31"/>
      <c r="J26" s="31"/>
      <c r="K26" s="31"/>
    </row>
    <row r="27" spans="1:14" ht="15.75" customHeight="1" x14ac:dyDescent="0.25">
      <c r="A27" s="25">
        <v>6</v>
      </c>
      <c r="B27" s="19">
        <v>16092026</v>
      </c>
      <c r="C27" s="29" t="s">
        <v>200</v>
      </c>
      <c r="D27" s="24" t="s">
        <v>192</v>
      </c>
      <c r="E27" s="39">
        <v>3570</v>
      </c>
      <c r="F27" s="32">
        <v>40</v>
      </c>
      <c r="H27" s="31"/>
      <c r="I27" s="31"/>
      <c r="J27" s="31"/>
      <c r="K27" s="31"/>
    </row>
    <row r="28" spans="1:14" ht="15.75" customHeight="1" x14ac:dyDescent="0.25">
      <c r="A28" s="25">
        <v>7</v>
      </c>
      <c r="B28" s="19">
        <v>16092026</v>
      </c>
      <c r="C28" s="29" t="s">
        <v>207</v>
      </c>
      <c r="D28" s="24" t="s">
        <v>194</v>
      </c>
      <c r="E28" s="39">
        <v>3502</v>
      </c>
      <c r="F28" s="32">
        <v>40</v>
      </c>
      <c r="H28" s="31"/>
      <c r="I28" s="31"/>
      <c r="J28" s="31"/>
      <c r="K28" s="31"/>
    </row>
    <row r="29" spans="1:14" x14ac:dyDescent="0.25">
      <c r="A29" s="25">
        <v>8</v>
      </c>
      <c r="B29" s="19">
        <v>16092026</v>
      </c>
      <c r="C29" s="33" t="s">
        <v>201</v>
      </c>
      <c r="D29" s="24" t="s">
        <v>196</v>
      </c>
      <c r="E29" s="39">
        <v>3580</v>
      </c>
      <c r="F29" s="32">
        <v>40</v>
      </c>
      <c r="K29" s="31"/>
      <c r="L29" s="31"/>
      <c r="M29" s="31"/>
    </row>
    <row r="30" spans="1:14" ht="15.75" customHeight="1" x14ac:dyDescent="0.25">
      <c r="A30" s="25">
        <v>9</v>
      </c>
      <c r="B30" s="19">
        <v>16092026</v>
      </c>
      <c r="C30" s="33" t="s">
        <v>210</v>
      </c>
      <c r="D30" s="65" t="s">
        <v>153</v>
      </c>
      <c r="E30" s="29">
        <v>3554</v>
      </c>
      <c r="F30" s="66">
        <v>20</v>
      </c>
      <c r="K30" s="31"/>
      <c r="L30" s="31"/>
      <c r="M30" s="31"/>
    </row>
    <row r="31" spans="1:14" ht="15.75" customHeight="1" x14ac:dyDescent="0.25">
      <c r="A31" s="25">
        <v>10</v>
      </c>
      <c r="B31" s="19">
        <v>16092026</v>
      </c>
      <c r="C31" s="33" t="s">
        <v>208</v>
      </c>
      <c r="D31" s="67" t="s">
        <v>155</v>
      </c>
      <c r="E31" s="29">
        <v>0</v>
      </c>
      <c r="F31" s="66" t="s">
        <v>157</v>
      </c>
      <c r="K31" s="31"/>
      <c r="L31" s="31"/>
      <c r="M31" s="31"/>
    </row>
    <row r="32" spans="1:14" ht="15.75" customHeight="1" x14ac:dyDescent="0.25">
      <c r="A32" s="25">
        <v>11</v>
      </c>
      <c r="B32" s="19">
        <v>16092026</v>
      </c>
      <c r="C32" s="33" t="s">
        <v>209</v>
      </c>
      <c r="D32" s="66" t="s">
        <v>158</v>
      </c>
      <c r="E32" s="29">
        <v>0</v>
      </c>
      <c r="F32" s="66" t="s">
        <v>157</v>
      </c>
      <c r="L32" s="31"/>
      <c r="M32" s="31"/>
      <c r="N32" s="31"/>
    </row>
    <row r="33" spans="1:7" ht="15.75" customHeight="1" x14ac:dyDescent="0.25">
      <c r="A33" s="25">
        <v>12</v>
      </c>
      <c r="B33" s="19">
        <v>16092026</v>
      </c>
      <c r="C33" s="33" t="s">
        <v>212</v>
      </c>
      <c r="D33" s="28" t="s">
        <v>211</v>
      </c>
      <c r="E33" s="25">
        <v>3943</v>
      </c>
      <c r="F33" s="73">
        <v>20</v>
      </c>
    </row>
    <row r="34" spans="1:7" ht="15.75" customHeight="1" x14ac:dyDescent="0.25">
      <c r="A34" s="35"/>
      <c r="B34" s="36"/>
      <c r="C34" s="37"/>
      <c r="D34" s="75"/>
      <c r="E34" s="35"/>
      <c r="F34" s="41"/>
    </row>
    <row r="35" spans="1:7" ht="15.75" x14ac:dyDescent="0.25">
      <c r="A35" s="6"/>
      <c r="B35" s="11" t="s">
        <v>23</v>
      </c>
      <c r="E35" s="7"/>
      <c r="F35" s="7"/>
    </row>
    <row r="36" spans="1:7" ht="15.75" thickBot="1" x14ac:dyDescent="0.3">
      <c r="A36" s="6"/>
      <c r="B36" s="13"/>
      <c r="C36" s="7"/>
      <c r="D36" s="7"/>
      <c r="E36" s="7"/>
      <c r="F36" s="7"/>
    </row>
    <row r="37" spans="1:7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7" ht="15.75" customHeight="1" x14ac:dyDescent="0.25">
      <c r="A38" s="25">
        <v>1</v>
      </c>
      <c r="B38" s="19">
        <v>16092026</v>
      </c>
      <c r="C38" s="34" t="s">
        <v>100</v>
      </c>
      <c r="D38" s="34" t="s">
        <v>101</v>
      </c>
      <c r="E38" s="29">
        <v>3556</v>
      </c>
      <c r="F38" s="66">
        <v>40</v>
      </c>
      <c r="G38" s="85"/>
    </row>
    <row r="39" spans="1:7" ht="15.75" customHeight="1" x14ac:dyDescent="0.25">
      <c r="A39" s="25">
        <v>2</v>
      </c>
      <c r="B39" s="19">
        <v>16092026</v>
      </c>
      <c r="C39" s="34" t="s">
        <v>50</v>
      </c>
      <c r="D39" s="28" t="s">
        <v>51</v>
      </c>
      <c r="E39" s="29">
        <v>3555</v>
      </c>
      <c r="F39" s="18">
        <v>40</v>
      </c>
      <c r="G39" s="85"/>
    </row>
    <row r="40" spans="1:7" ht="15.75" customHeight="1" x14ac:dyDescent="0.25">
      <c r="A40" s="25">
        <v>3</v>
      </c>
      <c r="B40" s="19">
        <v>16092026</v>
      </c>
      <c r="C40" s="34" t="s">
        <v>130</v>
      </c>
      <c r="D40" s="34">
        <v>18233786</v>
      </c>
      <c r="E40" s="29">
        <v>3558</v>
      </c>
      <c r="F40" s="66">
        <v>40</v>
      </c>
      <c r="G40" s="85"/>
    </row>
    <row r="41" spans="1:7" ht="15.75" customHeight="1" x14ac:dyDescent="0.25">
      <c r="A41" s="25">
        <v>4</v>
      </c>
      <c r="B41" s="19"/>
      <c r="C41" s="34"/>
      <c r="D41" s="46"/>
      <c r="E41" s="29"/>
      <c r="F41" s="39"/>
      <c r="G41" s="85"/>
    </row>
    <row r="42" spans="1:7" ht="15.75" customHeight="1" x14ac:dyDescent="0.25">
      <c r="A42" s="25">
        <v>5</v>
      </c>
      <c r="B42" s="19"/>
      <c r="C42" s="34"/>
      <c r="D42" s="29"/>
      <c r="E42" s="29"/>
      <c r="F42" s="29"/>
      <c r="G42" s="85"/>
    </row>
    <row r="43" spans="1:7" x14ac:dyDescent="0.25">
      <c r="A43" s="25">
        <v>6</v>
      </c>
      <c r="B43" s="19"/>
      <c r="C43" s="34"/>
      <c r="D43" s="46"/>
      <c r="E43" s="29"/>
      <c r="F43" s="29"/>
      <c r="G43" s="85"/>
    </row>
    <row r="44" spans="1:7" x14ac:dyDescent="0.25">
      <c r="A44" s="25">
        <v>7</v>
      </c>
      <c r="B44" s="19"/>
      <c r="C44" s="34"/>
      <c r="D44" s="46"/>
      <c r="E44" s="29"/>
      <c r="F44" s="29"/>
      <c r="G44" s="85"/>
    </row>
    <row r="45" spans="1:7" x14ac:dyDescent="0.25">
      <c r="A45" s="25">
        <v>8</v>
      </c>
      <c r="B45" s="19"/>
      <c r="C45" s="34"/>
      <c r="D45" s="46"/>
      <c r="E45" s="29"/>
      <c r="F45" s="29"/>
      <c r="G45" s="85"/>
    </row>
    <row r="46" spans="1:7" x14ac:dyDescent="0.25">
      <c r="A46" s="25">
        <v>9</v>
      </c>
      <c r="B46" s="19"/>
      <c r="C46" s="34"/>
      <c r="D46" s="46"/>
      <c r="E46" s="29"/>
      <c r="F46" s="29"/>
      <c r="G46" s="85"/>
    </row>
    <row r="47" spans="1:7" x14ac:dyDescent="0.25">
      <c r="A47" s="25">
        <v>10</v>
      </c>
      <c r="B47" s="19"/>
      <c r="C47" s="34"/>
      <c r="D47" s="46"/>
      <c r="E47" s="29"/>
      <c r="F47" s="29"/>
      <c r="G47" s="85"/>
    </row>
  </sheetData>
  <mergeCells count="2">
    <mergeCell ref="A3:H3"/>
    <mergeCell ref="G38:G47"/>
  </mergeCells>
  <dataValidations count="2">
    <dataValidation type="list" allowBlank="1" showInputMessage="1" showErrorMessage="1" sqref="F18 F22:F29" xr:uid="{891C7987-B10E-436C-8334-E349696CE1DC}">
      <formula1>"20,40,45,50"</formula1>
    </dataValidation>
    <dataValidation type="list" allowBlank="1" showInputMessage="1" showErrorMessage="1" sqref="F38:F40 F8:F17 F30:F32" xr:uid="{43175F8C-86E7-45FE-A167-E0EFC0821C3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925C-618C-42E4-A88C-4B4C613A9259}">
  <dimension ref="A1:O46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8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17092026</v>
      </c>
      <c r="C22" s="34" t="s">
        <v>214</v>
      </c>
      <c r="D22" s="24" t="s">
        <v>186</v>
      </c>
      <c r="E22" s="39">
        <v>3564</v>
      </c>
      <c r="F22" s="32">
        <v>40</v>
      </c>
    </row>
    <row r="23" spans="1:15" ht="15.75" customHeight="1" x14ac:dyDescent="0.25">
      <c r="A23" s="25">
        <v>2</v>
      </c>
      <c r="B23" s="19">
        <v>17092026</v>
      </c>
      <c r="C23" s="29" t="s">
        <v>203</v>
      </c>
      <c r="D23" s="24" t="s">
        <v>187</v>
      </c>
      <c r="E23" s="39">
        <v>3563</v>
      </c>
      <c r="F23" s="32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>
        <v>17092026</v>
      </c>
      <c r="C24" s="27" t="s">
        <v>215</v>
      </c>
      <c r="D24" s="24" t="s">
        <v>189</v>
      </c>
      <c r="E24" s="39">
        <v>3566</v>
      </c>
      <c r="F24" s="32">
        <v>40</v>
      </c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>
        <v>17092026</v>
      </c>
      <c r="C25" s="29" t="s">
        <v>213</v>
      </c>
      <c r="D25" s="24" t="s">
        <v>191</v>
      </c>
      <c r="E25" s="39">
        <v>3569</v>
      </c>
      <c r="F25" s="32">
        <v>40</v>
      </c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>
        <v>17092026</v>
      </c>
      <c r="C26" s="29" t="s">
        <v>200</v>
      </c>
      <c r="D26" s="24" t="s">
        <v>193</v>
      </c>
      <c r="E26" s="39">
        <v>3503</v>
      </c>
      <c r="F26" s="32">
        <v>40</v>
      </c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>
        <v>17092026</v>
      </c>
      <c r="C27" s="27" t="s">
        <v>206</v>
      </c>
      <c r="D27" s="24" t="s">
        <v>195</v>
      </c>
      <c r="E27" s="39">
        <v>3501</v>
      </c>
      <c r="F27" s="32">
        <v>40</v>
      </c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>
        <v>17092026</v>
      </c>
      <c r="C28" s="29" t="s">
        <v>217</v>
      </c>
      <c r="D28" s="24" t="s">
        <v>199</v>
      </c>
      <c r="E28" s="24" t="s">
        <v>157</v>
      </c>
      <c r="F28" s="32">
        <v>40</v>
      </c>
      <c r="I28" s="31"/>
      <c r="J28" s="31"/>
      <c r="K28" s="31"/>
      <c r="L28" s="31"/>
      <c r="M28" s="31"/>
    </row>
    <row r="29" spans="1:15" x14ac:dyDescent="0.25">
      <c r="A29" s="25">
        <v>8</v>
      </c>
      <c r="B29" s="19">
        <v>17092026</v>
      </c>
      <c r="C29" s="27" t="s">
        <v>216</v>
      </c>
      <c r="D29" s="24" t="s">
        <v>197</v>
      </c>
      <c r="E29" s="24" t="s">
        <v>157</v>
      </c>
      <c r="F29" s="32">
        <v>40</v>
      </c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17092026</v>
      </c>
      <c r="C37" s="52" t="s">
        <v>58</v>
      </c>
      <c r="D37" s="52" t="s">
        <v>59</v>
      </c>
      <c r="E37" s="29">
        <v>3560</v>
      </c>
      <c r="F37" s="66">
        <v>20</v>
      </c>
      <c r="G37" s="74"/>
    </row>
    <row r="38" spans="1:7" ht="15.75" customHeight="1" x14ac:dyDescent="0.25">
      <c r="A38" s="25">
        <v>2</v>
      </c>
      <c r="B38" s="19">
        <v>17092026</v>
      </c>
      <c r="C38" s="22" t="s">
        <v>60</v>
      </c>
      <c r="D38" s="18" t="s">
        <v>61</v>
      </c>
      <c r="E38" s="29">
        <v>3558</v>
      </c>
      <c r="F38" s="66">
        <v>40</v>
      </c>
      <c r="G38" s="74"/>
    </row>
    <row r="39" spans="1:7" ht="15.75" customHeight="1" x14ac:dyDescent="0.25">
      <c r="A39" s="25">
        <v>3</v>
      </c>
      <c r="B39" s="19"/>
      <c r="C39" s="34"/>
      <c r="D39" s="46"/>
      <c r="E39" s="29"/>
      <c r="F39" s="66"/>
      <c r="G39" s="74"/>
    </row>
    <row r="40" spans="1:7" ht="15.75" customHeight="1" x14ac:dyDescent="0.25">
      <c r="A40" s="25">
        <v>4</v>
      </c>
      <c r="B40" s="19"/>
      <c r="C40" s="34"/>
      <c r="D40" s="46"/>
      <c r="E40" s="29"/>
      <c r="F40" s="39"/>
      <c r="G40" s="74"/>
    </row>
    <row r="41" spans="1:7" ht="15.75" customHeight="1" x14ac:dyDescent="0.25">
      <c r="A41" s="25">
        <v>5</v>
      </c>
      <c r="B41" s="19"/>
      <c r="C41" s="34"/>
      <c r="D41" s="29"/>
      <c r="E41" s="29"/>
      <c r="F41" s="29"/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18 F22:F29" xr:uid="{107D6956-A25D-430E-87AD-58F29C574C32}">
      <formula1>"20,40,45,50"</formula1>
    </dataValidation>
    <dataValidation type="list" allowBlank="1" showInputMessage="1" showErrorMessage="1" sqref="F37:F39 F8:F17" xr:uid="{667C2021-4E48-4662-AC30-297C3003C15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53A5-9210-4845-B819-E6D5BC671F07}">
  <dimension ref="A1:O46"/>
  <sheetViews>
    <sheetView topLeftCell="A15" workbookViewId="0">
      <selection activeCell="E39" sqref="E39:F4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20092026</v>
      </c>
      <c r="C22" s="34" t="s">
        <v>223</v>
      </c>
      <c r="D22" s="24" t="s">
        <v>100</v>
      </c>
      <c r="E22" s="39">
        <v>3556</v>
      </c>
      <c r="F22" s="32">
        <v>40</v>
      </c>
    </row>
    <row r="23" spans="1:15" ht="15.75" customHeight="1" x14ac:dyDescent="0.25">
      <c r="A23" s="25">
        <v>2</v>
      </c>
      <c r="B23" s="19">
        <v>20092026</v>
      </c>
      <c r="C23" s="29" t="s">
        <v>224</v>
      </c>
      <c r="D23" s="34" t="s">
        <v>50</v>
      </c>
      <c r="E23" s="29">
        <v>3555</v>
      </c>
      <c r="F23" s="18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24"/>
      <c r="E26" s="39"/>
      <c r="F26" s="32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24"/>
      <c r="E27" s="39"/>
      <c r="F27" s="32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F28" s="32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24"/>
      <c r="E29" s="24"/>
      <c r="F29" s="32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20092026</v>
      </c>
      <c r="C37" s="77" t="s">
        <v>97</v>
      </c>
      <c r="D37" s="77" t="s">
        <v>98</v>
      </c>
      <c r="E37" s="78">
        <v>3656</v>
      </c>
      <c r="F37" s="18">
        <v>40</v>
      </c>
      <c r="G37" s="74"/>
    </row>
    <row r="38" spans="1:7" ht="15.75" customHeight="1" x14ac:dyDescent="0.25">
      <c r="A38" s="25">
        <v>2</v>
      </c>
      <c r="B38" s="19">
        <v>20092026</v>
      </c>
      <c r="C38" s="79" t="s">
        <v>218</v>
      </c>
      <c r="D38" s="77" t="s">
        <v>219</v>
      </c>
      <c r="E38" s="78">
        <v>3657</v>
      </c>
      <c r="F38" s="18">
        <v>40</v>
      </c>
      <c r="G38" s="74"/>
    </row>
    <row r="39" spans="1:7" ht="15.75" customHeight="1" x14ac:dyDescent="0.25">
      <c r="A39" s="25">
        <v>3</v>
      </c>
      <c r="B39" s="19">
        <v>20092026</v>
      </c>
      <c r="C39" s="34" t="s">
        <v>220</v>
      </c>
      <c r="D39" s="46"/>
      <c r="E39" s="29">
        <v>3660</v>
      </c>
      <c r="F39" s="66">
        <v>40</v>
      </c>
      <c r="G39" s="74"/>
    </row>
    <row r="40" spans="1:7" ht="15.75" customHeight="1" x14ac:dyDescent="0.25">
      <c r="A40" s="25">
        <v>4</v>
      </c>
      <c r="B40" s="19">
        <v>20092026</v>
      </c>
      <c r="C40" s="28" t="s">
        <v>221</v>
      </c>
      <c r="D40" s="76"/>
      <c r="E40" s="29">
        <v>3659</v>
      </c>
      <c r="F40" s="39">
        <v>40</v>
      </c>
      <c r="G40" s="74"/>
    </row>
    <row r="41" spans="1:7" ht="15.75" customHeight="1" x14ac:dyDescent="0.25">
      <c r="A41" s="25">
        <v>5</v>
      </c>
      <c r="B41" s="19">
        <v>20092026</v>
      </c>
      <c r="C41" s="34" t="s">
        <v>222</v>
      </c>
      <c r="D41" s="29"/>
      <c r="E41" s="29">
        <v>3658</v>
      </c>
      <c r="F41" s="29">
        <v>40</v>
      </c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37:F39 F8:F17 F23" xr:uid="{8C6CB5B7-B1F5-4A45-891F-E684958B2DD2}">
      <formula1>"20,40,45,50"</formula1>
      <formula2>0</formula2>
    </dataValidation>
    <dataValidation type="list" allowBlank="1" showInputMessage="1" showErrorMessage="1" sqref="F18 F22 F24:F29" xr:uid="{2CCF6909-05FE-4DA8-96D3-1096910950B3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A801C-07E7-402B-ABC9-BF70D8606522}">
  <dimension ref="A1:O44"/>
  <sheetViews>
    <sheetView workbookViewId="0">
      <selection activeCell="I9" sqref="I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4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5" ht="15.75" x14ac:dyDescent="0.25">
      <c r="A17" s="6"/>
      <c r="B17" s="11" t="s">
        <v>20</v>
      </c>
    </row>
    <row r="18" spans="1:15" ht="15.75" thickBot="1" x14ac:dyDescent="0.3">
      <c r="A18" s="6"/>
      <c r="B18" s="13"/>
      <c r="C18" s="7"/>
      <c r="D18" s="7"/>
      <c r="E18" s="7"/>
      <c r="F18" s="7"/>
    </row>
    <row r="19" spans="1:15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5" x14ac:dyDescent="0.25">
      <c r="A20" s="25">
        <v>1</v>
      </c>
      <c r="B20" s="19">
        <v>21092026</v>
      </c>
      <c r="C20" s="34" t="s">
        <v>33</v>
      </c>
      <c r="D20" s="24" t="s">
        <v>130</v>
      </c>
      <c r="E20" s="39">
        <v>3558</v>
      </c>
      <c r="F20" s="32">
        <v>40</v>
      </c>
    </row>
    <row r="21" spans="1:15" ht="15.75" customHeight="1" x14ac:dyDescent="0.25">
      <c r="A21" s="25">
        <v>2</v>
      </c>
      <c r="B21" s="19">
        <v>21092026</v>
      </c>
      <c r="C21" s="29" t="s">
        <v>228</v>
      </c>
      <c r="D21" s="34" t="s">
        <v>220</v>
      </c>
      <c r="E21" s="29">
        <v>3660</v>
      </c>
      <c r="F21" s="66">
        <v>40</v>
      </c>
      <c r="I21" s="31"/>
      <c r="J21" s="31"/>
      <c r="K21" s="31"/>
      <c r="L21" s="31"/>
      <c r="M21" s="31"/>
    </row>
    <row r="22" spans="1:15" ht="15.75" customHeight="1" x14ac:dyDescent="0.25">
      <c r="A22" s="25">
        <v>3</v>
      </c>
      <c r="B22" s="19">
        <v>21092026</v>
      </c>
      <c r="C22" s="27" t="s">
        <v>229</v>
      </c>
      <c r="D22" s="28" t="s">
        <v>221</v>
      </c>
      <c r="E22" s="29">
        <v>3659</v>
      </c>
      <c r="F22" s="39">
        <v>40</v>
      </c>
      <c r="I22" s="31"/>
      <c r="J22" s="31"/>
      <c r="K22" s="31"/>
      <c r="L22" s="31"/>
      <c r="M22" s="31"/>
    </row>
    <row r="23" spans="1:15" ht="15.75" customHeight="1" x14ac:dyDescent="0.25">
      <c r="A23" s="25">
        <v>4</v>
      </c>
      <c r="B23" s="19">
        <v>21092026</v>
      </c>
      <c r="C23" s="29" t="s">
        <v>227</v>
      </c>
      <c r="D23" s="34" t="s">
        <v>222</v>
      </c>
      <c r="E23" s="29">
        <v>3658</v>
      </c>
      <c r="F23" s="29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5</v>
      </c>
      <c r="B24" s="19"/>
      <c r="C24" s="29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6</v>
      </c>
      <c r="B25" s="19"/>
      <c r="C25" s="27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7</v>
      </c>
      <c r="B26" s="19"/>
      <c r="C26" s="29"/>
      <c r="D26" s="24"/>
      <c r="F26" s="32"/>
      <c r="I26" s="31"/>
      <c r="J26" s="31"/>
      <c r="K26" s="31"/>
      <c r="L26" s="31"/>
      <c r="M26" s="31"/>
    </row>
    <row r="27" spans="1:15" x14ac:dyDescent="0.25">
      <c r="A27" s="25">
        <v>8</v>
      </c>
      <c r="B27" s="19"/>
      <c r="C27" s="27"/>
      <c r="D27" s="24"/>
      <c r="E27" s="24"/>
      <c r="F27" s="32"/>
    </row>
    <row r="28" spans="1:15" x14ac:dyDescent="0.25">
      <c r="A28" s="25">
        <v>9</v>
      </c>
      <c r="B28" s="19"/>
      <c r="C28" s="27"/>
      <c r="D28" s="28"/>
      <c r="E28" s="30"/>
      <c r="F28" s="25"/>
    </row>
    <row r="29" spans="1:15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15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15" ht="15.75" customHeight="1" x14ac:dyDescent="0.25">
      <c r="A31" s="35"/>
      <c r="B31" s="36"/>
      <c r="C31" s="37"/>
      <c r="D31"/>
      <c r="E31" s="38"/>
      <c r="F31" s="35"/>
    </row>
    <row r="32" spans="1:15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21092026</v>
      </c>
      <c r="C35" s="34" t="s">
        <v>225</v>
      </c>
      <c r="D35" s="28" t="s">
        <v>226</v>
      </c>
      <c r="E35" s="86">
        <v>3655</v>
      </c>
      <c r="F35" s="18">
        <v>20</v>
      </c>
      <c r="G35" s="74"/>
    </row>
    <row r="36" spans="1:7" ht="15.75" customHeight="1" x14ac:dyDescent="0.25">
      <c r="A36" s="25">
        <v>2</v>
      </c>
      <c r="B36" s="19">
        <v>21092026</v>
      </c>
      <c r="C36" s="28" t="s">
        <v>136</v>
      </c>
      <c r="D36" s="29">
        <v>239388</v>
      </c>
      <c r="E36" s="29">
        <v>3559</v>
      </c>
      <c r="F36" s="18">
        <v>40</v>
      </c>
      <c r="G36" s="74"/>
    </row>
    <row r="37" spans="1:7" ht="15.75" customHeight="1" x14ac:dyDescent="0.25">
      <c r="A37" s="25">
        <v>3</v>
      </c>
      <c r="B37" s="19"/>
      <c r="C37" s="34"/>
      <c r="D37" s="46"/>
      <c r="E37" s="29"/>
      <c r="F37" s="66"/>
      <c r="G37" s="74"/>
    </row>
    <row r="38" spans="1:7" ht="15.75" customHeight="1" x14ac:dyDescent="0.25">
      <c r="A38" s="25">
        <v>4</v>
      </c>
      <c r="B38" s="19"/>
      <c r="C38" s="28"/>
      <c r="D38" s="76"/>
      <c r="E38" s="29"/>
      <c r="F38" s="39"/>
      <c r="G38" s="74"/>
    </row>
    <row r="39" spans="1:7" ht="15.75" customHeight="1" x14ac:dyDescent="0.25">
      <c r="A39" s="25">
        <v>5</v>
      </c>
      <c r="B39" s="19"/>
      <c r="C39" s="34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46"/>
      <c r="E40" s="29"/>
      <c r="F40" s="29"/>
      <c r="G40" s="74"/>
    </row>
    <row r="41" spans="1:7" x14ac:dyDescent="0.25">
      <c r="A41" s="25">
        <v>7</v>
      </c>
      <c r="B41" s="19"/>
      <c r="C41" s="34"/>
      <c r="D41" s="46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0 F24:F27" xr:uid="{314564C8-73C4-4FE1-B1A4-E2956228C86B}">
      <formula1>"20,40,45,50"</formula1>
    </dataValidation>
    <dataValidation type="list" allowBlank="1" showInputMessage="1" showErrorMessage="1" sqref="F35:F37 F21 F8:F15" xr:uid="{E43818B9-96C6-4529-B8DF-B4F7D161AD5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6184E-8A55-4168-8E2F-3007313C04E4}">
  <dimension ref="A1:T44"/>
  <sheetViews>
    <sheetView tabSelected="1" topLeftCell="A12" workbookViewId="0">
      <selection activeCell="D25" sqref="D2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0" t="s">
        <v>8</v>
      </c>
      <c r="B3" s="80"/>
      <c r="C3" s="80"/>
      <c r="D3" s="80"/>
      <c r="E3" s="80"/>
      <c r="F3" s="80"/>
      <c r="G3" s="80"/>
      <c r="H3" s="8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46287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7"/>
      <c r="Q19" s="31"/>
      <c r="R19" s="31"/>
      <c r="S19" s="31"/>
      <c r="T19" s="31"/>
    </row>
    <row r="20" spans="1:20" x14ac:dyDescent="0.25">
      <c r="A20" s="25">
        <v>1</v>
      </c>
      <c r="B20" s="19">
        <v>22092026</v>
      </c>
      <c r="C20" s="34" t="s">
        <v>251</v>
      </c>
      <c r="D20" s="18" t="s">
        <v>239</v>
      </c>
      <c r="E20" s="18" t="s">
        <v>240</v>
      </c>
      <c r="F20" s="18">
        <v>20</v>
      </c>
      <c r="N20" s="31"/>
      <c r="O20" s="87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>
        <v>22092026</v>
      </c>
      <c r="C21" s="29" t="s">
        <v>252</v>
      </c>
      <c r="D21" s="18" t="s">
        <v>241</v>
      </c>
      <c r="E21" s="18" t="s">
        <v>242</v>
      </c>
      <c r="F21" s="18">
        <v>20</v>
      </c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>
        <v>22092026</v>
      </c>
      <c r="C22" s="34" t="s">
        <v>251</v>
      </c>
      <c r="D22" s="18" t="s">
        <v>243</v>
      </c>
      <c r="E22" s="23" t="s">
        <v>244</v>
      </c>
      <c r="F22" s="18">
        <v>20</v>
      </c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>
        <v>22092026</v>
      </c>
      <c r="C23" s="29" t="s">
        <v>253</v>
      </c>
      <c r="D23" s="18" t="s">
        <v>245</v>
      </c>
      <c r="E23" s="23" t="s">
        <v>246</v>
      </c>
      <c r="F23" s="18">
        <v>20</v>
      </c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>
        <v>22092026</v>
      </c>
      <c r="C24" s="29" t="s">
        <v>253</v>
      </c>
      <c r="D24" s="18" t="s">
        <v>247</v>
      </c>
      <c r="E24" s="23" t="s">
        <v>248</v>
      </c>
      <c r="F24" s="18">
        <v>20</v>
      </c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>
        <v>22092026</v>
      </c>
      <c r="C25" s="29" t="s">
        <v>252</v>
      </c>
      <c r="D25" s="24" t="s">
        <v>249</v>
      </c>
      <c r="E25" s="23" t="s">
        <v>250</v>
      </c>
      <c r="F25" s="18">
        <v>20</v>
      </c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>
        <v>22092026</v>
      </c>
      <c r="C26" s="29" t="s">
        <v>254</v>
      </c>
      <c r="D26" s="24" t="s">
        <v>136</v>
      </c>
      <c r="E26" s="86">
        <v>3559</v>
      </c>
      <c r="F26" s="32">
        <v>40</v>
      </c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22092026</v>
      </c>
      <c r="C35" s="28" t="s">
        <v>236</v>
      </c>
      <c r="D35" s="28"/>
      <c r="E35" s="86">
        <v>3701</v>
      </c>
      <c r="F35" s="18">
        <v>40</v>
      </c>
      <c r="G35" s="74"/>
    </row>
    <row r="36" spans="1:7" ht="15.75" customHeight="1" x14ac:dyDescent="0.25">
      <c r="A36" s="25">
        <v>2</v>
      </c>
      <c r="B36" s="19">
        <v>22092026</v>
      </c>
      <c r="C36" s="28" t="s">
        <v>237</v>
      </c>
      <c r="D36" s="29"/>
      <c r="E36" s="29">
        <v>3702</v>
      </c>
      <c r="F36" s="18">
        <v>40</v>
      </c>
      <c r="G36" s="74"/>
    </row>
    <row r="37" spans="1:7" ht="15.75" customHeight="1" x14ac:dyDescent="0.25">
      <c r="A37" s="25">
        <v>3</v>
      </c>
      <c r="B37" s="19">
        <v>22092026</v>
      </c>
      <c r="C37" s="28" t="s">
        <v>238</v>
      </c>
      <c r="D37" s="34"/>
      <c r="E37" s="29">
        <v>3703</v>
      </c>
      <c r="F37" s="18">
        <v>40</v>
      </c>
      <c r="G37" s="74"/>
    </row>
    <row r="38" spans="1:7" ht="15.75" customHeight="1" x14ac:dyDescent="0.25">
      <c r="A38" s="25">
        <v>4</v>
      </c>
      <c r="B38" s="19">
        <v>22092026</v>
      </c>
      <c r="C38" s="77" t="s">
        <v>230</v>
      </c>
      <c r="D38" s="29" t="s">
        <v>234</v>
      </c>
      <c r="E38" s="29">
        <v>3652</v>
      </c>
      <c r="F38" s="39">
        <v>20</v>
      </c>
      <c r="G38" s="74"/>
    </row>
    <row r="39" spans="1:7" ht="15.75" customHeight="1" x14ac:dyDescent="0.25">
      <c r="A39" s="25">
        <v>5</v>
      </c>
      <c r="B39" s="19">
        <v>22092026</v>
      </c>
      <c r="C39" s="28" t="s">
        <v>231</v>
      </c>
      <c r="D39" s="29" t="s">
        <v>235</v>
      </c>
      <c r="E39" s="29">
        <v>3653</v>
      </c>
      <c r="F39" s="29">
        <v>20</v>
      </c>
      <c r="G39" s="74"/>
    </row>
    <row r="40" spans="1:7" x14ac:dyDescent="0.25">
      <c r="A40" s="25">
        <v>6</v>
      </c>
      <c r="B40" s="19">
        <v>22092026</v>
      </c>
      <c r="C40" s="34" t="s">
        <v>232</v>
      </c>
      <c r="D40" s="34" t="s">
        <v>233</v>
      </c>
      <c r="E40" s="29">
        <v>3654</v>
      </c>
      <c r="F40" s="29">
        <v>20</v>
      </c>
      <c r="G40" s="74"/>
    </row>
    <row r="41" spans="1:7" x14ac:dyDescent="0.25">
      <c r="A41" s="25">
        <v>7</v>
      </c>
      <c r="B41" s="19">
        <v>22092026</v>
      </c>
      <c r="C41" s="34" t="s">
        <v>103</v>
      </c>
      <c r="D41" s="34" t="s">
        <v>104</v>
      </c>
      <c r="E41" s="29">
        <v>3651</v>
      </c>
      <c r="F41" s="29">
        <v>40</v>
      </c>
      <c r="G41" s="74"/>
    </row>
    <row r="42" spans="1:7" x14ac:dyDescent="0.25">
      <c r="A42" s="25">
        <v>8</v>
      </c>
      <c r="B42" s="19">
        <v>22092026</v>
      </c>
      <c r="C42" s="34" t="s">
        <v>255</v>
      </c>
      <c r="D42" s="46"/>
      <c r="E42" s="29">
        <v>3711</v>
      </c>
      <c r="F42" s="29">
        <v>20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C3462CE8-8B3A-4838-AE1A-E8D51F80F098}">
      <formula1>"20,40,45,50"</formula1>
      <formula2>0</formula2>
    </dataValidation>
    <dataValidation type="list" allowBlank="1" showInputMessage="1" showErrorMessage="1" sqref="F16 F26:F27" xr:uid="{A9875B32-7784-4A44-B6FD-4CB069812067}">
      <formula1>"20,40,45,50"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  <vt:lpstr>13-09</vt:lpstr>
      <vt:lpstr>14-09</vt:lpstr>
      <vt:lpstr>15-09</vt:lpstr>
      <vt:lpstr>16-09</vt:lpstr>
      <vt:lpstr>17-09</vt:lpstr>
      <vt:lpstr>20-09</vt:lpstr>
      <vt:lpstr>21-09</vt:lpstr>
      <vt:lpstr>22-09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2026-09-22T07:52:03Z</cp:lastPrinted>
  <dcterms:created xsi:type="dcterms:W3CDTF">2026-09-01T09:18:21Z</dcterms:created>
  <dcterms:modified xsi:type="dcterms:W3CDTF">2026-09-22T15:16:23Z</dcterms:modified>
</cp:coreProperties>
</file>