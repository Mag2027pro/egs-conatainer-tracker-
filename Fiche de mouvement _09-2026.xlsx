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613" documentId="8_{110EE0FD-1A37-4947-891C-6105C32C194C}" xr6:coauthVersionLast="47" xr6:coauthVersionMax="47" xr10:uidLastSave="{37F984E3-C9F6-4CA4-8FBC-28818639AF77}"/>
  <bookViews>
    <workbookView xWindow="-120" yWindow="-120" windowWidth="29040" windowHeight="15720" firstSheet="2" activeTab="3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  <sheet name="28-09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4" l="1"/>
  <c r="B4" i="1" s="1"/>
  <c r="H1" i="19"/>
  <c r="B19" i="1" s="1"/>
  <c r="H1" i="20"/>
  <c r="B20" i="1" s="1"/>
  <c r="D20" i="1" s="1"/>
  <c r="H1" i="21"/>
  <c r="B21" i="1" s="1"/>
  <c r="C19" i="1"/>
  <c r="C4" i="1"/>
  <c r="J2" i="22"/>
  <c r="F2" i="22"/>
  <c r="H2" i="22" s="1"/>
  <c r="C22" i="1" s="1"/>
  <c r="D22" i="1" s="1"/>
  <c r="H1" i="22"/>
  <c r="B22" i="1" s="1"/>
  <c r="C13" i="1"/>
  <c r="C12" i="1"/>
  <c r="D12" i="1" s="1"/>
  <c r="C3" i="1"/>
  <c r="C24" i="1"/>
  <c r="J2" i="21"/>
  <c r="F2" i="21"/>
  <c r="H2" i="21" s="1"/>
  <c r="C21" i="1" s="1"/>
  <c r="J2" i="20"/>
  <c r="F2" i="20"/>
  <c r="H2" i="20" s="1"/>
  <c r="C20" i="1" s="1"/>
  <c r="J2" i="19"/>
  <c r="F2" i="19"/>
  <c r="H2" i="19" s="1"/>
  <c r="B18" i="1"/>
  <c r="J2" i="18"/>
  <c r="F2" i="18"/>
  <c r="H2" i="18" s="1"/>
  <c r="C18" i="1" s="1"/>
  <c r="D18" i="1" s="1"/>
  <c r="H1" i="18"/>
  <c r="B17" i="1"/>
  <c r="C16" i="1"/>
  <c r="B16" i="1"/>
  <c r="D16" i="1" s="1"/>
  <c r="J2" i="17"/>
  <c r="F2" i="17"/>
  <c r="H2" i="17" s="1"/>
  <c r="C17" i="1" s="1"/>
  <c r="D17" i="1" s="1"/>
  <c r="H1" i="17"/>
  <c r="B15" i="1"/>
  <c r="C15" i="1"/>
  <c r="J2" i="16"/>
  <c r="F2" i="16"/>
  <c r="H2" i="16" s="1"/>
  <c r="H1" i="16"/>
  <c r="B14" i="1"/>
  <c r="J2" i="15"/>
  <c r="F2" i="15"/>
  <c r="H2" i="15" s="1"/>
  <c r="H1" i="15"/>
  <c r="J2" i="14"/>
  <c r="F2" i="14"/>
  <c r="H2" i="14" s="1"/>
  <c r="C14" i="1" s="1"/>
  <c r="H1" i="14"/>
  <c r="J2" i="13"/>
  <c r="F2" i="13"/>
  <c r="H2" i="13" s="1"/>
  <c r="H1" i="13"/>
  <c r="B13" i="1" s="1"/>
  <c r="B12" i="1"/>
  <c r="C11" i="1"/>
  <c r="B11" i="1"/>
  <c r="D11" i="1" s="1"/>
  <c r="C10" i="1"/>
  <c r="B10" i="1"/>
  <c r="D10" i="1" s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J2" i="5"/>
  <c r="F2" i="5"/>
  <c r="H2" i="5" s="1"/>
  <c r="C5" i="1" s="1"/>
  <c r="H1" i="5"/>
  <c r="B5" i="1" s="1"/>
  <c r="J2" i="4"/>
  <c r="F2" i="4"/>
  <c r="H2" i="4" s="1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B24" i="1" l="1"/>
  <c r="D21" i="1"/>
  <c r="D19" i="1"/>
  <c r="D14" i="1"/>
  <c r="D15" i="1"/>
  <c r="D8" i="1"/>
  <c r="D9" i="1"/>
  <c r="D7" i="1"/>
  <c r="D5" i="1"/>
  <c r="D4" i="1"/>
  <c r="D2" i="1"/>
  <c r="D13" i="1" l="1"/>
  <c r="D24" i="1" s="1"/>
</calcChain>
</file>

<file path=xl/sharedStrings.xml><?xml version="1.0" encoding="utf-8"?>
<sst xmlns="http://schemas.openxmlformats.org/spreadsheetml/2006/main" count="997" uniqueCount="334">
  <si>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</si>
  <si>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</si>
  <si>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</si>
  <si>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</si>
  <si>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</si>
  <si>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</si>
  <si>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</si>
  <si>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</si>
  <si>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</si>
  <si>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</si>
  <si>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</si>
  <si>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</si>
  <si>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</si>
  <si>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</si>
  <si>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</si>
  <si>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</si>
  <si>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</si>
  <si>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</si>
  <si>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</si>
  <si>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</si>
  <si>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</si>
  <si>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</si>
  <si>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</si>
  <si>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</si>
  <si>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</si>
  <si>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</si>
  <si>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</si>
  <si>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</si>
  <si>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</si>
  <si>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</si>
  <si>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</si>
  <si>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</si>
  <si>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</si>
  <si>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</si>
  <si>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</si>
  <si>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</si>
  <si>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</si>
  <si>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</si>
  <si>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</si>
  <si>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</si>
  <si>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</si>
  <si>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</si>
  <si>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</si>
  <si>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</si>
  <si>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</si>
  <si>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</si>
  <si>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</si>
  <si>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</si>
  <si>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</si>
  <si>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</si>
  <si>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</si>
  <si>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</si>
  <si>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</si>
  <si>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</si>
  <si>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</si>
  <si>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</si>
  <si>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</si>
  <si>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</si>
  <si>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</si>
  <si>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</si>
  <si>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</si>
  <si>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</si>
  <si>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</si>
  <si>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</si>
  <si>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</si>
  <si>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</si>
  <si>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</si>
  <si>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</si>
  <si>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</si>
  <si>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</si>
  <si>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</si>
  <si>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</si>
  <si>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</si>
  <si>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</si>
  <si>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</si>
  <si>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</si>
  <si>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</si>
  <si>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</si>
  <si>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</si>
  <si>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</si>
  <si>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</si>
  <si>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</si>
  <si>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</si>
  <si>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</si>
  <si>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</si>
  <si>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</si>
  <si>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</si>
  <si>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</si>
  <si>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</si>
  <si>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</si>
  <si>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</si>
  <si>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</si>
  <si>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</si>
  <si>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</si>
  <si>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</si>
  <si>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</si>
  <si>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</si>
  <si>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</si>
  <si>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</si>
  <si>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</si>
  <si>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</si>
  <si>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</si>
  <si>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</si>
  <si>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</si>
  <si>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</si>
  <si>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</si>
  <si>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</si>
  <si>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</si>
  <si>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</si>
  <si>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</si>
  <si>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</si>
  <si>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</si>
  <si>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</si>
  <si>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</si>
  <si>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</si>
  <si>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</si>
  <si>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</si>
  <si>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</si>
  <si>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</si>
  <si>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</si>
  <si>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</si>
  <si>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</si>
  <si>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</si>
  <si>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</si>
  <si>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</si>
  <si>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</si>
  <si>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</si>
  <si>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</si>
  <si>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</si>
  <si>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</si>
  <si>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</si>
  <si>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</si>
  <si>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</si>
  <si>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</si>
  <si>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</si>
  <si>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</si>
  <si>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</si>
  <si>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</si>
  <si>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</si>
  <si>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</si>
  <si>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</si>
  <si>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</si>
  <si>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</si>
  <si>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</si>
  <si>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</si>
  <si>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</si>
  <si>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</si>
  <si>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</si>
  <si>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</si>
  <si>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</si>
  <si>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</si>
  <si>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</si>
  <si>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</si>
  <si>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</si>
  <si>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</si>
  <si>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</si>
  <si>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</si>
  <si>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</si>
  <si>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</si>
  <si>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</si>
  <si>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</si>
  <si>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</si>
  <si>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</si>
  <si>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</si>
  <si>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</si>
  <si>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</si>
  <si>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</si>
  <si>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</si>
  <si>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</si>
  <si>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</si>
  <si>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</si>
  <si>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</si>
  <si>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</si>
  <si>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</si>
  <si>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</si>
  <si>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</si>
  <si>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</si>
  <si>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</si>
  <si>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</si>
  <si>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</si>
  <si>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</si>
  <si>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</si>
  <si>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</si>
  <si>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</si>
  <si>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</si>
  <si>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</si>
  <si>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</si>
  <si>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</si>
  <si>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</si>
  <si>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</si>
  <si>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</si>
  <si>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</si>
  <si>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</si>
  <si>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</si>
  <si>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</si>
  <si>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</si>
  <si>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</si>
  <si>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</si>
  <si>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</si>
  <si>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</si>
  <si>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</si>
  <si>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</si>
  <si>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</si>
  <si>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</si>
  <si>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</si>
  <si>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</si>
  <si>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</si>
  <si>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</si>
  <si>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</si>
  <si>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</si>
  <si>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</si>
  <si>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</si>
  <si>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</si>
  <si>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</si>
  <si>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</si>
  <si>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</si>
  <si>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</si>
  <si>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</si>
  <si>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</si>
  <si>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</si>
  <si>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</si>
  <si>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</si>
  <si>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</si>
  <si>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</si>
  <si>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</si>
  <si>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</si>
  <si>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</si>
  <si>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</si>
  <si>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</si>
  <si>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</si>
  <si>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</si>
  <si>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</si>
  <si>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</si>
  <si>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</si>
  <si>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</si>
  <si>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</si>
  <si>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</si>
  <si>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</si>
  <si>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</si>
  <si>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</si>
  <si>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</si>
  <si>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</si>
  <si>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</si>
  <si>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</si>
  <si>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</si>
  <si>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</si>
  <si>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</si>
  <si>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</si>
  <si>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</si>
  <si>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</si>
  <si>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</si>
  <si>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</si>
  <si>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</si>
  <si>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</si>
  <si>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</si>
  <si>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</si>
  <si>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</si>
  <si>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</si>
  <si>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</si>
  <si>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</si>
  <si>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</si>
  <si>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</si>
  <si>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</si>
  <si>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</si>
  <si>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</si>
  <si>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</si>
  <si>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</si>
  <si>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</si>
  <si>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</si>
  <si>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</si>
  <si>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</si>
  <si>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</si>
  <si>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</si>
  <si>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</si>
  <si>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</si>
  <si>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</si>
  <si>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</si>
  <si>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</si>
  <si>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</si>
  <si>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</si>
  <si>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</si>
  <si>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</si>
  <si>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</si>
  <si>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</si>
  <si>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</si>
  <si>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</si>
  <si>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</si>
  <si>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</si>
  <si>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</si>
  <si>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</si>
  <si>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</si>
  <si>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</si>
  <si>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</si>
  <si>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</si>
  <si>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</si>
  <si>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</si>
  <si>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</si>
  <si>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</si>
  <si>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</si>
  <si>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</si>
  <si>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</si>
  <si>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</si>
  <si>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</si>
  <si>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</si>
  <si>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</si>
  <si>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</si>
  <si>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</si>
  <si>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</si>
  <si>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</si>
  <si>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</si>
  <si>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</si>
  <si>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</si>
  <si>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</si>
  <si>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</si>
  <si>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</si>
  <si>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</si>
  <si>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</si>
  <si>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</si>
  <si>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</si>
  <si>
    <t>500089-513-31</t>
  </si>
  <si>
    <t>500096-511-31</t>
  </si>
  <si>
    <t>HASU492916 /6</t>
  </si>
  <si>
    <t>HASU5156746 /8</t>
  </si>
  <si>
    <t>MRSU698006 /4</t>
  </si>
  <si>
    <t>HJCU111021 /6</t>
  </si>
  <si>
    <t>YMLU822002 /6</t>
  </si>
  <si>
    <t>GTSU885207 /7</t>
  </si>
  <si>
    <t>GLDU072442 /9</t>
  </si>
  <si>
    <t>FFAU501814 /0</t>
  </si>
  <si>
    <t>CAAU640372 /2</t>
  </si>
  <si>
    <t>MSKU148879 /1</t>
  </si>
  <si>
    <t>ML-CN6337956</t>
  </si>
  <si>
    <t>MSKU100022 /7</t>
  </si>
  <si>
    <t>ML-CN6309165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</si>
</sst>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26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BAEBE4B-7C1B-4551-9191-60A8FA12A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B19" sqref="B19"/>
    </sheetView>
  </sheetViews>
  <sheetFormatPr baseColWidth="10" defaultColWidth="9.140625" defaultRowHeight="15" x14ac:dyDescent="0.25"/>
  <cols>
    <col min="1" max="1" width="23.1406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'02-09'!H2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'03-09'!H1</f>
        <v>2</v>
      </c>
      <c r="C4" s="3">
        <f>'03-09'!H2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2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46278</v>
      </c>
      <c r="B10" s="3">
        <f>'13-09'!H1</f>
        <v>0</v>
      </c>
      <c r="C10" s="3">
        <f>'13-09'!H2</f>
        <v>2</v>
      </c>
      <c r="D10" s="4">
        <f t="shared" si="1"/>
        <v>2</v>
      </c>
      <c r="F10" s="3"/>
    </row>
    <row r="11" spans="1:6" ht="16.5" x14ac:dyDescent="0.25">
      <c r="A11" s="2">
        <v>46279</v>
      </c>
      <c r="B11" s="3">
        <f>'14-09'!H1</f>
        <v>1</v>
      </c>
      <c r="C11" s="3">
        <f>'14-09'!H2</f>
        <v>0</v>
      </c>
      <c r="D11" s="4">
        <f t="shared" si="1"/>
        <v>1</v>
      </c>
      <c r="F11" s="3"/>
    </row>
    <row r="12" spans="1:6" ht="16.5" x14ac:dyDescent="0.25">
      <c r="A12" s="2">
        <v>46280</v>
      </c>
      <c r="B12" s="3">
        <f>'15-09'!H1</f>
        <v>4</v>
      </c>
      <c r="C12" s="3">
        <f>'15-09'!H2</f>
        <v>0</v>
      </c>
      <c r="D12" s="4">
        <f t="shared" si="1"/>
        <v>4</v>
      </c>
      <c r="F12" s="3"/>
    </row>
    <row r="13" spans="1:6" ht="16.5" x14ac:dyDescent="0.25">
      <c r="A13" s="2">
        <v>46281</v>
      </c>
      <c r="B13" s="3">
        <f>'16-09'!H1</f>
        <v>0</v>
      </c>
      <c r="C13" s="3">
        <f>'16-09'!H2</f>
        <v>12</v>
      </c>
      <c r="D13" s="4">
        <f t="shared" ref="D13" si="2">SUM(B13:C13)</f>
        <v>12</v>
      </c>
      <c r="F13" s="3"/>
    </row>
    <row r="14" spans="1:6" ht="16.5" x14ac:dyDescent="0.25">
      <c r="A14" s="2">
        <v>46282</v>
      </c>
      <c r="B14" s="3">
        <f>'17-09'!H1</f>
        <v>0</v>
      </c>
      <c r="C14" s="3">
        <f>'17-09'!H2</f>
        <v>8</v>
      </c>
      <c r="D14" s="4">
        <f t="shared" ref="D14" si="3">SUM(B14:C14)</f>
        <v>8</v>
      </c>
      <c r="F14" s="3"/>
    </row>
    <row r="15" spans="1:6" ht="16.5" x14ac:dyDescent="0.25">
      <c r="A15" s="2">
        <v>46285</v>
      </c>
      <c r="B15" s="3">
        <f>'20-09'!H1</f>
        <v>0</v>
      </c>
      <c r="C15" s="3">
        <f>'20-09'!H2</f>
        <v>2</v>
      </c>
      <c r="D15" s="4">
        <f t="shared" ref="D15" si="4">SUM(B15:C15)</f>
        <v>2</v>
      </c>
      <c r="F15" s="3"/>
    </row>
    <row r="16" spans="1:6" ht="16.5" x14ac:dyDescent="0.25">
      <c r="A16" s="2">
        <v>46286</v>
      </c>
      <c r="B16" s="3">
        <f>'21-09'!H1</f>
        <v>0</v>
      </c>
      <c r="C16" s="3">
        <f>'21-09'!H2</f>
        <v>4</v>
      </c>
      <c r="D16" s="4">
        <f t="shared" ref="D16" si="5">SUM(B16:C16)</f>
        <v>4</v>
      </c>
      <c r="F16" s="3"/>
    </row>
    <row r="17" spans="1:6" ht="16.5" x14ac:dyDescent="0.25">
      <c r="A17" s="2">
        <v>46287</v>
      </c>
      <c r="B17" s="3">
        <f>'22-09'!H1</f>
        <v>0</v>
      </c>
      <c r="C17" s="3">
        <f>'22-09'!H2</f>
        <v>8</v>
      </c>
      <c r="D17" s="4">
        <f t="shared" ref="D17" si="6">SUM(B17:C17)</f>
        <v>8</v>
      </c>
      <c r="F17" s="3"/>
    </row>
    <row r="18" spans="1:6" ht="16.5" x14ac:dyDescent="0.25">
      <c r="A18" s="2">
        <v>46288</v>
      </c>
      <c r="B18" s="3">
        <f>'23-09'!H1</f>
        <v>0</v>
      </c>
      <c r="C18" s="3">
        <f>'23-09'!H2</f>
        <v>1</v>
      </c>
      <c r="D18" s="4">
        <f t="shared" ref="D18" si="7">SUM(B18:C18)</f>
        <v>1</v>
      </c>
      <c r="F18" s="3"/>
    </row>
    <row r="19" spans="1:6" ht="16.5" x14ac:dyDescent="0.25">
      <c r="A19" s="2">
        <v>46289</v>
      </c>
      <c r="B19" s="3">
        <f>'24-09'!H1</f>
        <v>0</v>
      </c>
      <c r="C19" s="3">
        <f>'24-09'!H2</f>
        <v>1</v>
      </c>
      <c r="D19" s="4">
        <f t="shared" ref="D19:D20" si="8">SUM(B19:C19)</f>
        <v>1</v>
      </c>
      <c r="F19" s="3"/>
    </row>
    <row r="20" spans="1:6" ht="16.5" x14ac:dyDescent="0.25">
      <c r="A20" s="2">
        <v>46291</v>
      </c>
      <c r="B20" s="3">
        <f>'26-09'!H1</f>
        <v>9</v>
      </c>
      <c r="C20" s="3">
        <f>'26-09'!H2</f>
        <v>0</v>
      </c>
      <c r="D20" s="4">
        <f t="shared" si="8"/>
        <v>9</v>
      </c>
      <c r="F20" s="3"/>
    </row>
    <row r="21" spans="1:6" ht="16.5" x14ac:dyDescent="0.25">
      <c r="A21" s="2">
        <v>46292</v>
      </c>
      <c r="B21" s="3">
        <f>'27-09'!H1</f>
        <v>11</v>
      </c>
      <c r="C21" s="3">
        <f>'27-09'!H2</f>
        <v>2</v>
      </c>
      <c r="D21" s="4">
        <f t="shared" ref="D21" si="9">SUM(B21:C21)</f>
        <v>13</v>
      </c>
      <c r="F21" s="3"/>
    </row>
    <row r="22" spans="1:6" ht="16.5" x14ac:dyDescent="0.25">
      <c r="A22" s="2">
        <v>46293</v>
      </c>
      <c r="B22" s="3">
        <f>'28-09'!H1</f>
        <v>0</v>
      </c>
      <c r="C22" s="3">
        <f>'28-09'!H2</f>
        <v>0</v>
      </c>
      <c r="D22" s="4">
        <f t="shared" ref="D22" si="10">SUM(B22:C22)</f>
        <v>0</v>
      </c>
      <c r="F22" s="3"/>
    </row>
    <row r="23" spans="1:6" ht="16.5" x14ac:dyDescent="0.25">
      <c r="A23" s="2">
        <v>46294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50</v>
      </c>
      <c r="C24" s="5">
        <f>SUM(C2:C23)</f>
        <v>56</v>
      </c>
      <c r="D24" s="5">
        <f>SUM(D2:D20)</f>
        <v>93</v>
      </c>
      <c r="E24" s="5"/>
      <c r="F24" s="5"/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abSelected="1" workbookViewId="0">
      <selection activeCell="H2" sqref="H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0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F11" sqref="D11:F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94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95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95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95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95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96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97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97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97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97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97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97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98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98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98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98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98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98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98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98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98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98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98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98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98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98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98"/>
    </row>
    <row r="43" spans="1:7" x14ac:dyDescent="0.25">
      <c r="A43" s="25">
        <v>6</v>
      </c>
      <c r="B43" s="19"/>
      <c r="C43" s="34"/>
      <c r="D43" s="46"/>
      <c r="E43" s="29"/>
      <c r="F43" s="29"/>
      <c r="G43" s="98"/>
    </row>
    <row r="44" spans="1:7" x14ac:dyDescent="0.25">
      <c r="A44" s="25">
        <v>7</v>
      </c>
      <c r="B44" s="19"/>
      <c r="C44" s="34"/>
      <c r="D44" s="46"/>
      <c r="E44" s="29"/>
      <c r="F44" s="29"/>
      <c r="G44" s="98"/>
    </row>
    <row r="45" spans="1:7" x14ac:dyDescent="0.25">
      <c r="A45" s="25">
        <v>8</v>
      </c>
      <c r="B45" s="19"/>
      <c r="C45" s="34"/>
      <c r="D45" s="46"/>
      <c r="E45" s="29"/>
      <c r="F45" s="29"/>
      <c r="G45" s="98"/>
    </row>
    <row r="46" spans="1:7" x14ac:dyDescent="0.25">
      <c r="A46" s="25">
        <v>9</v>
      </c>
      <c r="B46" s="19"/>
      <c r="C46" s="34"/>
      <c r="D46" s="46"/>
      <c r="E46" s="29"/>
      <c r="F46" s="29"/>
      <c r="G46" s="98"/>
    </row>
    <row r="47" spans="1:7" x14ac:dyDescent="0.25">
      <c r="A47" s="25">
        <v>10</v>
      </c>
      <c r="B47" s="19"/>
      <c r="C47" s="34"/>
      <c r="D47" s="46"/>
      <c r="E47" s="29"/>
      <c r="F47" s="29"/>
      <c r="G47" s="98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E39" sqref="E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3557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opLeftCell="A12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workbookViewId="0">
      <selection activeCell="L17" sqref="L1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46289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workbookViewId="0">
      <selection activeCell="H1" sqref="H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99" t="s">
        <v>287</v>
      </c>
      <c r="C8" s="19">
        <v>26092026</v>
      </c>
      <c r="D8" s="83" t="s">
        <v>266</v>
      </c>
      <c r="E8" s="83" t="s">
        <v>267</v>
      </c>
      <c r="F8" s="84" t="s">
        <v>16</v>
      </c>
    </row>
    <row r="9" spans="1:10" x14ac:dyDescent="0.25">
      <c r="A9" s="17">
        <v>2</v>
      </c>
      <c r="B9" s="99"/>
      <c r="C9" s="19">
        <v>26092026</v>
      </c>
      <c r="D9" s="85" t="s">
        <v>268</v>
      </c>
      <c r="E9" s="84" t="s">
        <v>269</v>
      </c>
      <c r="F9" s="84" t="s">
        <v>16</v>
      </c>
    </row>
    <row r="10" spans="1:10" x14ac:dyDescent="0.25">
      <c r="A10" s="17">
        <v>3</v>
      </c>
      <c r="B10" s="99"/>
      <c r="C10" s="19">
        <v>26092026</v>
      </c>
      <c r="D10" s="84" t="s">
        <v>270</v>
      </c>
      <c r="E10" s="84" t="s">
        <v>271</v>
      </c>
      <c r="F10" s="84" t="s">
        <v>16</v>
      </c>
    </row>
    <row r="11" spans="1:10" x14ac:dyDescent="0.25">
      <c r="A11" s="17">
        <v>4</v>
      </c>
      <c r="B11" s="99"/>
      <c r="C11" s="19">
        <v>26092026</v>
      </c>
      <c r="D11" s="84" t="s">
        <v>272</v>
      </c>
      <c r="E11" s="84" t="s">
        <v>273</v>
      </c>
      <c r="F11" s="84" t="s">
        <v>16</v>
      </c>
    </row>
    <row r="12" spans="1:10" x14ac:dyDescent="0.25">
      <c r="A12" s="17">
        <v>5</v>
      </c>
      <c r="B12" s="100" t="s">
        <v>288</v>
      </c>
      <c r="C12" s="19">
        <v>26092026</v>
      </c>
      <c r="D12" s="84" t="s">
        <v>274</v>
      </c>
      <c r="E12" s="86" t="s">
        <v>156</v>
      </c>
      <c r="F12" s="84" t="s">
        <v>157</v>
      </c>
    </row>
    <row r="13" spans="1:10" x14ac:dyDescent="0.25">
      <c r="A13" s="17">
        <v>6</v>
      </c>
      <c r="B13" s="100"/>
      <c r="C13" s="19">
        <v>26092026</v>
      </c>
      <c r="D13" s="84" t="s">
        <v>275</v>
      </c>
      <c r="E13" s="86" t="s">
        <v>276</v>
      </c>
      <c r="F13" s="84" t="s">
        <v>16</v>
      </c>
    </row>
    <row r="14" spans="1:10" x14ac:dyDescent="0.25">
      <c r="A14" s="17">
        <v>7</v>
      </c>
      <c r="B14" s="100"/>
      <c r="C14" s="19">
        <v>26092026</v>
      </c>
      <c r="D14" s="84" t="s">
        <v>277</v>
      </c>
      <c r="E14" s="86" t="s">
        <v>278</v>
      </c>
      <c r="F14" s="84" t="s">
        <v>16</v>
      </c>
    </row>
    <row r="15" spans="1:10" x14ac:dyDescent="0.25">
      <c r="A15" s="17">
        <v>8</v>
      </c>
      <c r="B15" s="101" t="s">
        <v>289</v>
      </c>
      <c r="C15" s="19"/>
      <c r="D15" s="87" t="s">
        <v>279</v>
      </c>
      <c r="E15" s="102" t="s">
        <v>77</v>
      </c>
      <c r="F15" s="84" t="s">
        <v>16</v>
      </c>
    </row>
    <row r="16" spans="1:10" x14ac:dyDescent="0.25">
      <c r="A16" s="17">
        <v>9</v>
      </c>
      <c r="B16" s="101"/>
      <c r="C16" s="19"/>
      <c r="D16" s="87" t="s">
        <v>280</v>
      </c>
      <c r="E16" s="103"/>
      <c r="F16" s="84" t="s">
        <v>16</v>
      </c>
    </row>
    <row r="17" spans="1:20" x14ac:dyDescent="0.25">
      <c r="A17" s="17">
        <v>10</v>
      </c>
      <c r="B17" s="101"/>
      <c r="C17" s="19"/>
      <c r="D17" s="87" t="s">
        <v>281</v>
      </c>
      <c r="E17" s="104"/>
      <c r="F17" s="84" t="s">
        <v>16</v>
      </c>
    </row>
    <row r="18" spans="1:20" x14ac:dyDescent="0.25">
      <c r="A18" s="17">
        <v>11</v>
      </c>
      <c r="B18" s="88" t="s">
        <v>290</v>
      </c>
      <c r="C18" s="19">
        <v>26092026</v>
      </c>
      <c r="D18" s="84" t="s">
        <v>282</v>
      </c>
      <c r="E18" s="86" t="s">
        <v>283</v>
      </c>
      <c r="F18" s="84" t="s">
        <v>16</v>
      </c>
    </row>
    <row r="19" spans="1:20" x14ac:dyDescent="0.25">
      <c r="A19" s="17">
        <v>12</v>
      </c>
      <c r="B19" s="88" t="s">
        <v>291</v>
      </c>
      <c r="C19" s="19">
        <v>26092026</v>
      </c>
      <c r="D19" s="84" t="s">
        <v>284</v>
      </c>
      <c r="E19" s="84" t="s">
        <v>285</v>
      </c>
      <c r="F19" s="84" t="s">
        <v>16</v>
      </c>
      <c r="G19" s="7"/>
    </row>
    <row r="20" spans="1:20" x14ac:dyDescent="0.25">
      <c r="A20" s="17">
        <v>13</v>
      </c>
      <c r="B20" s="91" t="s">
        <v>292</v>
      </c>
      <c r="C20" s="62"/>
      <c r="D20" s="84" t="s">
        <v>286</v>
      </c>
      <c r="E20" s="90" t="s">
        <v>77</v>
      </c>
      <c r="F20" s="84" t="s">
        <v>16</v>
      </c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7"/>
  <sheetViews>
    <sheetView workbookViewId="0">
      <selection activeCell="H1" sqref="H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COUNTIFS(B27:B33,"&lt;&gt;",C27:C33,"VH")</f>
        <v>0</v>
      </c>
      <c r="G2" s="9" t="s">
        <v>7</v>
      </c>
      <c r="H2" s="8">
        <f>COUNTA(C27:C33)-F2</f>
        <v>2</v>
      </c>
      <c r="I2" s="9" t="s">
        <v>6</v>
      </c>
      <c r="J2" s="10">
        <f>COUNTIF(E27:E33,"VIDE")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315</v>
      </c>
      <c r="C8" s="19">
        <v>27092026</v>
      </c>
      <c r="D8" s="24" t="s">
        <v>293</v>
      </c>
      <c r="E8" s="24" t="s">
        <v>294</v>
      </c>
      <c r="F8" s="18" t="s">
        <v>16</v>
      </c>
    </row>
    <row r="9" spans="1:10" x14ac:dyDescent="0.25">
      <c r="A9" s="17">
        <v>2</v>
      </c>
      <c r="B9" s="70" t="s">
        <v>316</v>
      </c>
      <c r="C9" s="19">
        <v>27092026</v>
      </c>
      <c r="D9" s="18" t="s">
        <v>295</v>
      </c>
      <c r="E9" s="18" t="s">
        <v>296</v>
      </c>
      <c r="F9" s="18" t="s">
        <v>70</v>
      </c>
    </row>
    <row r="10" spans="1:10" x14ac:dyDescent="0.25">
      <c r="A10" s="17">
        <v>3</v>
      </c>
      <c r="B10" s="105" t="s">
        <v>317</v>
      </c>
      <c r="C10" s="19">
        <v>27092026</v>
      </c>
      <c r="D10" s="18" t="s">
        <v>297</v>
      </c>
      <c r="E10" s="18" t="s">
        <v>298</v>
      </c>
      <c r="F10" s="18" t="s">
        <v>16</v>
      </c>
    </row>
    <row r="11" spans="1:10" x14ac:dyDescent="0.25">
      <c r="A11" s="17">
        <v>4</v>
      </c>
      <c r="B11" s="106"/>
      <c r="C11" s="19">
        <v>27092026</v>
      </c>
      <c r="D11" s="18" t="s">
        <v>299</v>
      </c>
      <c r="E11" s="18" t="s">
        <v>300</v>
      </c>
      <c r="F11" s="18" t="s">
        <v>16</v>
      </c>
    </row>
    <row r="12" spans="1:10" x14ac:dyDescent="0.25">
      <c r="A12" s="17">
        <v>5</v>
      </c>
      <c r="B12" s="107"/>
      <c r="C12" s="19">
        <v>27092026</v>
      </c>
      <c r="D12" s="18" t="s">
        <v>301</v>
      </c>
      <c r="E12" s="23" t="s">
        <v>302</v>
      </c>
      <c r="F12" s="18" t="s">
        <v>16</v>
      </c>
    </row>
    <row r="13" spans="1:10" x14ac:dyDescent="0.25">
      <c r="A13" s="17">
        <v>6</v>
      </c>
      <c r="B13" s="105" t="s">
        <v>318</v>
      </c>
      <c r="C13" s="19">
        <v>27092026</v>
      </c>
      <c r="D13" s="18" t="s">
        <v>303</v>
      </c>
      <c r="E13" s="23" t="s">
        <v>304</v>
      </c>
      <c r="F13" s="18" t="s">
        <v>17</v>
      </c>
    </row>
    <row r="14" spans="1:10" x14ac:dyDescent="0.25">
      <c r="A14" s="17">
        <v>7</v>
      </c>
      <c r="B14" s="106"/>
      <c r="C14" s="19">
        <v>27092026</v>
      </c>
      <c r="D14" s="18" t="s">
        <v>305</v>
      </c>
      <c r="E14" s="23" t="s">
        <v>306</v>
      </c>
      <c r="F14" s="18" t="s">
        <v>16</v>
      </c>
    </row>
    <row r="15" spans="1:10" x14ac:dyDescent="0.25">
      <c r="A15" s="17">
        <v>8</v>
      </c>
      <c r="B15" s="106"/>
      <c r="C15" s="19">
        <v>27092026</v>
      </c>
      <c r="D15" s="24" t="s">
        <v>307</v>
      </c>
      <c r="E15" s="23" t="s">
        <v>308</v>
      </c>
      <c r="F15" s="18" t="s">
        <v>16</v>
      </c>
    </row>
    <row r="16" spans="1:10" x14ac:dyDescent="0.25">
      <c r="A16" s="17">
        <v>9</v>
      </c>
      <c r="B16" s="106"/>
      <c r="C16" s="19">
        <v>27092026</v>
      </c>
      <c r="D16" s="24" t="s">
        <v>309</v>
      </c>
      <c r="E16" s="23" t="s">
        <v>310</v>
      </c>
      <c r="F16" s="18" t="s">
        <v>16</v>
      </c>
    </row>
    <row r="17" spans="1:20" x14ac:dyDescent="0.25">
      <c r="A17" s="17">
        <v>10</v>
      </c>
      <c r="B17" s="106"/>
      <c r="C17" s="19">
        <v>27092026</v>
      </c>
      <c r="D17" s="24" t="s">
        <v>311</v>
      </c>
      <c r="E17" s="23" t="s">
        <v>312</v>
      </c>
      <c r="F17" s="18" t="s">
        <v>16</v>
      </c>
    </row>
    <row r="18" spans="1:20" x14ac:dyDescent="0.25">
      <c r="A18" s="17">
        <v>11</v>
      </c>
      <c r="B18" s="107"/>
      <c r="C18" s="19">
        <v>27092026</v>
      </c>
      <c r="D18" s="18" t="s">
        <v>313</v>
      </c>
      <c r="E18" s="23" t="s">
        <v>314</v>
      </c>
      <c r="F18" s="18" t="s">
        <v>16</v>
      </c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>
        <v>27092026</v>
      </c>
      <c r="C27" s="34" t="s">
        <v>319</v>
      </c>
      <c r="D27" s="52" t="s">
        <v>58</v>
      </c>
      <c r="E27" s="29">
        <v>3560</v>
      </c>
      <c r="F27" s="66">
        <v>20</v>
      </c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>
        <v>27092026</v>
      </c>
      <c r="C28" s="29" t="s">
        <v>320</v>
      </c>
      <c r="D28" s="22" t="s">
        <v>60</v>
      </c>
      <c r="E28" s="29">
        <v>3557</v>
      </c>
      <c r="F28" s="66">
        <v>40</v>
      </c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29"/>
      <c r="F33" s="32"/>
      <c r="I33" s="31"/>
      <c r="J33" s="31"/>
      <c r="K33" s="31"/>
      <c r="L33" s="31"/>
      <c r="M33" s="31"/>
    </row>
    <row r="34" spans="1:13" ht="15.75" customHeight="1" x14ac:dyDescent="0.25">
      <c r="A34" s="35"/>
      <c r="B34" s="36"/>
      <c r="C34" s="37"/>
      <c r="D34"/>
      <c r="E34" s="38"/>
      <c r="F34" s="35"/>
    </row>
    <row r="35" spans="1:13" ht="15.75" x14ac:dyDescent="0.25">
      <c r="A35" s="6"/>
      <c r="B35" s="11" t="s">
        <v>23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13" ht="15.75" customHeight="1" x14ac:dyDescent="0.25">
      <c r="A38" s="25">
        <v>1</v>
      </c>
      <c r="B38" s="19">
        <v>27092026</v>
      </c>
      <c r="C38" s="34" t="s">
        <v>171</v>
      </c>
      <c r="D38" s="29">
        <v>3720</v>
      </c>
      <c r="E38" s="80">
        <v>3712</v>
      </c>
      <c r="F38" s="29">
        <v>40</v>
      </c>
      <c r="G38" s="74"/>
    </row>
    <row r="39" spans="1:13" ht="15.75" customHeight="1" x14ac:dyDescent="0.25">
      <c r="A39" s="25">
        <v>2</v>
      </c>
      <c r="B39" s="19"/>
      <c r="C39" s="34" t="s">
        <v>321</v>
      </c>
      <c r="D39" s="79">
        <v>3707</v>
      </c>
      <c r="E39" s="29">
        <v>3715</v>
      </c>
      <c r="F39" s="18"/>
      <c r="G39" s="74"/>
    </row>
    <row r="40" spans="1:13" ht="15.75" customHeight="1" x14ac:dyDescent="0.25">
      <c r="A40" s="25">
        <v>3</v>
      </c>
      <c r="B40" s="19"/>
      <c r="C40" s="34" t="s">
        <v>322</v>
      </c>
      <c r="D40" s="79">
        <v>3706</v>
      </c>
      <c r="E40" s="78">
        <v>3713</v>
      </c>
      <c r="F40" s="18"/>
      <c r="G40" s="74"/>
    </row>
    <row r="41" spans="1:13" ht="15.75" customHeight="1" x14ac:dyDescent="0.25">
      <c r="A41" s="25">
        <v>4</v>
      </c>
      <c r="B41" s="19"/>
      <c r="C41" s="34" t="s">
        <v>323</v>
      </c>
      <c r="D41" s="29"/>
      <c r="E41" s="29">
        <v>3716</v>
      </c>
      <c r="F41" s="39"/>
      <c r="G41" s="74"/>
    </row>
    <row r="42" spans="1:13" ht="15.75" customHeight="1" x14ac:dyDescent="0.25">
      <c r="A42" s="25">
        <v>5</v>
      </c>
      <c r="B42" s="19"/>
      <c r="C42" s="79" t="s">
        <v>324</v>
      </c>
      <c r="D42" s="29"/>
      <c r="E42" s="29">
        <v>3662</v>
      </c>
      <c r="F42" s="29"/>
      <c r="G42" s="74"/>
    </row>
    <row r="43" spans="1:13" x14ac:dyDescent="0.25">
      <c r="A43" s="25">
        <v>6</v>
      </c>
      <c r="B43" s="19"/>
      <c r="C43" s="79" t="s">
        <v>325</v>
      </c>
      <c r="D43" s="34"/>
      <c r="E43" s="29">
        <v>3663</v>
      </c>
      <c r="F43" s="29"/>
      <c r="G43" s="74"/>
    </row>
    <row r="44" spans="1:13" x14ac:dyDescent="0.25">
      <c r="A44" s="25">
        <v>7</v>
      </c>
      <c r="B44" s="19"/>
      <c r="C44" s="34" t="s">
        <v>326</v>
      </c>
      <c r="D44" s="34"/>
      <c r="E44" s="29">
        <v>3661</v>
      </c>
      <c r="F44" s="29"/>
      <c r="G44" s="74"/>
    </row>
    <row r="45" spans="1:13" x14ac:dyDescent="0.25">
      <c r="A45" s="25">
        <v>8</v>
      </c>
      <c r="B45" s="19"/>
      <c r="C45" s="34" t="s">
        <v>327</v>
      </c>
      <c r="D45" s="34"/>
      <c r="E45" s="29">
        <v>3664</v>
      </c>
      <c r="F45" s="29"/>
      <c r="G45" s="74"/>
    </row>
    <row r="46" spans="1:13" x14ac:dyDescent="0.25">
      <c r="A46" s="25">
        <v>9</v>
      </c>
      <c r="B46" s="19"/>
      <c r="C46" s="34"/>
      <c r="D46" s="46"/>
      <c r="E46" s="29"/>
      <c r="F46" s="29"/>
      <c r="G46" s="74"/>
    </row>
    <row r="47" spans="1:13" x14ac:dyDescent="0.25">
      <c r="A47" s="25">
        <v>10</v>
      </c>
      <c r="B47" s="19"/>
      <c r="C47" s="34"/>
      <c r="D47" s="46"/>
      <c r="E47" s="29"/>
      <c r="F47" s="29"/>
      <c r="G47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38:F40 F8:F18 F27:F32" xr:uid="{E61E5A94-8428-4EA6-94CA-49751DEB7CF5}">
      <formula1>"20,40,45,50"</formula1>
      <formula2>0</formula2>
    </dataValidation>
    <dataValidation type="list" allowBlank="1" showInputMessage="1" showErrorMessage="1" sqref="F19:F23 F33" xr:uid="{F94C0A9E-1983-44B3-964E-9A78CC5364A0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3411-B5DA-41FF-9644-27C4C45BB121}">
  <dimension ref="A1:T49"/>
  <sheetViews>
    <sheetView workbookViewId="0">
      <selection activeCell="H42" sqref="H4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0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/>
      <c r="C8" s="19"/>
      <c r="D8" s="24"/>
      <c r="E8" s="24"/>
      <c r="F8" s="18"/>
    </row>
    <row r="9" spans="1:10" x14ac:dyDescent="0.25">
      <c r="A9" s="17">
        <v>2</v>
      </c>
      <c r="B9" s="70"/>
      <c r="C9" s="19"/>
      <c r="D9" s="18"/>
      <c r="E9" s="18"/>
      <c r="F9" s="18"/>
    </row>
    <row r="10" spans="1:10" x14ac:dyDescent="0.25">
      <c r="A10" s="17">
        <v>3</v>
      </c>
      <c r="B10" s="92"/>
      <c r="C10" s="19"/>
      <c r="D10" s="18"/>
      <c r="E10" s="18"/>
      <c r="F10" s="18"/>
    </row>
    <row r="11" spans="1:10" x14ac:dyDescent="0.25">
      <c r="A11" s="17">
        <v>4</v>
      </c>
      <c r="B11" s="92"/>
      <c r="C11" s="19"/>
      <c r="D11" s="18"/>
      <c r="E11" s="18"/>
      <c r="F11" s="18"/>
    </row>
    <row r="12" spans="1:10" x14ac:dyDescent="0.25">
      <c r="A12" s="17">
        <v>5</v>
      </c>
      <c r="B12" s="92"/>
      <c r="C12" s="19"/>
      <c r="D12" s="18"/>
      <c r="E12" s="23"/>
      <c r="F12" s="18"/>
    </row>
    <row r="13" spans="1:10" x14ac:dyDescent="0.25">
      <c r="A13" s="17">
        <v>6</v>
      </c>
      <c r="B13" s="92"/>
      <c r="C13" s="19"/>
      <c r="D13" s="18"/>
      <c r="E13" s="23"/>
      <c r="F13" s="18"/>
    </row>
    <row r="14" spans="1:10" x14ac:dyDescent="0.25">
      <c r="A14" s="17">
        <v>7</v>
      </c>
      <c r="B14" s="92"/>
      <c r="C14" s="19"/>
      <c r="D14" s="18"/>
      <c r="E14" s="23"/>
      <c r="F14" s="18"/>
    </row>
    <row r="15" spans="1:10" x14ac:dyDescent="0.25">
      <c r="A15" s="17">
        <v>8</v>
      </c>
      <c r="B15" s="92"/>
      <c r="C15" s="19"/>
      <c r="D15" s="24"/>
      <c r="E15" s="23"/>
      <c r="F15" s="18"/>
    </row>
    <row r="16" spans="1:10" x14ac:dyDescent="0.25">
      <c r="A16" s="17">
        <v>9</v>
      </c>
      <c r="B16" s="92"/>
      <c r="C16" s="19"/>
      <c r="D16" s="24"/>
      <c r="E16" s="23"/>
      <c r="F16" s="18"/>
    </row>
    <row r="17" spans="1:20" x14ac:dyDescent="0.25">
      <c r="A17" s="17">
        <v>10</v>
      </c>
      <c r="B17" s="92"/>
      <c r="C17" s="19"/>
      <c r="D17" s="24"/>
      <c r="E17" s="23"/>
      <c r="F17" s="18"/>
    </row>
    <row r="18" spans="1:20" x14ac:dyDescent="0.25">
      <c r="A18" s="17">
        <v>11</v>
      </c>
      <c r="B18" s="92"/>
      <c r="C18" s="19"/>
      <c r="D18" s="18"/>
      <c r="E18" s="23"/>
      <c r="F18" s="18"/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52"/>
      <c r="E27" s="29"/>
      <c r="F27" s="66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22"/>
      <c r="E28" s="29"/>
      <c r="F28" s="66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34" t="s">
        <v>328</v>
      </c>
      <c r="D40" s="29"/>
      <c r="E40" s="80">
        <v>3669</v>
      </c>
      <c r="F40" s="29"/>
      <c r="G40" s="74"/>
    </row>
    <row r="41" spans="1:13" ht="15.75" customHeight="1" x14ac:dyDescent="0.25">
      <c r="A41" s="25">
        <v>2</v>
      </c>
      <c r="B41" s="19"/>
      <c r="C41" s="34" t="s">
        <v>329</v>
      </c>
      <c r="D41" s="34"/>
      <c r="E41" s="29">
        <v>3666</v>
      </c>
      <c r="F41" s="18"/>
      <c r="G41" s="74"/>
    </row>
    <row r="42" spans="1:13" ht="15.75" customHeight="1" x14ac:dyDescent="0.25">
      <c r="A42" s="25">
        <v>3</v>
      </c>
      <c r="B42" s="19"/>
      <c r="C42" s="34" t="s">
        <v>330</v>
      </c>
      <c r="D42" s="34" t="s">
        <v>331</v>
      </c>
      <c r="E42" s="78">
        <v>3667</v>
      </c>
      <c r="F42" s="18"/>
      <c r="G42" s="74"/>
    </row>
    <row r="43" spans="1:13" ht="15.75" customHeight="1" x14ac:dyDescent="0.25">
      <c r="A43" s="25">
        <v>4</v>
      </c>
      <c r="B43" s="19"/>
      <c r="C43" s="34" t="s">
        <v>332</v>
      </c>
      <c r="D43" s="34" t="s">
        <v>333</v>
      </c>
      <c r="E43" s="29">
        <v>3668</v>
      </c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1">
    <mergeCell ref="A3:H3"/>
  </mergeCells>
  <dataValidations count="2">
    <dataValidation type="list" allowBlank="1" showInputMessage="1" showErrorMessage="1" sqref="F19:F23 F33:F34" xr:uid="{9DD49125-3201-47B9-8F25-DA191F9048EE}">
      <formula1>"20,40,45,50"</formula1>
    </dataValidation>
    <dataValidation type="list" allowBlank="1" showInputMessage="1" showErrorMessage="1" sqref="F40:F42 F8:F18 F27:F32" xr:uid="{8238D721-B59B-4555-B936-A88079A56BE6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22</vt:i4>
      </vt:variant>
    </vt:vector>
  </HeadingPairs>
  <TitlesOfParts>
    <vt:vector size="22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  <vt:lpstr>28-09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2026-09-28T09:47:44Z</cp:lastPrinted>
  <dcterms:created xsi:type="dcterms:W3CDTF">2026-09-01T09:18:21Z</dcterms:created>
  <dcterms:modified xsi:type="dcterms:W3CDTF">2026-09-28T12:20:39Z</dcterms:modified>
</cp:coreProperties>
</file>