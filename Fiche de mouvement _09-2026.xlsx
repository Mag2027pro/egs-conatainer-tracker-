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524" documentId="8_{110EE0FD-1A37-4947-891C-6105C32C194C}" xr6:coauthVersionLast="47" xr6:coauthVersionMax="47" xr10:uidLastSave="{8DF1C95B-F325-4F74-914B-9649531AEC60}"/>
  <bookViews>
    <workbookView xWindow="-120" yWindow="-120" windowWidth="29040" windowHeight="15720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  <sheet name="22-09" sheetId="17" r:id="rId17"/>
    <sheet name="23-09" sheetId="18" r:id="rId18"/>
    <sheet name="24-09" sheetId="19" r:id="rId19"/>
    <sheet name="26-09" sheetId="20" r:id="rId20"/>
    <sheet name="27-09" sheetId="21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1" l="1"/>
  <c r="C12" i="1"/>
  <c r="D12" i="1" s="1"/>
  <c r="C4" i="1"/>
  <c r="C3" i="1"/>
  <c r="C19" i="1"/>
  <c r="B19" i="1"/>
  <c r="C21" i="1"/>
  <c r="B21" i="1"/>
  <c r="D21" i="1"/>
  <c r="J2" i="21"/>
  <c r="F2" i="21"/>
  <c r="H2" i="21" s="1"/>
  <c r="H1" i="21"/>
  <c r="B20" i="1"/>
  <c r="H1" i="20"/>
  <c r="J2" i="20"/>
  <c r="F2" i="20"/>
  <c r="H2" i="20" s="1"/>
  <c r="C20" i="1" s="1"/>
  <c r="D20" i="1" s="1"/>
  <c r="L2" i="19"/>
  <c r="H2" i="19"/>
  <c r="J2" i="19" s="1"/>
  <c r="J1" i="19"/>
  <c r="B18" i="1"/>
  <c r="J2" i="18"/>
  <c r="F2" i="18"/>
  <c r="H2" i="18" s="1"/>
  <c r="C18" i="1" s="1"/>
  <c r="D18" i="1" s="1"/>
  <c r="H1" i="18"/>
  <c r="B17" i="1"/>
  <c r="C16" i="1"/>
  <c r="B16" i="1"/>
  <c r="D16" i="1" s="1"/>
  <c r="J2" i="17"/>
  <c r="F2" i="17"/>
  <c r="H2" i="17" s="1"/>
  <c r="C17" i="1" s="1"/>
  <c r="D17" i="1" s="1"/>
  <c r="H1" i="17"/>
  <c r="B15" i="1"/>
  <c r="C15" i="1"/>
  <c r="J2" i="16"/>
  <c r="F2" i="16"/>
  <c r="H2" i="16" s="1"/>
  <c r="H1" i="16"/>
  <c r="B14" i="1"/>
  <c r="J2" i="15"/>
  <c r="F2" i="15"/>
  <c r="H2" i="15" s="1"/>
  <c r="H1" i="15"/>
  <c r="J2" i="14"/>
  <c r="F2" i="14"/>
  <c r="H2" i="14" s="1"/>
  <c r="C14" i="1" s="1"/>
  <c r="H1" i="14"/>
  <c r="J2" i="13"/>
  <c r="F2" i="13"/>
  <c r="H2" i="13" s="1"/>
  <c r="H1" i="13"/>
  <c r="B13" i="1" s="1"/>
  <c r="B12" i="1"/>
  <c r="C11" i="1"/>
  <c r="B11" i="1"/>
  <c r="D11" i="1" s="1"/>
  <c r="C10" i="1"/>
  <c r="B10" i="1"/>
  <c r="D10" i="1" s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J1" i="4"/>
  <c r="B3" i="1"/>
  <c r="D3" i="1" s="1"/>
  <c r="J2" i="3"/>
  <c r="F2" i="3"/>
  <c r="H2" i="3" s="1"/>
  <c r="H1" i="3"/>
  <c r="F2" i="2"/>
  <c r="H2" i="2" s="1"/>
  <c r="C2" i="1" s="1"/>
  <c r="J2" i="2"/>
  <c r="H1" i="2"/>
  <c r="B2" i="1" s="1"/>
  <c r="D19" i="1" l="1"/>
  <c r="D14" i="1"/>
  <c r="D15" i="1"/>
  <c r="D8" i="1"/>
  <c r="D9" i="1"/>
  <c r="D7" i="1"/>
  <c r="D5" i="1"/>
  <c r="D4" i="1"/>
  <c r="B24" i="1"/>
  <c r="D2" i="1"/>
  <c r="D13" i="1" l="1"/>
  <c r="D24" i="1" s="1"/>
  <c r="C24" i="1"/>
</calcChain>
</file>

<file path=xl/sharedStrings.xml><?xml version="1.0" encoding="utf-8"?>
<sst xmlns="http://schemas.openxmlformats.org/spreadsheetml/2006/main" count="954" uniqueCount="319">
  <si>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</si>
  <si>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</si>
  <si>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</si>
  <si>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</si>
  <si>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</si>
  <si>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</si>
  <si>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</si>
  <si>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</si>
  <si>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</si>
  <si>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</si>
  <si>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</si>
  <si>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</si>
  <si>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</si>
  <si>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</si>
  <si>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</si>
  <si>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</si>
  <si>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</si>
  <si>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</si>
  <si>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</si>
  <si>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</si>
  <si>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</si>
  <si>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</si>
  <si>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</si>
  <si>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</si>
  <si>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</si>
  <si>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</si>
  <si>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</si>
  <si>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</si>
  <si>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</si>
  <si>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</si>
  <si>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</si>
  <si>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</si>
  <si>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</si>
  <si>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</si>
  <si>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</si>
  <si>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</si>
  <si>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</si>
  <si>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</si>
  <si>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</si>
  <si>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</si>
  <si>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</si>
  <si>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</si>
  <si>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</si>
  <si>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</si>
  <si>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</si>
  <si>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</si>
  <si>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</si>
  <si>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</si>
  <si>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</si>
  <si>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</si>
  <si>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</si>
  <si>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</si>
  <si>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</si>
  <si>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</si>
  <si>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</si>
  <si>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</si>
  <si>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</si>
  <si>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</si>
  <si>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</si>
  <si>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</si>
  <si>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</si>
  <si>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</si>
  <si>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</si>
  <si>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</si>
  <si>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</si>
  <si>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</si>
  <si>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</si>
  <si>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</si>
  <si>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</si>
  <si>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</si>
  <si>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</si>
  <si>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</si>
  <si>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</si>
  <si>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</si>
  <si>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</si>
  <si>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</si>
  <si>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</si>
  <si>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</si>
  <si>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</si>
  <si>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</si>
  <si>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</si>
  <si>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</si>
  <si>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</si>
  <si>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</si>
  <si>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</si>
  <si>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</si>
  <si>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</si>
  <si>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</si>
  <si>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</si>
  <si>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</si>
  <si>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</si>
  <si>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</si>
  <si>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</si>
  <si>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</si>
  <si>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</si>
  <si>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</si>
  <si>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</si>
  <si>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</si>
  <si>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</si>
  <si>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</si>
  <si>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</si>
  <si>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</si>
  <si>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</si>
  <si>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</si>
  <si>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</si>
  <si>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</si>
  <si>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</si>
  <si>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</si>
  <si>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</si>
  <si>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</si>
  <si>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</si>
  <si>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</si>
  <si>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</si>
  <si>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</si>
  <si>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</si>
  <si>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</si>
  <si>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</si>
  <si>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</si>
  <si>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</si>
  <si>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</si>
  <si>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</si>
  <si>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</si>
  <si>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</si>
  <si>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</si>
  <si>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</si>
  <si>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</si>
  <si>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</si>
  <si>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</si>
  <si>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</si>
  <si>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</si>
  <si>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</si>
  <si>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</si>
  <si>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</si>
  <si>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</si>
  <si>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</si>
  <si>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</si>
  <si>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</si>
  <si>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</si>
  <si>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</si>
  <si>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</si>
  <si>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</si>
  <si>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</si>
  <si>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</si>
  <si>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</si>
  <si>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</si>
  <si>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</si>
  <si>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</si>
  <si>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</si>
  <si>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</si>
  <si>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</si>
  <si>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</si>
  <si>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</si>
  <si>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</si>
  <si>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</si>
  <si>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</si>
  <si>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</si>
  <si>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</si>
  <si>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</si>
  <si>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</si>
  <si>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</si>
  <si>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</si>
  <si>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</si>
  <si>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</si>
  <si>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</si>
  <si>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</si>
  <si>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</si>
  <si>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</si>
  <si>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</si>
  <si>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</si>
  <si>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</si>
  <si>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</si>
  <si>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</si>
  <si>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</si>
  <si>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</si>
  <si>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</si>
  <si>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</si>
  <si>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</si>
  <si>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</si>
  <si>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</si>
  <si>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</si>
  <si>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</si>
  <si>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</si>
  <si>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</si>
  <si>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</si>
  <si>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</si>
  <si>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</si>
  <si>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</si>
  <si>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</si>
  <si>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</si>
  <si>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</si>
  <si>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</si>
  <si>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</si>
  <si>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</si>
  <si>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</si>
  <si>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</si>
  <si>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</si>
  <si>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</si>
  <si>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</si>
  <si>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</si>
  <si>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</si>
  <si>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</si>
  <si>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</si>
  <si>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</si>
  <si>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</si>
  <si>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</si>
  <si>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</si>
  <si>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</si>
  <si>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</si>
  <si>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</si>
  <si>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</si>
  <si>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</si>
  <si>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</si>
  <si>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</si>
  <si>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</si>
  <si>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</si>
  <si>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</si>
  <si>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</si>
  <si>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</si>
  <si>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</si>
  <si>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</si>
  <si>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</si>
  <si>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</si>
  <si>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</si>
  <si>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</si>
  <si>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</si>
  <si>
    <t>MBSU281340 /6</t>
  </si>
  <si>
    <t>LB0263265</t>
  </si>
  <si>
    <t>00018-506-31</t>
  </si>
  <si>
    <t>00099-509-31</t>
  </si>
  <si>
    <t>00328-507-31</t>
  </si>
  <si>
    <t>ARKU241132 /0</t>
  </si>
  <si>
    <t>TRHU307416 /1</t>
  </si>
  <si>
    <t>MSNU191236 /9</t>
  </si>
  <si>
    <t>SK360769</t>
  </si>
  <si>
    <t>B1758829</t>
  </si>
  <si>
    <t>B1758825</t>
  </si>
  <si>
    <t>FSCU873148 /5</t>
  </si>
  <si>
    <t>HASU512425 /3</t>
  </si>
  <si>
    <t>CMAU789256 /2</t>
  </si>
  <si>
    <t>MRKU753756 /7</t>
  </si>
  <si>
    <t>ML-IN2987561</t>
  </si>
  <si>
    <t>MRKU772089 /7</t>
  </si>
  <si>
    <t>ML-IN2987565</t>
  </si>
  <si>
    <t>MRKU905919 /5</t>
  </si>
  <si>
    <t>ML-IN2987562</t>
  </si>
  <si>
    <t>MRSU023326 /7</t>
  </si>
  <si>
    <t>ML-IN2987566</t>
  </si>
  <si>
    <t>MSKU704341 /6</t>
  </si>
  <si>
    <t>ML-IN2987564</t>
  </si>
  <si>
    <t>MSKU730475 /7</t>
  </si>
  <si>
    <t>ML-IN2987563</t>
  </si>
  <si>
    <t>00117-523-31</t>
  </si>
  <si>
    <t>500017-525-31</t>
  </si>
  <si>
    <t>00139-525-31</t>
  </si>
  <si>
    <t>000164-513-31</t>
  </si>
  <si>
    <t>HLXU629565 /7</t>
  </si>
  <si>
    <t>00378-516-31</t>
  </si>
  <si>
    <t>00582-510-31</t>
  </si>
  <si>
    <t>MEDU951011 /6</t>
  </si>
  <si>
    <t>MEDU958286 /2</t>
  </si>
  <si>
    <t>FX46629585</t>
  </si>
  <si>
    <t>FX46635083</t>
  </si>
  <si>
    <t>OOCU976350 /8</t>
  </si>
  <si>
    <t>TCKU704466 /0</t>
  </si>
  <si>
    <t>FSCU805157 /5</t>
  </si>
  <si>
    <t>00053-517-31</t>
  </si>
  <si>
    <t>MSBU796594 /4</t>
  </si>
  <si>
    <t>FJ26597592</t>
  </si>
  <si>
    <t>MSNU921194 /0</t>
  </si>
  <si>
    <t>FJ26597361</t>
  </si>
  <si>
    <t>TIIU443725 /1</t>
  </si>
  <si>
    <t>FJ26597473</t>
  </si>
  <si>
    <t>UETU778883 /2</t>
  </si>
  <si>
    <t>FJ26597436</t>
  </si>
  <si>
    <t>MSDU997113 /6</t>
  </si>
  <si>
    <t>MSMU661001 /2</t>
  </si>
  <si>
    <t>0674611</t>
  </si>
  <si>
    <t>UETU703460 /0</t>
  </si>
  <si>
    <t>0674567</t>
  </si>
  <si>
    <t>MRKU588631 /7</t>
  </si>
  <si>
    <t>UETU682895 /1</t>
  </si>
  <si>
    <t>UETU818706 /0</t>
  </si>
  <si>
    <t>SUDU850406 /0</t>
  </si>
  <si>
    <t>CN6499593</t>
  </si>
  <si>
    <t>CAAU692306 /7</t>
  </si>
  <si>
    <t>CN6229789</t>
  </si>
  <si>
    <t>MRSU415138 /3</t>
  </si>
  <si>
    <t>0167ICS0129</t>
  </si>
  <si>
    <t>0168ICS0007</t>
  </si>
  <si>
    <t>0092ICS0100</t>
  </si>
  <si>
    <t>0092ICS0106</t>
  </si>
  <si>
    <t>0092ICS0025</t>
  </si>
  <si>
    <t>0092ICS0061</t>
  </si>
  <si>
    <t>OOCU568279 /5</t>
  </si>
  <si>
    <t>32460820</t>
  </si>
  <si>
    <t>MSMU923966 /7</t>
  </si>
  <si>
    <t>FX48593058</t>
  </si>
  <si>
    <t>FBLU420928 /6</t>
  </si>
  <si>
    <t>A584769</t>
  </si>
  <si>
    <t>TEXU151862 /6</t>
  </si>
  <si>
    <t>A584615</t>
  </si>
  <si>
    <t>TRIU057483 /0</t>
  </si>
  <si>
    <t>A584616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</si>
  <si>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</si>
  <si>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</si>
  <si>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</si>
  <si>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</si>
  <si>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</si>
  <si>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</si>
  <si>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</si>
  <si>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</si>
  <si>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</si>
  <si>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</si>
  <si>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</si>
  <si>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</si>
  <si>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0169ICS0028</t>
  </si>
  <si>
    <t>0167ICS0020</t>
  </si>
  <si>
    <t>0169ICS0018</t>
  </si>
  <si>
    <t>0808ICS0023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</si>
</sst>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7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10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vertical="center" wrapText="1"/>
    </xf>
    <xf numFmtId="0" fontId="8" fillId="8" borderId="1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/>
    </xf>
    <xf numFmtId="14" fontId="26" fillId="0" borderId="5" xfId="0" applyNumberFormat="1" applyFont="1" applyBorder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10" borderId="5" xfId="0" applyFont="1" applyFill="1" applyBorder="1" applyAlignment="1">
      <alignment horizontal="center" vertical="center"/>
    </xf>
    <xf numFmtId="14" fontId="26" fillId="10" borderId="5" xfId="0" applyNumberFormat="1" applyFont="1" applyFill="1" applyBorder="1" applyAlignment="1">
      <alignment vertical="center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26" fillId="0" borderId="5" xfId="0" applyFont="1" applyBorder="1" applyAlignment="1">
      <alignment horizontal="center" vertical="center"/>
    </xf>
    <xf numFmtId="14" fontId="26" fillId="0" borderId="5" xfId="0" applyNumberFormat="1" applyFont="1" applyBorder="1" applyAlignment="1">
      <alignment horizontal="center" vertical="center"/>
    </xf>
    <xf numFmtId="14" fontId="26" fillId="10" borderId="5" xfId="0" applyNumberFormat="1" applyFont="1" applyFill="1" applyBorder="1" applyAlignment="1">
      <alignment horizontal="center" vertical="center"/>
    </xf>
    <xf numFmtId="0" fontId="25" fillId="10" borderId="1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14" fontId="13" fillId="0" borderId="15" xfId="0" applyNumberFormat="1" applyFont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BC85AFE-D9D1-4696-BD71-50DB4C115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5244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DD50CFF-FF1F-4F3B-9A82-7E82108F6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FED5443-A9D1-48AE-B070-80A50A658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1491BB61-286A-4AF4-A8DA-124EF3AFD0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D088C52-137D-409D-B8B6-4B21EF548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tabSelected="1" workbookViewId="0">
      <selection activeCell="C21" sqref="C21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'02-09'!H2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'03-09'!H2</f>
        <v>0</v>
      </c>
      <c r="D4" s="4">
        <f t="shared" si="0"/>
        <v>2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2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46278</v>
      </c>
      <c r="B10" s="3">
        <f>'13-09'!H1</f>
        <v>0</v>
      </c>
      <c r="C10" s="3">
        <f>'13-09'!H2</f>
        <v>2</v>
      </c>
      <c r="D10" s="4">
        <f t="shared" si="1"/>
        <v>2</v>
      </c>
      <c r="F10" s="3"/>
    </row>
    <row r="11" spans="1:6" ht="16.5" x14ac:dyDescent="0.25">
      <c r="A11" s="2">
        <v>46279</v>
      </c>
      <c r="B11" s="3">
        <f>'14-09'!H1</f>
        <v>1</v>
      </c>
      <c r="C11" s="3">
        <f>'14-09'!H2</f>
        <v>0</v>
      </c>
      <c r="D11" s="4">
        <f t="shared" si="1"/>
        <v>1</v>
      </c>
      <c r="F11" s="3"/>
    </row>
    <row r="12" spans="1:6" ht="16.5" x14ac:dyDescent="0.25">
      <c r="A12" s="2">
        <v>46280</v>
      </c>
      <c r="B12" s="3">
        <f>'15-09'!H1</f>
        <v>4</v>
      </c>
      <c r="C12" s="3">
        <f>'15-09'!H2</f>
        <v>0</v>
      </c>
      <c r="D12" s="4">
        <f t="shared" si="1"/>
        <v>4</v>
      </c>
      <c r="F12" s="3"/>
    </row>
    <row r="13" spans="1:6" ht="16.5" x14ac:dyDescent="0.25">
      <c r="A13" s="2">
        <v>46281</v>
      </c>
      <c r="B13" s="3">
        <f>'16-09'!H1</f>
        <v>0</v>
      </c>
      <c r="C13" s="3">
        <f>'16-09'!H2</f>
        <v>12</v>
      </c>
      <c r="D13" s="4">
        <f t="shared" ref="D13" si="2">SUM(B13:C13)</f>
        <v>12</v>
      </c>
      <c r="F13" s="3"/>
    </row>
    <row r="14" spans="1:6" ht="16.5" x14ac:dyDescent="0.25">
      <c r="A14" s="2">
        <v>46282</v>
      </c>
      <c r="B14" s="3">
        <f>'17-09'!H1</f>
        <v>0</v>
      </c>
      <c r="C14" s="3">
        <f>'17-09'!H2</f>
        <v>8</v>
      </c>
      <c r="D14" s="4">
        <f t="shared" ref="D14" si="3">SUM(B14:C14)</f>
        <v>8</v>
      </c>
      <c r="F14" s="3"/>
    </row>
    <row r="15" spans="1:6" ht="16.5" x14ac:dyDescent="0.25">
      <c r="A15" s="2">
        <v>46285</v>
      </c>
      <c r="B15" s="3">
        <f>'20-09'!H1</f>
        <v>0</v>
      </c>
      <c r="C15" s="3">
        <f>'20-09'!H2</f>
        <v>2</v>
      </c>
      <c r="D15" s="4">
        <f t="shared" ref="D15" si="4">SUM(B15:C15)</f>
        <v>2</v>
      </c>
      <c r="F15" s="3"/>
    </row>
    <row r="16" spans="1:6" ht="16.5" x14ac:dyDescent="0.25">
      <c r="A16" s="2">
        <v>46286</v>
      </c>
      <c r="B16" s="3">
        <f>'21-09'!H1</f>
        <v>0</v>
      </c>
      <c r="C16" s="3">
        <f>'21-09'!H2</f>
        <v>4</v>
      </c>
      <c r="D16" s="4">
        <f t="shared" ref="D16" si="5">SUM(B16:C16)</f>
        <v>4</v>
      </c>
      <c r="F16" s="3"/>
    </row>
    <row r="17" spans="1:6" ht="16.5" x14ac:dyDescent="0.25">
      <c r="A17" s="2">
        <v>46287</v>
      </c>
      <c r="B17" s="3">
        <f>'22-09'!H1</f>
        <v>0</v>
      </c>
      <c r="C17" s="3">
        <f>'22-09'!H2</f>
        <v>8</v>
      </c>
      <c r="D17" s="4">
        <f t="shared" ref="D17" si="6">SUM(B17:C17)</f>
        <v>8</v>
      </c>
      <c r="F17" s="3"/>
    </row>
    <row r="18" spans="1:6" ht="16.5" x14ac:dyDescent="0.25">
      <c r="A18" s="2">
        <v>46288</v>
      </c>
      <c r="B18" s="3">
        <f>'23-09'!H1</f>
        <v>0</v>
      </c>
      <c r="C18" s="3">
        <f>'23-09'!H2</f>
        <v>1</v>
      </c>
      <c r="D18" s="4">
        <f t="shared" ref="D18" si="7">SUM(B18:C18)</f>
        <v>1</v>
      </c>
      <c r="F18" s="3"/>
    </row>
    <row r="19" spans="1:6" ht="16.5" x14ac:dyDescent="0.25">
      <c r="A19" s="2">
        <v>46289</v>
      </c>
      <c r="B19" s="3">
        <f>'24-09'!H1</f>
        <v>0</v>
      </c>
      <c r="C19" s="3">
        <f>'24-09'!H2</f>
        <v>0</v>
      </c>
      <c r="D19" s="4">
        <f t="shared" ref="D19:D20" si="8">SUM(B19:C19)</f>
        <v>0</v>
      </c>
      <c r="F19" s="3"/>
    </row>
    <row r="20" spans="1:6" ht="16.5" x14ac:dyDescent="0.25">
      <c r="A20" s="2">
        <v>46291</v>
      </c>
      <c r="B20" s="3">
        <f>'26-09'!H1</f>
        <v>9</v>
      </c>
      <c r="C20" s="3">
        <f>'26-09'!H2</f>
        <v>0</v>
      </c>
      <c r="D20" s="4">
        <f t="shared" si="8"/>
        <v>9</v>
      </c>
      <c r="F20" s="3"/>
    </row>
    <row r="21" spans="1:6" ht="16.5" x14ac:dyDescent="0.25">
      <c r="A21" s="2">
        <v>46292</v>
      </c>
      <c r="B21" s="3">
        <f>'27-09'!H1</f>
        <v>11</v>
      </c>
      <c r="C21" s="3">
        <f>'27-09'!H2</f>
        <v>0</v>
      </c>
      <c r="D21" s="4">
        <f t="shared" ref="D21" si="9">SUM(B21:C21)</f>
        <v>11</v>
      </c>
      <c r="F21" s="3"/>
    </row>
    <row r="22" spans="1:6" ht="16.5" x14ac:dyDescent="0.25">
      <c r="A22" s="2">
        <v>46293</v>
      </c>
      <c r="B22" s="3"/>
      <c r="C22" s="3"/>
      <c r="D22" s="4"/>
      <c r="F22" s="3"/>
    </row>
    <row r="23" spans="1:6" ht="16.5" x14ac:dyDescent="0.25">
      <c r="A23" s="2">
        <v>46294</v>
      </c>
      <c r="B23" s="3"/>
      <c r="C23" s="3"/>
      <c r="D23" s="4"/>
      <c r="F23" s="3"/>
    </row>
    <row r="24" spans="1:6" ht="16.5" x14ac:dyDescent="0.25">
      <c r="A24" s="1" t="s">
        <v>5</v>
      </c>
      <c r="B24" s="5">
        <f>SUM(B2:B20)</f>
        <v>39</v>
      </c>
      <c r="C24" s="5">
        <f>SUM(C2:C20)</f>
        <v>50</v>
      </c>
      <c r="D24" s="5">
        <f>SUM(D2:D20)</f>
        <v>89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topLeftCell="A3" workbookViewId="0">
      <selection activeCell="D8" sqref="D8:F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2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F11" sqref="D11:F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106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93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94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94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94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94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95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96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96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96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96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96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96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D11" sqref="D11:E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97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97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97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97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97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97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97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97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97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97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35"/>
      <c r="B34" s="36"/>
      <c r="C34" s="37"/>
      <c r="D34" s="75"/>
      <c r="E34" s="35"/>
      <c r="F34" s="41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97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97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97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97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97"/>
    </row>
    <row r="43" spans="1:7" x14ac:dyDescent="0.25">
      <c r="A43" s="25">
        <v>6</v>
      </c>
      <c r="B43" s="19"/>
      <c r="C43" s="34"/>
      <c r="D43" s="46"/>
      <c r="E43" s="29"/>
      <c r="F43" s="29"/>
      <c r="G43" s="97"/>
    </row>
    <row r="44" spans="1:7" x14ac:dyDescent="0.25">
      <c r="A44" s="25">
        <v>7</v>
      </c>
      <c r="B44" s="19"/>
      <c r="C44" s="34"/>
      <c r="D44" s="46"/>
      <c r="E44" s="29"/>
      <c r="F44" s="29"/>
      <c r="G44" s="97"/>
    </row>
    <row r="45" spans="1:7" x14ac:dyDescent="0.25">
      <c r="A45" s="25">
        <v>8</v>
      </c>
      <c r="B45" s="19"/>
      <c r="C45" s="34"/>
      <c r="D45" s="46"/>
      <c r="E45" s="29"/>
      <c r="F45" s="29"/>
      <c r="G45" s="97"/>
    </row>
    <row r="46" spans="1:7" x14ac:dyDescent="0.25">
      <c r="A46" s="25">
        <v>9</v>
      </c>
      <c r="B46" s="19"/>
      <c r="C46" s="34"/>
      <c r="D46" s="46"/>
      <c r="E46" s="29"/>
      <c r="F46" s="29"/>
      <c r="G46" s="97"/>
    </row>
    <row r="47" spans="1:7" x14ac:dyDescent="0.25">
      <c r="A47" s="25">
        <v>10</v>
      </c>
      <c r="B47" s="19"/>
      <c r="C47" s="34"/>
      <c r="D47" s="46"/>
      <c r="E47" s="29"/>
      <c r="F47" s="29"/>
      <c r="G47" s="97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3558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topLeftCell="A3"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77" t="s">
        <v>97</v>
      </c>
      <c r="D37" s="77" t="s">
        <v>98</v>
      </c>
      <c r="E37" s="7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79" t="s">
        <v>218</v>
      </c>
      <c r="D38" s="77" t="s">
        <v>219</v>
      </c>
      <c r="E38" s="7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7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4"/>
  <sheetViews>
    <sheetView topLeftCell="A3"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4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5" ht="15.75" x14ac:dyDescent="0.25">
      <c r="A17" s="6"/>
      <c r="B17" s="11" t="s">
        <v>20</v>
      </c>
    </row>
    <row r="18" spans="1:15" ht="15.75" thickBot="1" x14ac:dyDescent="0.3">
      <c r="A18" s="6"/>
      <c r="B18" s="13"/>
      <c r="C18" s="7"/>
      <c r="D18" s="7"/>
      <c r="E18" s="7"/>
      <c r="F18" s="7"/>
    </row>
    <row r="19" spans="1:15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5" x14ac:dyDescent="0.25">
      <c r="A20" s="25">
        <v>1</v>
      </c>
      <c r="B20" s="19">
        <v>21092026</v>
      </c>
      <c r="C20" s="34" t="s">
        <v>33</v>
      </c>
      <c r="D20" s="24" t="s">
        <v>130</v>
      </c>
      <c r="E20" s="39">
        <v>3558</v>
      </c>
      <c r="F20" s="32">
        <v>40</v>
      </c>
    </row>
    <row r="21" spans="1:15" ht="15.75" customHeight="1" x14ac:dyDescent="0.25">
      <c r="A21" s="25">
        <v>2</v>
      </c>
      <c r="B21" s="19">
        <v>21092026</v>
      </c>
      <c r="C21" s="29" t="s">
        <v>228</v>
      </c>
      <c r="D21" s="34" t="s">
        <v>220</v>
      </c>
      <c r="E21" s="29">
        <v>3660</v>
      </c>
      <c r="F21" s="66">
        <v>40</v>
      </c>
      <c r="I21" s="31"/>
      <c r="J21" s="31"/>
      <c r="K21" s="31"/>
      <c r="L21" s="31"/>
      <c r="M21" s="31"/>
    </row>
    <row r="22" spans="1:15" ht="15.75" customHeight="1" x14ac:dyDescent="0.25">
      <c r="A22" s="25">
        <v>3</v>
      </c>
      <c r="B22" s="19">
        <v>21092026</v>
      </c>
      <c r="C22" s="27" t="s">
        <v>229</v>
      </c>
      <c r="D22" s="28" t="s">
        <v>221</v>
      </c>
      <c r="E22" s="29">
        <v>3659</v>
      </c>
      <c r="F22" s="39">
        <v>40</v>
      </c>
      <c r="I22" s="31"/>
      <c r="J22" s="31"/>
      <c r="K22" s="31"/>
      <c r="L22" s="31"/>
      <c r="M22" s="31"/>
    </row>
    <row r="23" spans="1:15" ht="15.75" customHeight="1" x14ac:dyDescent="0.25">
      <c r="A23" s="25">
        <v>4</v>
      </c>
      <c r="B23" s="19">
        <v>21092026</v>
      </c>
      <c r="C23" s="29" t="s">
        <v>227</v>
      </c>
      <c r="D23" s="34" t="s">
        <v>222</v>
      </c>
      <c r="E23" s="29">
        <v>3658</v>
      </c>
      <c r="F23" s="29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5</v>
      </c>
      <c r="B24" s="19"/>
      <c r="C24" s="29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6</v>
      </c>
      <c r="B25" s="19"/>
      <c r="C25" s="27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7</v>
      </c>
      <c r="B26" s="19"/>
      <c r="C26" s="29"/>
      <c r="D26" s="24"/>
      <c r="F26" s="32"/>
      <c r="I26" s="31"/>
      <c r="J26" s="31"/>
      <c r="K26" s="31"/>
      <c r="L26" s="31"/>
      <c r="M26" s="31"/>
    </row>
    <row r="27" spans="1:15" x14ac:dyDescent="0.25">
      <c r="A27" s="25">
        <v>8</v>
      </c>
      <c r="B27" s="19"/>
      <c r="C27" s="27"/>
      <c r="D27" s="24"/>
      <c r="E27" s="24"/>
      <c r="F27" s="32"/>
    </row>
    <row r="28" spans="1:15" x14ac:dyDescent="0.25">
      <c r="A28" s="25">
        <v>9</v>
      </c>
      <c r="B28" s="19"/>
      <c r="C28" s="27"/>
      <c r="D28" s="28"/>
      <c r="E28" s="30"/>
      <c r="F28" s="25"/>
    </row>
    <row r="29" spans="1:15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15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15" ht="15.75" customHeight="1" x14ac:dyDescent="0.25">
      <c r="A31" s="35"/>
      <c r="B31" s="36"/>
      <c r="C31" s="37"/>
      <c r="D31"/>
      <c r="E31" s="38"/>
      <c r="F31" s="35"/>
    </row>
    <row r="32" spans="1:15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21092026</v>
      </c>
      <c r="C35" s="34" t="s">
        <v>225</v>
      </c>
      <c r="D35" s="28" t="s">
        <v>226</v>
      </c>
      <c r="E35" s="80">
        <v>3655</v>
      </c>
      <c r="F35" s="18">
        <v>20</v>
      </c>
      <c r="G35" s="74"/>
    </row>
    <row r="36" spans="1:7" ht="15.75" customHeight="1" x14ac:dyDescent="0.25">
      <c r="A36" s="25">
        <v>2</v>
      </c>
      <c r="B36" s="19">
        <v>21092026</v>
      </c>
      <c r="C36" s="28" t="s">
        <v>136</v>
      </c>
      <c r="D36" s="29">
        <v>239388</v>
      </c>
      <c r="E36" s="29">
        <v>3559</v>
      </c>
      <c r="F36" s="18">
        <v>40</v>
      </c>
      <c r="G36" s="74"/>
    </row>
    <row r="37" spans="1:7" ht="15.75" customHeight="1" x14ac:dyDescent="0.25">
      <c r="A37" s="25">
        <v>3</v>
      </c>
      <c r="B37" s="19"/>
      <c r="C37" s="34"/>
      <c r="D37" s="46"/>
      <c r="E37" s="29"/>
      <c r="F37" s="66"/>
      <c r="G37" s="74"/>
    </row>
    <row r="38" spans="1:7" ht="15.75" customHeight="1" x14ac:dyDescent="0.25">
      <c r="A38" s="25">
        <v>4</v>
      </c>
      <c r="B38" s="19"/>
      <c r="C38" s="28"/>
      <c r="D38" s="76"/>
      <c r="E38" s="29"/>
      <c r="F38" s="39"/>
      <c r="G38" s="74"/>
    </row>
    <row r="39" spans="1:7" ht="15.75" customHeight="1" x14ac:dyDescent="0.25">
      <c r="A39" s="25">
        <v>5</v>
      </c>
      <c r="B39" s="19"/>
      <c r="C39" s="34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46"/>
      <c r="E40" s="29"/>
      <c r="F40" s="29"/>
      <c r="G40" s="74"/>
    </row>
    <row r="41" spans="1:7" x14ac:dyDescent="0.25">
      <c r="A41" s="25">
        <v>7</v>
      </c>
      <c r="B41" s="19"/>
      <c r="C41" s="34"/>
      <c r="D41" s="46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0 F24:F27" xr:uid="{314564C8-73C4-4FE1-B1A4-E2956228C86B}">
      <formula1>"20,40,45,50"</formula1>
    </dataValidation>
    <dataValidation type="list" allowBlank="1" showInputMessage="1" showErrorMessage="1" sqref="F35:F37 F21 F8:F15" xr:uid="{E43818B9-96C6-4529-B8DF-B4F7D161AD5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184E-8A55-4168-8E2F-3007313C04E4}">
  <dimension ref="A1:T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8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0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>
        <v>22092026</v>
      </c>
      <c r="C27" s="27" t="s">
        <v>256</v>
      </c>
      <c r="D27" s="24" t="s">
        <v>218</v>
      </c>
      <c r="E27" s="24">
        <v>3657</v>
      </c>
      <c r="F27" s="32">
        <v>40</v>
      </c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0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C3462CE8-8B3A-4838-AE1A-E8D51F80F098}">
      <formula1>"20,40,45,50"</formula1>
      <formula2>0</formula2>
    </dataValidation>
    <dataValidation type="list" allowBlank="1" showInputMessage="1" showErrorMessage="1" sqref="F16 F26:F27" xr:uid="{A9875B32-7784-4A44-B6FD-4CB069812067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F363-DF41-4D97-B1E8-59137C43A9C5}">
  <dimension ref="A1:T44"/>
  <sheetViews>
    <sheetView workbookViewId="0">
      <selection activeCell="G6" sqref="G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46288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257</v>
      </c>
      <c r="D20" s="18" t="s">
        <v>225</v>
      </c>
      <c r="E20" s="18">
        <v>3655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23092026</v>
      </c>
      <c r="C35" s="18" t="s">
        <v>106</v>
      </c>
      <c r="D35" s="18" t="s">
        <v>107</v>
      </c>
      <c r="E35" s="29">
        <v>3704</v>
      </c>
      <c r="F35" s="18">
        <v>45</v>
      </c>
      <c r="G35" s="74"/>
    </row>
    <row r="36" spans="1:7" ht="15.75" customHeight="1" x14ac:dyDescent="0.25">
      <c r="A36" s="25">
        <v>2</v>
      </c>
      <c r="B36" s="19"/>
      <c r="C36" s="28"/>
      <c r="D36" s="29"/>
      <c r="E36" s="29"/>
      <c r="F36" s="18"/>
      <c r="G36" s="74"/>
    </row>
    <row r="37" spans="1:7" ht="15.75" customHeight="1" x14ac:dyDescent="0.25">
      <c r="A37" s="25">
        <v>3</v>
      </c>
      <c r="B37" s="19"/>
      <c r="C37" s="28"/>
      <c r="D37" s="34"/>
      <c r="F37" s="18"/>
      <c r="G37" s="74"/>
    </row>
    <row r="38" spans="1:7" ht="15.75" customHeight="1" x14ac:dyDescent="0.25">
      <c r="A38" s="25">
        <v>4</v>
      </c>
      <c r="B38" s="19"/>
      <c r="C38" s="77"/>
      <c r="D38" s="29"/>
      <c r="E38" s="29"/>
      <c r="F38" s="39"/>
      <c r="G38" s="74"/>
    </row>
    <row r="39" spans="1:7" ht="15.75" customHeight="1" x14ac:dyDescent="0.25">
      <c r="A39" s="25">
        <v>5</v>
      </c>
      <c r="B39" s="19"/>
      <c r="C39" s="28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34"/>
      <c r="E40" s="29"/>
      <c r="F40" s="29"/>
      <c r="G40" s="74"/>
    </row>
    <row r="41" spans="1:7" x14ac:dyDescent="0.25">
      <c r="A41" s="25">
        <v>7</v>
      </c>
      <c r="B41" s="19"/>
      <c r="C41" s="34"/>
      <c r="D41" s="34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6:F27" xr:uid="{D0CD690B-E68F-48FC-A110-B334FF72DAC3}">
      <formula1>"20,40,45,50"</formula1>
    </dataValidation>
    <dataValidation type="list" allowBlank="1" showInputMessage="1" showErrorMessage="1" sqref="F35:F37 F8:F15 F20:F25" xr:uid="{716D21BA-24B1-40B3-B493-FD2632C7794E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4D3A5-CFFF-48EE-8F0B-F48094E9F832}">
  <dimension ref="A1:T44"/>
  <sheetViews>
    <sheetView topLeftCell="A12" workbookViewId="0">
      <selection activeCell="L30" sqref="L3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0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1</v>
      </c>
      <c r="K2" s="9" t="s">
        <v>6</v>
      </c>
      <c r="L2" s="10">
        <f>COUNTIF(E20:E29,"VIDE")</f>
        <v>0</v>
      </c>
    </row>
    <row r="3" spans="1:12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46289</v>
      </c>
    </row>
    <row r="6" spans="1:12" s="7" customFormat="1" ht="14.25" x14ac:dyDescent="0.25">
      <c r="A6" s="6"/>
      <c r="B6" s="13"/>
    </row>
    <row r="7" spans="1:12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2" x14ac:dyDescent="0.25">
      <c r="A8" s="17">
        <v>1</v>
      </c>
      <c r="B8" s="25"/>
      <c r="C8" s="68"/>
      <c r="D8" s="24"/>
      <c r="E8" s="24"/>
      <c r="F8" s="18"/>
    </row>
    <row r="9" spans="1:12" x14ac:dyDescent="0.25">
      <c r="A9" s="17">
        <v>2</v>
      </c>
      <c r="B9" s="70"/>
      <c r="C9" s="68"/>
      <c r="D9" s="18"/>
      <c r="E9" s="18"/>
      <c r="F9" s="18"/>
    </row>
    <row r="10" spans="1:12" x14ac:dyDescent="0.25">
      <c r="A10" s="17">
        <v>3</v>
      </c>
      <c r="B10" s="70"/>
      <c r="C10" s="68"/>
      <c r="D10" s="18"/>
      <c r="E10" s="18"/>
      <c r="F10" s="18"/>
    </row>
    <row r="11" spans="1:12" x14ac:dyDescent="0.25">
      <c r="A11" s="17">
        <v>4</v>
      </c>
      <c r="B11" s="70"/>
      <c r="C11" s="68"/>
      <c r="D11" s="18"/>
      <c r="E11" s="18"/>
      <c r="F11" s="18"/>
    </row>
    <row r="12" spans="1:12" x14ac:dyDescent="0.25">
      <c r="A12" s="17">
        <v>5</v>
      </c>
      <c r="B12" s="63"/>
      <c r="C12" s="68"/>
      <c r="D12" s="18"/>
      <c r="E12" s="18"/>
      <c r="F12" s="18"/>
    </row>
    <row r="13" spans="1:12" x14ac:dyDescent="0.25">
      <c r="A13" s="17">
        <v>6</v>
      </c>
      <c r="B13" s="63"/>
      <c r="C13" s="68"/>
      <c r="D13" s="18"/>
      <c r="E13" s="18"/>
      <c r="F13" s="18"/>
    </row>
    <row r="14" spans="1:12" x14ac:dyDescent="0.25">
      <c r="A14" s="17">
        <v>7</v>
      </c>
      <c r="B14" s="63"/>
      <c r="C14" s="68"/>
      <c r="D14" s="24"/>
      <c r="E14" s="24"/>
      <c r="F14" s="18"/>
    </row>
    <row r="15" spans="1:12" x14ac:dyDescent="0.25">
      <c r="A15" s="17">
        <v>8</v>
      </c>
      <c r="B15" s="42"/>
      <c r="C15" s="68"/>
      <c r="D15" s="24"/>
      <c r="E15" s="23"/>
      <c r="F15" s="18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265</v>
      </c>
      <c r="D20" s="18" t="s">
        <v>106</v>
      </c>
      <c r="E20" s="18">
        <v>3704</v>
      </c>
      <c r="F20" s="18">
        <v>45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24092026</v>
      </c>
      <c r="C35" s="18" t="s">
        <v>177</v>
      </c>
      <c r="D35" s="18" t="s">
        <v>178</v>
      </c>
      <c r="E35" s="29">
        <v>3708</v>
      </c>
      <c r="F35" s="18">
        <v>45</v>
      </c>
      <c r="G35" s="74"/>
    </row>
    <row r="36" spans="1:7" ht="15.75" customHeight="1" x14ac:dyDescent="0.25">
      <c r="A36" s="25">
        <v>2</v>
      </c>
      <c r="B36" s="19">
        <v>24092026</v>
      </c>
      <c r="C36" s="79" t="s">
        <v>258</v>
      </c>
      <c r="D36" s="79" t="s">
        <v>260</v>
      </c>
      <c r="E36" s="29">
        <v>3709</v>
      </c>
      <c r="F36" s="18">
        <v>45</v>
      </c>
      <c r="G36" s="74"/>
    </row>
    <row r="37" spans="1:7" ht="15.75" customHeight="1" x14ac:dyDescent="0.25">
      <c r="A37" s="25">
        <v>3</v>
      </c>
      <c r="B37" s="19">
        <v>24092026</v>
      </c>
      <c r="C37" s="79" t="s">
        <v>259</v>
      </c>
      <c r="D37" s="79" t="s">
        <v>261</v>
      </c>
      <c r="E37" s="78">
        <v>3710</v>
      </c>
      <c r="F37" s="18">
        <v>45</v>
      </c>
      <c r="G37" s="74"/>
    </row>
    <row r="38" spans="1:7" ht="15.75" customHeight="1" x14ac:dyDescent="0.25">
      <c r="A38" s="25">
        <v>4</v>
      </c>
      <c r="B38" s="19">
        <v>24092026</v>
      </c>
      <c r="C38" s="79" t="s">
        <v>262</v>
      </c>
      <c r="D38" s="29"/>
      <c r="E38" s="29">
        <v>3717</v>
      </c>
      <c r="F38" s="39">
        <v>40</v>
      </c>
      <c r="G38" s="74"/>
    </row>
    <row r="39" spans="1:7" ht="15.75" customHeight="1" x14ac:dyDescent="0.25">
      <c r="A39" s="25">
        <v>5</v>
      </c>
      <c r="B39" s="19">
        <v>24092026</v>
      </c>
      <c r="C39" s="79" t="s">
        <v>263</v>
      </c>
      <c r="D39" s="29"/>
      <c r="E39" s="29">
        <v>3718</v>
      </c>
      <c r="F39" s="29">
        <v>40</v>
      </c>
      <c r="G39" s="74"/>
    </row>
    <row r="40" spans="1:7" x14ac:dyDescent="0.25">
      <c r="A40" s="25">
        <v>6</v>
      </c>
      <c r="B40" s="19">
        <v>24092026</v>
      </c>
      <c r="C40" s="79" t="s">
        <v>264</v>
      </c>
      <c r="D40" s="34"/>
      <c r="E40" s="29">
        <v>3719</v>
      </c>
      <c r="F40" s="29">
        <v>40</v>
      </c>
      <c r="G40" s="74"/>
    </row>
    <row r="41" spans="1:7" x14ac:dyDescent="0.25">
      <c r="A41" s="25">
        <v>7</v>
      </c>
      <c r="B41" s="19">
        <v>24092026</v>
      </c>
      <c r="C41" s="34" t="s">
        <v>173</v>
      </c>
      <c r="D41" s="34">
        <v>5055347</v>
      </c>
      <c r="E41" s="29">
        <v>3705</v>
      </c>
      <c r="F41" s="29">
        <v>40</v>
      </c>
      <c r="G41" s="74"/>
    </row>
    <row r="42" spans="1:7" x14ac:dyDescent="0.25">
      <c r="A42" s="25">
        <v>8</v>
      </c>
      <c r="B42" s="19">
        <v>24092026</v>
      </c>
      <c r="C42" s="34" t="s">
        <v>171</v>
      </c>
      <c r="D42" s="34" t="s">
        <v>172</v>
      </c>
      <c r="E42" s="29">
        <v>3720</v>
      </c>
      <c r="F42" s="29">
        <v>40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873A6CC2-B0AC-4252-9BA5-5B51ADAB7F71}">
      <formula1>"20,40,45,50"</formula1>
      <formula2>0</formula2>
    </dataValidation>
    <dataValidation type="list" allowBlank="1" showInputMessage="1" showErrorMessage="1" sqref="F16 F26:F27" xr:uid="{023A5CA8-4A36-4483-9D17-0471F6DF8341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B8252-087A-4065-950E-9C8686BFED82}">
  <dimension ref="A1:T49"/>
  <sheetViews>
    <sheetView topLeftCell="A12" workbookViewId="0">
      <selection activeCell="H9" sqref="H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9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46291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98" t="s">
        <v>287</v>
      </c>
      <c r="C8" s="19">
        <v>26092026</v>
      </c>
      <c r="D8" s="83" t="s">
        <v>266</v>
      </c>
      <c r="E8" s="83" t="s">
        <v>267</v>
      </c>
      <c r="F8" s="84" t="s">
        <v>16</v>
      </c>
    </row>
    <row r="9" spans="1:10" x14ac:dyDescent="0.25">
      <c r="A9" s="17">
        <v>2</v>
      </c>
      <c r="B9" s="98"/>
      <c r="C9" s="19">
        <v>26092026</v>
      </c>
      <c r="D9" s="85" t="s">
        <v>268</v>
      </c>
      <c r="E9" s="84" t="s">
        <v>269</v>
      </c>
      <c r="F9" s="84" t="s">
        <v>16</v>
      </c>
    </row>
    <row r="10" spans="1:10" x14ac:dyDescent="0.25">
      <c r="A10" s="17">
        <v>3</v>
      </c>
      <c r="B10" s="98"/>
      <c r="C10" s="19">
        <v>26092026</v>
      </c>
      <c r="D10" s="84" t="s">
        <v>270</v>
      </c>
      <c r="E10" s="84" t="s">
        <v>271</v>
      </c>
      <c r="F10" s="84" t="s">
        <v>16</v>
      </c>
    </row>
    <row r="11" spans="1:10" x14ac:dyDescent="0.25">
      <c r="A11" s="17">
        <v>4</v>
      </c>
      <c r="B11" s="98"/>
      <c r="C11" s="19">
        <v>26092026</v>
      </c>
      <c r="D11" s="84" t="s">
        <v>272</v>
      </c>
      <c r="E11" s="84" t="s">
        <v>273</v>
      </c>
      <c r="F11" s="84" t="s">
        <v>16</v>
      </c>
    </row>
    <row r="12" spans="1:10" x14ac:dyDescent="0.25">
      <c r="A12" s="17">
        <v>5</v>
      </c>
      <c r="B12" s="99" t="s">
        <v>288</v>
      </c>
      <c r="C12" s="19">
        <v>26092026</v>
      </c>
      <c r="D12" s="84" t="s">
        <v>274</v>
      </c>
      <c r="E12" s="86" t="s">
        <v>156</v>
      </c>
      <c r="F12" s="84" t="s">
        <v>157</v>
      </c>
    </row>
    <row r="13" spans="1:10" x14ac:dyDescent="0.25">
      <c r="A13" s="17">
        <v>6</v>
      </c>
      <c r="B13" s="99"/>
      <c r="C13" s="19">
        <v>26092026</v>
      </c>
      <c r="D13" s="84" t="s">
        <v>275</v>
      </c>
      <c r="E13" s="86" t="s">
        <v>276</v>
      </c>
      <c r="F13" s="84" t="s">
        <v>16</v>
      </c>
    </row>
    <row r="14" spans="1:10" x14ac:dyDescent="0.25">
      <c r="A14" s="17">
        <v>7</v>
      </c>
      <c r="B14" s="99"/>
      <c r="C14" s="19">
        <v>26092026</v>
      </c>
      <c r="D14" s="84" t="s">
        <v>277</v>
      </c>
      <c r="E14" s="86" t="s">
        <v>278</v>
      </c>
      <c r="F14" s="84" t="s">
        <v>16</v>
      </c>
    </row>
    <row r="15" spans="1:10" x14ac:dyDescent="0.25">
      <c r="A15" s="17">
        <v>8</v>
      </c>
      <c r="B15" s="100" t="s">
        <v>289</v>
      </c>
      <c r="C15" s="19"/>
      <c r="D15" s="87" t="s">
        <v>279</v>
      </c>
      <c r="E15" s="101" t="s">
        <v>77</v>
      </c>
      <c r="F15" s="84" t="s">
        <v>16</v>
      </c>
    </row>
    <row r="16" spans="1:10" x14ac:dyDescent="0.25">
      <c r="A16" s="17">
        <v>9</v>
      </c>
      <c r="B16" s="100"/>
      <c r="C16" s="19"/>
      <c r="D16" s="87" t="s">
        <v>280</v>
      </c>
      <c r="E16" s="102"/>
      <c r="F16" s="84" t="s">
        <v>16</v>
      </c>
    </row>
    <row r="17" spans="1:20" x14ac:dyDescent="0.25">
      <c r="A17" s="17">
        <v>10</v>
      </c>
      <c r="B17" s="100"/>
      <c r="C17" s="19"/>
      <c r="D17" s="87" t="s">
        <v>281</v>
      </c>
      <c r="E17" s="103"/>
      <c r="F17" s="84" t="s">
        <v>16</v>
      </c>
    </row>
    <row r="18" spans="1:20" x14ac:dyDescent="0.25">
      <c r="A18" s="17">
        <v>11</v>
      </c>
      <c r="B18" s="88" t="s">
        <v>290</v>
      </c>
      <c r="C18" s="19">
        <v>26092026</v>
      </c>
      <c r="D18" s="84" t="s">
        <v>282</v>
      </c>
      <c r="E18" s="86" t="s">
        <v>283</v>
      </c>
      <c r="F18" s="84" t="s">
        <v>16</v>
      </c>
    </row>
    <row r="19" spans="1:20" x14ac:dyDescent="0.25">
      <c r="A19" s="17">
        <v>12</v>
      </c>
      <c r="B19" s="88" t="s">
        <v>291</v>
      </c>
      <c r="C19" s="19">
        <v>26092026</v>
      </c>
      <c r="D19" s="84" t="s">
        <v>284</v>
      </c>
      <c r="E19" s="84" t="s">
        <v>285</v>
      </c>
      <c r="F19" s="84" t="s">
        <v>16</v>
      </c>
      <c r="G19" s="7"/>
    </row>
    <row r="20" spans="1:20" x14ac:dyDescent="0.25">
      <c r="A20" s="17">
        <v>13</v>
      </c>
      <c r="B20" s="91" t="s">
        <v>292</v>
      </c>
      <c r="C20" s="62"/>
      <c r="D20" s="84" t="s">
        <v>286</v>
      </c>
      <c r="E20" s="90" t="s">
        <v>77</v>
      </c>
      <c r="F20" s="84" t="s">
        <v>16</v>
      </c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18"/>
      <c r="E27" s="18"/>
      <c r="F27" s="18"/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/>
      <c r="C28" s="29"/>
      <c r="D28" s="18"/>
      <c r="E28" s="18"/>
      <c r="F28" s="18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18"/>
      <c r="D40" s="18"/>
      <c r="E40" s="29"/>
      <c r="F40" s="18"/>
      <c r="G40" s="74"/>
    </row>
    <row r="41" spans="1:13" ht="15.75" customHeight="1" x14ac:dyDescent="0.25">
      <c r="A41" s="25">
        <v>2</v>
      </c>
      <c r="B41" s="19"/>
      <c r="C41" s="79"/>
      <c r="D41" s="79"/>
      <c r="E41" s="29"/>
      <c r="F41" s="18"/>
      <c r="G41" s="74"/>
    </row>
    <row r="42" spans="1:13" ht="15.75" customHeight="1" x14ac:dyDescent="0.25">
      <c r="A42" s="25">
        <v>3</v>
      </c>
      <c r="B42" s="19"/>
      <c r="C42" s="79"/>
      <c r="D42" s="79"/>
      <c r="E42" s="78"/>
      <c r="F42" s="18"/>
      <c r="G42" s="74"/>
    </row>
    <row r="43" spans="1:13" ht="15.75" customHeight="1" x14ac:dyDescent="0.25">
      <c r="A43" s="25">
        <v>4</v>
      </c>
      <c r="B43" s="19"/>
      <c r="C43" s="79"/>
      <c r="D43" s="29"/>
      <c r="E43" s="29"/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5">
    <mergeCell ref="A3:H3"/>
    <mergeCell ref="B8:B11"/>
    <mergeCell ref="B12:B14"/>
    <mergeCell ref="B15:B17"/>
    <mergeCell ref="E15:E17"/>
  </mergeCells>
  <dataValidations count="2">
    <dataValidation type="list" allowBlank="1" showInputMessage="1" showErrorMessage="1" sqref="F19:F23 F33:F34" xr:uid="{2FD89AD0-6AA4-4C2B-964B-485092017FF2}">
      <formula1>"20,40,45,50"</formula1>
    </dataValidation>
    <dataValidation type="list" allowBlank="1" showInputMessage="1" showErrorMessage="1" sqref="F40:F42 F8:F18 F27:F32" xr:uid="{E5CF159C-BA46-4A60-AFDF-8A14E90B8B39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A0A24-340E-4657-BA50-75E4DF83C216}">
  <dimension ref="A1:T49"/>
  <sheetViews>
    <sheetView workbookViewId="0">
      <selection activeCell="B13" sqref="B13:B1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11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92" t="s">
        <v>8</v>
      </c>
      <c r="B3" s="92"/>
      <c r="C3" s="92"/>
      <c r="D3" s="92"/>
      <c r="E3" s="92"/>
      <c r="F3" s="92"/>
      <c r="G3" s="92"/>
      <c r="H3" s="9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46292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25" t="s">
        <v>315</v>
      </c>
      <c r="C8" s="19">
        <v>27092026</v>
      </c>
      <c r="D8" s="24" t="s">
        <v>293</v>
      </c>
      <c r="E8" s="24" t="s">
        <v>294</v>
      </c>
      <c r="F8" s="18" t="s">
        <v>16</v>
      </c>
    </row>
    <row r="9" spans="1:10" x14ac:dyDescent="0.25">
      <c r="A9" s="17">
        <v>2</v>
      </c>
      <c r="B9" s="70" t="s">
        <v>316</v>
      </c>
      <c r="C9" s="19">
        <v>27092026</v>
      </c>
      <c r="D9" s="18" t="s">
        <v>295</v>
      </c>
      <c r="E9" s="18" t="s">
        <v>296</v>
      </c>
      <c r="F9" s="18" t="s">
        <v>70</v>
      </c>
    </row>
    <row r="10" spans="1:10" x14ac:dyDescent="0.25">
      <c r="A10" s="17">
        <v>3</v>
      </c>
      <c r="B10" s="104" t="s">
        <v>317</v>
      </c>
      <c r="C10" s="19">
        <v>27092026</v>
      </c>
      <c r="D10" s="18" t="s">
        <v>297</v>
      </c>
      <c r="E10" s="18" t="s">
        <v>298</v>
      </c>
      <c r="F10" s="18" t="s">
        <v>16</v>
      </c>
    </row>
    <row r="11" spans="1:10" x14ac:dyDescent="0.25">
      <c r="A11" s="17">
        <v>4</v>
      </c>
      <c r="B11" s="105"/>
      <c r="C11" s="19">
        <v>27092026</v>
      </c>
      <c r="D11" s="18" t="s">
        <v>299</v>
      </c>
      <c r="E11" s="18" t="s">
        <v>300</v>
      </c>
      <c r="F11" s="18" t="s">
        <v>16</v>
      </c>
    </row>
    <row r="12" spans="1:10" x14ac:dyDescent="0.25">
      <c r="A12" s="17">
        <v>5</v>
      </c>
      <c r="B12" s="106"/>
      <c r="C12" s="19">
        <v>27092026</v>
      </c>
      <c r="D12" s="18" t="s">
        <v>301</v>
      </c>
      <c r="E12" s="23" t="s">
        <v>302</v>
      </c>
      <c r="F12" s="18" t="s">
        <v>16</v>
      </c>
    </row>
    <row r="13" spans="1:10" x14ac:dyDescent="0.25">
      <c r="A13" s="17">
        <v>6</v>
      </c>
      <c r="B13" s="104" t="s">
        <v>318</v>
      </c>
      <c r="C13" s="19">
        <v>27092026</v>
      </c>
      <c r="D13" s="18" t="s">
        <v>303</v>
      </c>
      <c r="E13" s="23" t="s">
        <v>304</v>
      </c>
      <c r="F13" s="18" t="s">
        <v>17</v>
      </c>
    </row>
    <row r="14" spans="1:10" x14ac:dyDescent="0.25">
      <c r="A14" s="17">
        <v>7</v>
      </c>
      <c r="B14" s="105"/>
      <c r="C14" s="19">
        <v>27092026</v>
      </c>
      <c r="D14" s="18" t="s">
        <v>305</v>
      </c>
      <c r="E14" s="23" t="s">
        <v>306</v>
      </c>
      <c r="F14" s="18" t="s">
        <v>16</v>
      </c>
    </row>
    <row r="15" spans="1:10" x14ac:dyDescent="0.25">
      <c r="A15" s="17">
        <v>8</v>
      </c>
      <c r="B15" s="105"/>
      <c r="C15" s="19">
        <v>27092026</v>
      </c>
      <c r="D15" s="24" t="s">
        <v>307</v>
      </c>
      <c r="E15" s="23" t="s">
        <v>308</v>
      </c>
      <c r="F15" s="18" t="s">
        <v>16</v>
      </c>
    </row>
    <row r="16" spans="1:10" x14ac:dyDescent="0.25">
      <c r="A16" s="17">
        <v>9</v>
      </c>
      <c r="B16" s="105"/>
      <c r="C16" s="19">
        <v>27092026</v>
      </c>
      <c r="D16" s="24" t="s">
        <v>309</v>
      </c>
      <c r="E16" s="23" t="s">
        <v>310</v>
      </c>
      <c r="F16" s="18" t="s">
        <v>16</v>
      </c>
    </row>
    <row r="17" spans="1:20" x14ac:dyDescent="0.25">
      <c r="A17" s="17">
        <v>10</v>
      </c>
      <c r="B17" s="105"/>
      <c r="C17" s="19">
        <v>27092026</v>
      </c>
      <c r="D17" s="24" t="s">
        <v>311</v>
      </c>
      <c r="E17" s="23" t="s">
        <v>312</v>
      </c>
      <c r="F17" s="18" t="s">
        <v>16</v>
      </c>
    </row>
    <row r="18" spans="1:20" x14ac:dyDescent="0.25">
      <c r="A18" s="17">
        <v>11</v>
      </c>
      <c r="B18" s="106"/>
      <c r="C18" s="19">
        <v>27092026</v>
      </c>
      <c r="D18" s="18" t="s">
        <v>313</v>
      </c>
      <c r="E18" s="23" t="s">
        <v>314</v>
      </c>
      <c r="F18" s="18" t="s">
        <v>16</v>
      </c>
    </row>
    <row r="19" spans="1:20" x14ac:dyDescent="0.25">
      <c r="A19" s="17">
        <v>12</v>
      </c>
      <c r="B19" s="88"/>
      <c r="C19" s="19"/>
      <c r="D19" s="84"/>
      <c r="E19" s="84"/>
      <c r="F19" s="84"/>
      <c r="G19" s="7"/>
    </row>
    <row r="20" spans="1:20" x14ac:dyDescent="0.25">
      <c r="A20" s="17">
        <v>13</v>
      </c>
      <c r="B20" s="88"/>
      <c r="C20" s="62"/>
      <c r="D20" s="84"/>
      <c r="E20" s="84"/>
      <c r="F20" s="84"/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18"/>
      <c r="E27" s="18"/>
      <c r="F27" s="18"/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/>
      <c r="C28" s="29"/>
      <c r="D28" s="18"/>
      <c r="E28" s="18"/>
      <c r="F28" s="18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18"/>
      <c r="D40" s="18"/>
      <c r="E40" s="29"/>
      <c r="F40" s="18"/>
      <c r="G40" s="74"/>
    </row>
    <row r="41" spans="1:13" ht="15.75" customHeight="1" x14ac:dyDescent="0.25">
      <c r="A41" s="25">
        <v>2</v>
      </c>
      <c r="B41" s="19"/>
      <c r="C41" s="79"/>
      <c r="D41" s="79"/>
      <c r="E41" s="29"/>
      <c r="F41" s="18"/>
      <c r="G41" s="74"/>
    </row>
    <row r="42" spans="1:13" ht="15.75" customHeight="1" x14ac:dyDescent="0.25">
      <c r="A42" s="25">
        <v>3</v>
      </c>
      <c r="B42" s="19"/>
      <c r="C42" s="79"/>
      <c r="D42" s="79"/>
      <c r="E42" s="78"/>
      <c r="F42" s="18"/>
      <c r="G42" s="74"/>
    </row>
    <row r="43" spans="1:13" ht="15.75" customHeight="1" x14ac:dyDescent="0.25">
      <c r="A43" s="25">
        <v>4</v>
      </c>
      <c r="B43" s="19"/>
      <c r="C43" s="79"/>
      <c r="D43" s="29"/>
      <c r="E43" s="29"/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3">
    <mergeCell ref="B10:B12"/>
    <mergeCell ref="B13:B18"/>
    <mergeCell ref="A3:H3"/>
  </mergeCells>
  <dataValidations count="2">
    <dataValidation type="list" allowBlank="1" showInputMessage="1" showErrorMessage="1" sqref="F40:F42 F8:F18 F27:F32" xr:uid="{E61E5A94-8428-4EA6-94CA-49751DEB7CF5}">
      <formula1>"20,40,45,50"</formula1>
      <formula2>0</formula2>
    </dataValidation>
    <dataValidation type="list" allowBlank="1" showInputMessage="1" showErrorMessage="1" sqref="F19:F23 F33:F34" xr:uid="{F94C0A9E-1983-44B3-964E-9A78CC5364A0}">
      <formula1>"20,40,45,50"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21</vt:i4>
      </vt:variant>
    </vt:vector>
  </HeadingPairs>
  <TitlesOfParts>
    <vt:vector size="21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  <vt:lpstr>22-09</vt:lpstr>
      <vt:lpstr>23-09</vt:lpstr>
      <vt:lpstr>24-09</vt:lpstr>
      <vt:lpstr>26-09</vt:lpstr>
      <vt:lpstr>27-09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2026-09-27T07:44:58Z</cp:lastPrinted>
  <dcterms:created xsi:type="dcterms:W3CDTF">2026-09-01T09:18:21Z</dcterms:created>
  <dcterms:modified xsi:type="dcterms:W3CDTF">2026-09-27T09:12:49Z</dcterms:modified>
</cp:coreProperties>
</file>