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ab0b5a2ed962cae/Documents/Samir/"/>
    </mc:Choice>
  </mc:AlternateContent>
  <xr:revisionPtr revIDLastSave="741" documentId="8_{110EE0FD-1A37-4947-891C-6105C32C194C}" xr6:coauthVersionLast="47" xr6:coauthVersionMax="47" xr10:uidLastSave="{350B9F5D-DBD6-454B-86E5-D0101AE5A2DD}"/>
  <bookViews>
    <workbookView minimized="1" xWindow="2205" yWindow="2205" windowWidth="21600" windowHeight="12690" firstSheet="9" activeTab="22" xr2:uid="{403A34A7-5625-45D4-A0A1-FEBBA2615750}"/>
  </bookViews>
  <sheets>
    <sheet name="DASHBOARD" sheetId="1" r:id="rId1"/>
    <sheet name="01-09" sheetId="2" r:id="rId2"/>
    <sheet name="02-09" sheetId="3" r:id="rId3"/>
    <sheet name="03-09" sheetId="4" r:id="rId4"/>
    <sheet name="06-09" sheetId="5" r:id="rId5"/>
    <sheet name="07-09" sheetId="6" r:id="rId6"/>
    <sheet name="08-09" sheetId="7" r:id="rId7"/>
    <sheet name="09-09" sheetId="8" r:id="rId8"/>
    <sheet name="10-09" sheetId="9" r:id="rId9"/>
    <sheet name="13-09" sheetId="10" r:id="rId10"/>
    <sheet name="14-09" sheetId="11" r:id="rId11"/>
    <sheet name="15-09" sheetId="12" r:id="rId12"/>
    <sheet name="16-09" sheetId="13" r:id="rId13"/>
    <sheet name="17-09" sheetId="14" r:id="rId14"/>
    <sheet name="20-09" sheetId="15" r:id="rId15"/>
    <sheet name="21-09" sheetId="16" r:id="rId16"/>
    <sheet name="22-09" sheetId="17" r:id="rId17"/>
    <sheet name="23-09" sheetId="18" r:id="rId18"/>
    <sheet name="24-09" sheetId="19" r:id="rId19"/>
    <sheet name="26-09" sheetId="20" r:id="rId20"/>
    <sheet name="27-09" sheetId="21" r:id="rId21"/>
    <sheet name="28-09" sheetId="22" r:id="rId22"/>
    <sheet name="29-09" sheetId="23" r:id="rId23"/>
    <sheet name="30-09" sheetId="24" r:id="rId2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3" i="1" l="1"/>
  <c r="B24" i="1" s="1"/>
  <c r="J2" i="24"/>
  <c r="F2" i="24"/>
  <c r="H2" i="24" s="1"/>
  <c r="C23" i="1" s="1"/>
  <c r="C24" i="1" s="1"/>
  <c r="H1" i="24"/>
  <c r="B22" i="1"/>
  <c r="C22" i="1"/>
  <c r="J2" i="23"/>
  <c r="F2" i="23"/>
  <c r="H2" i="23" s="1"/>
  <c r="H1" i="23"/>
  <c r="H1" i="4"/>
  <c r="B4" i="1" s="1"/>
  <c r="H1" i="19"/>
  <c r="B18" i="1" s="1"/>
  <c r="H1" i="20"/>
  <c r="B19" i="1" s="1"/>
  <c r="D19" i="1" s="1"/>
  <c r="H1" i="21"/>
  <c r="B20" i="1" s="1"/>
  <c r="C18" i="1"/>
  <c r="C4" i="1"/>
  <c r="J2" i="22"/>
  <c r="F2" i="22"/>
  <c r="H2" i="22" s="1"/>
  <c r="C21" i="1" s="1"/>
  <c r="H1" i="22"/>
  <c r="B21" i="1" s="1"/>
  <c r="C12" i="1"/>
  <c r="C11" i="1"/>
  <c r="D11" i="1" s="1"/>
  <c r="C3" i="1"/>
  <c r="J2" i="21"/>
  <c r="F2" i="21"/>
  <c r="H2" i="21" s="1"/>
  <c r="C20" i="1" s="1"/>
  <c r="J2" i="20"/>
  <c r="F2" i="20"/>
  <c r="H2" i="20" s="1"/>
  <c r="C19" i="1" s="1"/>
  <c r="J2" i="19"/>
  <c r="F2" i="19"/>
  <c r="H2" i="19" s="1"/>
  <c r="B17" i="1"/>
  <c r="J2" i="18"/>
  <c r="F2" i="18"/>
  <c r="H2" i="18" s="1"/>
  <c r="C17" i="1" s="1"/>
  <c r="D17" i="1" s="1"/>
  <c r="H1" i="18"/>
  <c r="B16" i="1"/>
  <c r="C15" i="1"/>
  <c r="B15" i="1"/>
  <c r="D15" i="1" s="1"/>
  <c r="J2" i="17"/>
  <c r="F2" i="17"/>
  <c r="H2" i="17" s="1"/>
  <c r="C16" i="1" s="1"/>
  <c r="D16" i="1" s="1"/>
  <c r="H1" i="17"/>
  <c r="B14" i="1"/>
  <c r="C14" i="1"/>
  <c r="J2" i="16"/>
  <c r="F2" i="16"/>
  <c r="H2" i="16" s="1"/>
  <c r="H1" i="16"/>
  <c r="B13" i="1"/>
  <c r="J2" i="15"/>
  <c r="F2" i="15"/>
  <c r="H2" i="15" s="1"/>
  <c r="H1" i="15"/>
  <c r="J2" i="14"/>
  <c r="F2" i="14"/>
  <c r="H2" i="14" s="1"/>
  <c r="C13" i="1" s="1"/>
  <c r="H1" i="14"/>
  <c r="J2" i="13"/>
  <c r="F2" i="13"/>
  <c r="H2" i="13" s="1"/>
  <c r="H1" i="13"/>
  <c r="B12" i="1" s="1"/>
  <c r="B11" i="1"/>
  <c r="C10" i="1"/>
  <c r="B10" i="1"/>
  <c r="D10" i="1" s="1"/>
  <c r="C9" i="1"/>
  <c r="B9" i="1"/>
  <c r="D9" i="1" s="1"/>
  <c r="J2" i="12"/>
  <c r="F2" i="12"/>
  <c r="H2" i="12" s="1"/>
  <c r="H1" i="12"/>
  <c r="J2" i="11"/>
  <c r="F2" i="11"/>
  <c r="H2" i="11" s="1"/>
  <c r="H1" i="11"/>
  <c r="J2" i="10"/>
  <c r="F2" i="10"/>
  <c r="H2" i="10" s="1"/>
  <c r="H1" i="10"/>
  <c r="J2" i="9"/>
  <c r="F2" i="9"/>
  <c r="H2" i="9" s="1"/>
  <c r="C8" i="1" s="1"/>
  <c r="H1" i="9"/>
  <c r="B8" i="1" s="1"/>
  <c r="J2" i="8"/>
  <c r="F2" i="8"/>
  <c r="H2" i="8" s="1"/>
  <c r="C7" i="1" s="1"/>
  <c r="H1" i="8"/>
  <c r="B7" i="1" s="1"/>
  <c r="J2" i="7"/>
  <c r="F2" i="7"/>
  <c r="H2" i="7" s="1"/>
  <c r="H1" i="7"/>
  <c r="B6" i="1"/>
  <c r="J2" i="6"/>
  <c r="F2" i="6"/>
  <c r="H2" i="6" s="1"/>
  <c r="C6" i="1" s="1"/>
  <c r="D6" i="1" s="1"/>
  <c r="H1" i="6"/>
  <c r="J2" i="5"/>
  <c r="F2" i="5"/>
  <c r="H2" i="5" s="1"/>
  <c r="C5" i="1" s="1"/>
  <c r="H1" i="5"/>
  <c r="B5" i="1" s="1"/>
  <c r="J2" i="4"/>
  <c r="F2" i="4"/>
  <c r="H2" i="4" s="1"/>
  <c r="B3" i="1"/>
  <c r="D3" i="1" s="1"/>
  <c r="J2" i="3"/>
  <c r="F2" i="3"/>
  <c r="H2" i="3" s="1"/>
  <c r="H1" i="3"/>
  <c r="F2" i="2"/>
  <c r="H2" i="2" s="1"/>
  <c r="C2" i="1" s="1"/>
  <c r="J2" i="2"/>
  <c r="H1" i="2"/>
  <c r="B2" i="1" s="1"/>
  <c r="D22" i="1" l="1"/>
  <c r="D21" i="1"/>
  <c r="D20" i="1"/>
  <c r="D18" i="1"/>
  <c r="D13" i="1"/>
  <c r="D14" i="1"/>
  <c r="D7" i="1"/>
  <c r="D8" i="1"/>
  <c r="D23" i="1"/>
  <c r="D5" i="1"/>
  <c r="D4" i="1"/>
  <c r="D2" i="1"/>
  <c r="D12" i="1" l="1"/>
  <c r="D24" i="1" s="1"/>
</calcChain>
</file>

<file path=xl/sharedStrings.xml><?xml version="1.0" encoding="utf-8"?>
<sst xmlns="http://schemas.openxmlformats.org/spreadsheetml/2006/main" count="1078" uniqueCount="350">
  <si>
    <t>Date</t>
  </si>
  <si>
    <t>TC Réceptionnés</t>
  </si>
  <si>
    <t>TC Sortis</t>
  </si>
  <si>
    <t>Total Mouvements</t>
  </si>
  <si>
    <t>TC Sortis
VIDE</t>
  </si>
  <si>
    <t>Total</t>
  </si>
  <si>
    <t>TC</t>
  </si>
  <si>
    <t>VH</t>
  </si>
  <si>
    <t>FICHE DE MOUVEMENT</t>
  </si>
  <si>
    <t>RECEPTION</t>
  </si>
  <si>
    <t xml:space="preserve">N° </t>
  </si>
  <si>
    <t>N° CRN</t>
  </si>
  <si>
    <t>Date R</t>
  </si>
  <si>
    <t>N° Conteneur</t>
  </si>
  <si>
    <t>N° Scellé</t>
  </si>
  <si>
    <t>Vol</t>
  </si>
  <si>
    <t>40</t>
  </si>
  <si>
    <t>20</t>
  </si>
  <si>
    <t>CAIU873171 /8</t>
  </si>
  <si>
    <t>MEDU733219 /1</t>
  </si>
  <si>
    <t>SORTIE</t>
  </si>
  <si>
    <t>Date S</t>
  </si>
  <si>
    <t>IMM</t>
  </si>
  <si>
    <t>VISITE</t>
  </si>
  <si>
    <t>Date V</t>
  </si>
  <si>
    <t>AN° Scellé</t>
  </si>
  <si>
    <t>NO° Scellé</t>
  </si>
  <si>
    <t>ECMU512820/2</t>
  </si>
  <si>
    <t>000204-598-31</t>
  </si>
  <si>
    <t>CAIU634538 /3</t>
  </si>
  <si>
    <t>J1803692</t>
  </si>
  <si>
    <t>0723ICS0013</t>
  </si>
  <si>
    <t>TRLU948903 /4</t>
  </si>
  <si>
    <t>00327-510-31</t>
  </si>
  <si>
    <t>ROWEI I5</t>
  </si>
  <si>
    <t>LSJ--SZ782970</t>
  </si>
  <si>
    <t>LSJ--SZ782961</t>
  </si>
  <si>
    <t>LSJ--SZ783783</t>
  </si>
  <si>
    <t>LSJ--SZ754980</t>
  </si>
  <si>
    <t>LSJ--SZ754107</t>
  </si>
  <si>
    <t>LSJ--SZ754982</t>
  </si>
  <si>
    <t>LSJ--SZ754109</t>
  </si>
  <si>
    <t>TCLU331996 /2</t>
  </si>
  <si>
    <t>0073-512-31</t>
  </si>
  <si>
    <t>VIDE</t>
  </si>
  <si>
    <t>TIIU811908 /0</t>
  </si>
  <si>
    <t>TIIU811819 /1</t>
  </si>
  <si>
    <t>02177-588-31</t>
  </si>
  <si>
    <t>TGBU749046 /1</t>
  </si>
  <si>
    <t>FX48662628</t>
  </si>
  <si>
    <t>FDCU031798 /9</t>
  </si>
  <si>
    <t>FJ27558901</t>
  </si>
  <si>
    <t>0157ICS0016</t>
  </si>
  <si>
    <t>0157ICS0083</t>
  </si>
  <si>
    <t>DRYU939251 /7</t>
  </si>
  <si>
    <t>FDCU009891 /5</t>
  </si>
  <si>
    <t>LG00557484</t>
  </si>
  <si>
    <t>LG00557480</t>
  </si>
  <si>
    <t>FBIU026728 /0</t>
  </si>
  <si>
    <t>FX48618480</t>
  </si>
  <si>
    <t>MSMU769241 /6</t>
  </si>
  <si>
    <t>FX48648827</t>
  </si>
  <si>
    <t>0156ICS0112</t>
  </si>
  <si>
    <t>00563-510-31</t>
  </si>
  <si>
    <t>MSMU924819 /1</t>
  </si>
  <si>
    <t>02148-588-31</t>
  </si>
  <si>
    <t>02197-585-31</t>
  </si>
  <si>
    <t>TIIU809713 /9</t>
  </si>
  <si>
    <t>M1726190</t>
  </si>
  <si>
    <t>DRYU455945 /3</t>
  </si>
  <si>
    <t>45</t>
  </si>
  <si>
    <t>0754ICS0033</t>
  </si>
  <si>
    <t>0754ICS0069</t>
  </si>
  <si>
    <t>HGTU261674 /4</t>
  </si>
  <si>
    <t>184912</t>
  </si>
  <si>
    <t>TANK</t>
  </si>
  <si>
    <t>0754ICS0106</t>
  </si>
  <si>
    <t>ANNULL</t>
  </si>
  <si>
    <t>MEDU744845 /3</t>
  </si>
  <si>
    <t>006533-508-31</t>
  </si>
  <si>
    <t>CMAU225333 /7</t>
  </si>
  <si>
    <t>00168</t>
  </si>
  <si>
    <t>CMAU265891 /0</t>
  </si>
  <si>
    <t>00183</t>
  </si>
  <si>
    <t>CMAU326542 /0</t>
  </si>
  <si>
    <t>001577</t>
  </si>
  <si>
    <t>SEKU160562 /2</t>
  </si>
  <si>
    <t>00163</t>
  </si>
  <si>
    <t>TCLU734251 /2</t>
  </si>
  <si>
    <t>005369</t>
  </si>
  <si>
    <t>TLLU313561 /8</t>
  </si>
  <si>
    <t>005370</t>
  </si>
  <si>
    <t>00121-517-31</t>
  </si>
  <si>
    <t>00124-517-31</t>
  </si>
  <si>
    <t>CMAU995757 /7</t>
  </si>
  <si>
    <t>M2002559</t>
  </si>
  <si>
    <t>0765ICS0037</t>
  </si>
  <si>
    <t>ECMU753339 /6</t>
  </si>
  <si>
    <t>J1979281</t>
  </si>
  <si>
    <t>0083ICS0038</t>
  </si>
  <si>
    <t>MRSU491361 /6</t>
  </si>
  <si>
    <t>CN6436798</t>
  </si>
  <si>
    <t>0083ICS0014</t>
  </si>
  <si>
    <t>GCXU573668 /2</t>
  </si>
  <si>
    <t>CN6536328</t>
  </si>
  <si>
    <t>0765ICS0233</t>
  </si>
  <si>
    <t>APHU463551 /5</t>
  </si>
  <si>
    <t>M9168709</t>
  </si>
  <si>
    <t>0765ICS0116</t>
  </si>
  <si>
    <t>ECMU814116 /8</t>
  </si>
  <si>
    <t>J0695804</t>
  </si>
  <si>
    <t>0083ICS0144</t>
  </si>
  <si>
    <t>TGHU805347 /3</t>
  </si>
  <si>
    <t>0083ICS0079</t>
  </si>
  <si>
    <t>MRSU215858 /4</t>
  </si>
  <si>
    <t>CN8343648</t>
  </si>
  <si>
    <t>0671ICS0026</t>
  </si>
  <si>
    <t>HDMU321504 /6</t>
  </si>
  <si>
    <t>25H1013125</t>
  </si>
  <si>
    <t>HDMU341436 /7</t>
  </si>
  <si>
    <t>25H1041732</t>
  </si>
  <si>
    <t>HDMU342017 /0</t>
  </si>
  <si>
    <t>25H1175272</t>
  </si>
  <si>
    <t>HDMU342266 /0</t>
  </si>
  <si>
    <t>25H1175275</t>
  </si>
  <si>
    <t>KOCU430655 /1</t>
  </si>
  <si>
    <t>26H0234922</t>
  </si>
  <si>
    <t>TIIU600821 /4</t>
  </si>
  <si>
    <t>26H0236033</t>
  </si>
  <si>
    <t>0159ICS0027</t>
  </si>
  <si>
    <t>FFAU811399 /0</t>
  </si>
  <si>
    <t>18233786</t>
  </si>
  <si>
    <t>0159ICS0010</t>
  </si>
  <si>
    <t>CSNU688630 /2</t>
  </si>
  <si>
    <t>CX185022</t>
  </si>
  <si>
    <t>0159ICS0008</t>
  </si>
  <si>
    <t>ARKU855448 /4</t>
  </si>
  <si>
    <t>239388</t>
  </si>
  <si>
    <t>0159ICS0007</t>
  </si>
  <si>
    <t>ARKU150130 /6</t>
  </si>
  <si>
    <t>1441385</t>
  </si>
  <si>
    <t>Date ACC</t>
  </si>
  <si>
    <t>0683ICS0020</t>
  </si>
  <si>
    <t>HMMU433444 /9</t>
  </si>
  <si>
    <t>26H0108168</t>
  </si>
  <si>
    <t>SEGU585325 /8</t>
  </si>
  <si>
    <t>26H0108169</t>
  </si>
  <si>
    <t>OPT</t>
  </si>
  <si>
    <t>MEDU760577 /9</t>
  </si>
  <si>
    <t>MA526075</t>
  </si>
  <si>
    <t>MSDU787252 /0</t>
  </si>
  <si>
    <t>MA526074</t>
  </si>
  <si>
    <t>00017-511-31</t>
  </si>
  <si>
    <t>BMOU213576 /9</t>
  </si>
  <si>
    <t>2134430</t>
  </si>
  <si>
    <t>CXSU114000 /6</t>
  </si>
  <si>
    <t>0</t>
  </si>
  <si>
    <t>FLAT</t>
  </si>
  <si>
    <t>TCLU600602 /5</t>
  </si>
  <si>
    <t>00183-524-31</t>
  </si>
  <si>
    <t>00426-510-31</t>
  </si>
  <si>
    <t>APZU213305 /9</t>
  </si>
  <si>
    <t>CMAU194208 /0</t>
  </si>
  <si>
    <t>TEMU387154 /1</t>
  </si>
  <si>
    <t>MRKU714747 /1</t>
  </si>
  <si>
    <t>MRKU776760 /0</t>
  </si>
  <si>
    <t>MRKU862304 /2</t>
  </si>
  <si>
    <t>MSKU561006 /4</t>
  </si>
  <si>
    <t>SUDU747145 /0</t>
  </si>
  <si>
    <t>TCKU302077 /9</t>
  </si>
  <si>
    <t>TEMU342001 /8</t>
  </si>
  <si>
    <t>TCNU628382 /9</t>
  </si>
  <si>
    <t>M9768365</t>
  </si>
  <si>
    <t>MSNU975917 /4</t>
  </si>
  <si>
    <t>5055347</t>
  </si>
  <si>
    <t>MSDU612394 /9</t>
  </si>
  <si>
    <t>2139541</t>
  </si>
  <si>
    <t>XXXU459750 /8</t>
  </si>
  <si>
    <t>LB0268891</t>
  </si>
  <si>
    <t>0246ICS0005</t>
  </si>
  <si>
    <t>0165ICS0071</t>
  </si>
  <si>
    <t>0165ICS0016</t>
  </si>
  <si>
    <t>0038ICS0013</t>
  </si>
  <si>
    <t>HUISSIER +RECETTE+DOUANE</t>
  </si>
  <si>
    <t>CAIU818783 /6</t>
  </si>
  <si>
    <t>CAIU819501 /9</t>
  </si>
  <si>
    <t>CAXU959721 /0</t>
  </si>
  <si>
    <t>CRSU928503 /0</t>
  </si>
  <si>
    <t>CXDU134311 /3</t>
  </si>
  <si>
    <t>CXDU168050 /0</t>
  </si>
  <si>
    <t>FCGU198565 /0</t>
  </si>
  <si>
    <t>GESU661177 /9</t>
  </si>
  <si>
    <t>HJMU133346 /2</t>
  </si>
  <si>
    <t>HJMU152689 /9</t>
  </si>
  <si>
    <t>SEGU466432 /6</t>
  </si>
  <si>
    <t>TCNU646691 /7</t>
  </si>
  <si>
    <t>TGHU694661 /0</t>
  </si>
  <si>
    <t>TOLU878955 /6</t>
  </si>
  <si>
    <t>GESU575475 /4</t>
  </si>
  <si>
    <t>TEXU895077 /6</t>
  </si>
  <si>
    <t>00539-508-31</t>
  </si>
  <si>
    <t>00704-525-16</t>
  </si>
  <si>
    <t>000355-524-16</t>
  </si>
  <si>
    <t>500058-519-16</t>
  </si>
  <si>
    <t>500132-519-16</t>
  </si>
  <si>
    <t>500114-519-16</t>
  </si>
  <si>
    <t>000710-525-16</t>
  </si>
  <si>
    <t>000679-525-16</t>
  </si>
  <si>
    <t>00692-509-31</t>
  </si>
  <si>
    <t>00358-510-31</t>
  </si>
  <si>
    <t>00112-510-31</t>
  </si>
  <si>
    <t>ECMU266869 /7</t>
  </si>
  <si>
    <t>00164-513-31</t>
  </si>
  <si>
    <t>000704-525-16</t>
  </si>
  <si>
    <t>000354-524-16</t>
  </si>
  <si>
    <t>000677-525-16</t>
  </si>
  <si>
    <t>500114 et 00355-524</t>
  </si>
  <si>
    <t>500054 et 00679-525</t>
  </si>
  <si>
    <t>ARKU855648 /7</t>
  </si>
  <si>
    <t>B1779962</t>
  </si>
  <si>
    <t>MSBU721115 /8</t>
  </si>
  <si>
    <t>MSMU504541 /0</t>
  </si>
  <si>
    <t>TCLU786835 /9</t>
  </si>
  <si>
    <t>00533-508-31</t>
  </si>
  <si>
    <t>018432-511-28</t>
  </si>
  <si>
    <t>MBSU281340 /6</t>
  </si>
  <si>
    <t>LB0263265</t>
  </si>
  <si>
    <t>00018-506-31</t>
  </si>
  <si>
    <t>00099-509-31</t>
  </si>
  <si>
    <t>00328-507-31</t>
  </si>
  <si>
    <t>ARKU241132 /0</t>
  </si>
  <si>
    <t>TRHU307416 /1</t>
  </si>
  <si>
    <t>MSNU191236 /9</t>
  </si>
  <si>
    <t>SK360769</t>
  </si>
  <si>
    <t>B1758829</t>
  </si>
  <si>
    <t>B1758825</t>
  </si>
  <si>
    <t>FSCU873148 /5</t>
  </si>
  <si>
    <t>HASU512425 /3</t>
  </si>
  <si>
    <t>CMAU789256 /2</t>
  </si>
  <si>
    <t>MRKU753756 /7</t>
  </si>
  <si>
    <t>ML-IN2987561</t>
  </si>
  <si>
    <t>MRKU772089 /7</t>
  </si>
  <si>
    <t>ML-IN2987565</t>
  </si>
  <si>
    <t>MRKU905919 /5</t>
  </si>
  <si>
    <t>ML-IN2987562</t>
  </si>
  <si>
    <t>MRSU023326 /7</t>
  </si>
  <si>
    <t>ML-IN2987566</t>
  </si>
  <si>
    <t>MSKU704341 /6</t>
  </si>
  <si>
    <t>ML-IN2987564</t>
  </si>
  <si>
    <t>MSKU730475 /7</t>
  </si>
  <si>
    <t>ML-IN2987563</t>
  </si>
  <si>
    <t>00117-523-31</t>
  </si>
  <si>
    <t>500017-525-31</t>
  </si>
  <si>
    <t>00139-525-31</t>
  </si>
  <si>
    <t>000164-513-31</t>
  </si>
  <si>
    <t>HLXU629565 /7</t>
  </si>
  <si>
    <t>00378-516-31</t>
  </si>
  <si>
    <t>00582-510-31</t>
  </si>
  <si>
    <t>MEDU951011 /6</t>
  </si>
  <si>
    <t>MEDU958286 /2</t>
  </si>
  <si>
    <t>FX46629585</t>
  </si>
  <si>
    <t>FX46635083</t>
  </si>
  <si>
    <t>OOCU976350 /8</t>
  </si>
  <si>
    <t>TCKU704466 /0</t>
  </si>
  <si>
    <t>FSCU805157 /5</t>
  </si>
  <si>
    <t>00053-517-31</t>
  </si>
  <si>
    <t>MSBU796594 /4</t>
  </si>
  <si>
    <t>FJ26597592</t>
  </si>
  <si>
    <t>MSNU921194 /0</t>
  </si>
  <si>
    <t>FJ26597361</t>
  </si>
  <si>
    <t>TIIU443725 /1</t>
  </si>
  <si>
    <t>FJ26597473</t>
  </si>
  <si>
    <t>UETU778883 /2</t>
  </si>
  <si>
    <t>FJ26597436</t>
  </si>
  <si>
    <t>MSDU997113 /6</t>
  </si>
  <si>
    <t>MSMU661001 /2</t>
  </si>
  <si>
    <t>0674611</t>
  </si>
  <si>
    <t>UETU703460 /0</t>
  </si>
  <si>
    <t>0674567</t>
  </si>
  <si>
    <t>MRKU588631 /7</t>
  </si>
  <si>
    <t>UETU682895 /1</t>
  </si>
  <si>
    <t>UETU818706 /0</t>
  </si>
  <si>
    <t>SUDU850406 /0</t>
  </si>
  <si>
    <t>CN6499593</t>
  </si>
  <si>
    <t>CAAU692306 /7</t>
  </si>
  <si>
    <t>CN6229789</t>
  </si>
  <si>
    <t>MRSU415138 /3</t>
  </si>
  <si>
    <t>0167ICS0129</t>
  </si>
  <si>
    <t>0168ICS0007</t>
  </si>
  <si>
    <t>0092ICS0100</t>
  </si>
  <si>
    <t>0092ICS0106</t>
  </si>
  <si>
    <t>0092ICS0025</t>
  </si>
  <si>
    <t>0092ICS0061</t>
  </si>
  <si>
    <t>OOCU568279 /5</t>
  </si>
  <si>
    <t>32460820</t>
  </si>
  <si>
    <t>MSMU923966 /7</t>
  </si>
  <si>
    <t>FX48593058</t>
  </si>
  <si>
    <t>FBLU420928 /6</t>
  </si>
  <si>
    <t>A584769</t>
  </si>
  <si>
    <t>TEXU151862 /6</t>
  </si>
  <si>
    <t>A584615</t>
  </si>
  <si>
    <t>TRIU057483 /0</t>
  </si>
  <si>
    <t>A584616</t>
  </si>
  <si>
    <t>CMAU220385 /0</t>
  </si>
  <si>
    <t>1730449</t>
  </si>
  <si>
    <t>CMAU455459 /8</t>
  </si>
  <si>
    <t>1730443</t>
  </si>
  <si>
    <t>CMAU480173 /8</t>
  </si>
  <si>
    <t>1730445</t>
  </si>
  <si>
    <t>CMAU573921 /4</t>
  </si>
  <si>
    <t>1730441</t>
  </si>
  <si>
    <t>CMAU786292 /7</t>
  </si>
  <si>
    <t>1730447</t>
  </si>
  <si>
    <t>TCNU415361 /5</t>
  </si>
  <si>
    <t>1730400</t>
  </si>
  <si>
    <t>0169ICS0028</t>
  </si>
  <si>
    <t>0167ICS0020</t>
  </si>
  <si>
    <t>0169ICS0018</t>
  </si>
  <si>
    <t>0808ICS0023</t>
  </si>
  <si>
    <t>500089-513-31</t>
  </si>
  <si>
    <t>500096-511-31</t>
  </si>
  <si>
    <t>HASU492916 /6</t>
  </si>
  <si>
    <t>HASU5156746 /8</t>
  </si>
  <si>
    <t>MRSU698006 /4</t>
  </si>
  <si>
    <t>HJCU111021 /6</t>
  </si>
  <si>
    <t>YMLU822002 /6</t>
  </si>
  <si>
    <t>GTSU885207 /7</t>
  </si>
  <si>
    <t>GLDU072442 /9</t>
  </si>
  <si>
    <t>FFAU501814 /0</t>
  </si>
  <si>
    <t>CAAU640372 /2</t>
  </si>
  <si>
    <t>MSKU148879 /1</t>
  </si>
  <si>
    <t>ML-CN6337956</t>
  </si>
  <si>
    <t>MSKU100022 /7</t>
  </si>
  <si>
    <t>ML-CN6309165</t>
  </si>
  <si>
    <t>MSMU933118 /2</t>
  </si>
  <si>
    <t>FJ28349555</t>
  </si>
  <si>
    <t>MSMU932960 /5</t>
  </si>
  <si>
    <t>FJ28511677</t>
  </si>
  <si>
    <t>0170ICS0190</t>
  </si>
  <si>
    <t>0170ICS0215</t>
  </si>
  <si>
    <t xml:space="preserve"> </t>
  </si>
  <si>
    <t>00359-515-31</t>
  </si>
  <si>
    <t>00378-505-31</t>
  </si>
  <si>
    <t>00235-509-31</t>
  </si>
  <si>
    <t>00217-507-31</t>
  </si>
  <si>
    <t>ECMU809447 /2</t>
  </si>
  <si>
    <t>M4936024</t>
  </si>
  <si>
    <t>0036-510-31</t>
  </si>
  <si>
    <t>00547-592-31</t>
  </si>
  <si>
    <t>00224-596-31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</si>
</sst>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##&quot;/&quot;##&quot;/&quot;####"/>
  </numFmts>
  <fonts count="30" x14ac:knownFonts="1">
    <font>
      <sz val="11"/>
      <color theme="1"/>
      <name val="Aptos Narrow"/>
      <family val="2"/>
      <scheme val="minor"/>
    </font>
    <font>
      <sz val="10"/>
      <color theme="1"/>
      <name val="Segoe UI"/>
      <family val="2"/>
    </font>
    <font>
      <b/>
      <sz val="11"/>
      <color rgb="FFFFFFFF"/>
      <name val="Segoe UI"/>
      <family val="2"/>
    </font>
    <font>
      <b/>
      <sz val="10"/>
      <color rgb="FF1A1A1A"/>
      <name val="Segoe UI"/>
      <family val="2"/>
    </font>
    <font>
      <b/>
      <sz val="11"/>
      <color rgb="FF2C3E50"/>
      <name val="Segoe UI"/>
      <family val="2"/>
    </font>
    <font>
      <sz val="8"/>
      <name val="Aptos Narrow"/>
      <family val="2"/>
      <scheme val="minor"/>
    </font>
    <font>
      <sz val="10"/>
      <name val="Calibri"/>
      <family val="2"/>
    </font>
    <font>
      <b/>
      <sz val="12"/>
      <name val="Calibri"/>
      <family val="2"/>
    </font>
    <font>
      <b/>
      <sz val="10"/>
      <color rgb="FFFFFFFF"/>
      <name val="Segoe UI"/>
      <family val="2"/>
    </font>
    <font>
      <b/>
      <sz val="16"/>
      <name val="Segoe UI"/>
      <family val="2"/>
    </font>
    <font>
      <b/>
      <sz val="11"/>
      <name val="Calibri"/>
      <family val="2"/>
    </font>
    <font>
      <b/>
      <sz val="10"/>
      <color rgb="FF2C3E50"/>
      <name val="Segoe UI"/>
      <family val="2"/>
    </font>
    <font>
      <sz val="10"/>
      <color rgb="FF000000"/>
      <name val="Segoe UI"/>
      <family val="2"/>
    </font>
    <font>
      <sz val="10"/>
      <name val="Segoe UI"/>
      <family val="2"/>
    </font>
    <font>
      <sz val="11"/>
      <color rgb="FF000000"/>
      <name val="Calibri"/>
      <family val="2"/>
    </font>
    <font>
      <sz val="10"/>
      <color rgb="FF334155"/>
      <name val="Segoe UI"/>
      <family val="2"/>
    </font>
    <font>
      <b/>
      <sz val="10"/>
      <name val="Segoe UI"/>
      <family val="2"/>
    </font>
    <font>
      <b/>
      <sz val="11"/>
      <color rgb="FF000000"/>
      <name val="Calibri"/>
      <family val="2"/>
    </font>
    <font>
      <b/>
      <sz val="10"/>
      <color rgb="FF000000"/>
      <name val="Segoe UI"/>
      <family val="2"/>
    </font>
    <font>
      <b/>
      <sz val="10"/>
      <name val="Calibri"/>
      <family val="2"/>
    </font>
    <font>
      <sz val="11"/>
      <color rgb="FF000000"/>
      <name val="Calibri"/>
      <family val="2"/>
    </font>
    <font>
      <sz val="10"/>
      <color rgb="FF000000"/>
      <name val="Segoe UI"/>
      <family val="2"/>
    </font>
    <font>
      <sz val="10"/>
      <name val="Arial"/>
      <family val="2"/>
    </font>
    <font>
      <sz val="10"/>
      <color theme="1"/>
      <name val="Aptos Narrow"/>
      <family val="2"/>
      <scheme val="minor"/>
    </font>
    <font>
      <sz val="11"/>
      <color rgb="FF000000"/>
      <name val="Calibri"/>
      <family val="2"/>
    </font>
    <font>
      <sz val="10"/>
      <color rgb="FF000000"/>
      <name val="Segoe UI"/>
      <family val="2"/>
    </font>
    <font>
      <sz val="10"/>
      <name val="Calibri"/>
      <family val="2"/>
    </font>
    <font>
      <sz val="11"/>
      <color rgb="FF000000"/>
      <name val="Calibri"/>
      <family val="2"/>
    </font>
    <font>
      <sz val="10"/>
      <color rgb="FF000000"/>
      <name val="Segoe UI"/>
      <family val="2"/>
    </font>
    <font>
      <sz val="1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8F9F9"/>
        <bgColor rgb="FFF8F9F9"/>
      </patternFill>
    </fill>
    <fill>
      <patternFill patternType="solid">
        <fgColor rgb="FFD6EAF8"/>
        <bgColor rgb="FFD6EAF8"/>
      </patternFill>
    </fill>
    <fill>
      <patternFill patternType="solid">
        <fgColor rgb="FFFCF3CF"/>
        <bgColor rgb="FFFCF3CF"/>
      </patternFill>
    </fill>
    <fill>
      <patternFill patternType="solid">
        <fgColor rgb="FFFFC000"/>
        <bgColor indexed="64"/>
      </patternFill>
    </fill>
    <fill>
      <patternFill patternType="solid">
        <fgColor rgb="FFED0000"/>
        <bgColor rgb="FF2C3E50"/>
      </patternFill>
    </fill>
    <fill>
      <patternFill patternType="solid">
        <fgColor rgb="FF2C3E50"/>
        <bgColor rgb="FF2C3E50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2" fillId="0" borderId="0"/>
  </cellStyleXfs>
  <cellXfs count="11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/>
    </xf>
    <xf numFmtId="3" fontId="4" fillId="4" borderId="1" xfId="0" applyNumberFormat="1" applyFont="1" applyFill="1" applyBorder="1" applyAlignment="1">
      <alignment horizontal="center" vertical="center"/>
    </xf>
    <xf numFmtId="3" fontId="3" fillId="5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7" fillId="6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14" fontId="10" fillId="0" borderId="0" xfId="0" applyNumberFormat="1" applyFont="1" applyAlignment="1">
      <alignment horizontal="center" vertical="center"/>
    </xf>
    <xf numFmtId="0" fontId="11" fillId="0" borderId="0" xfId="0" applyFont="1"/>
    <xf numFmtId="0" fontId="8" fillId="8" borderId="2" xfId="0" applyFont="1" applyFill="1" applyBorder="1" applyAlignment="1">
      <alignment horizontal="center" vertical="center" wrapText="1"/>
    </xf>
    <xf numFmtId="0" fontId="8" fillId="8" borderId="3" xfId="0" applyFont="1" applyFill="1" applyBorder="1" applyAlignment="1">
      <alignment horizontal="center" vertical="center" wrapText="1"/>
    </xf>
    <xf numFmtId="0" fontId="8" fillId="8" borderId="4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165" fontId="13" fillId="0" borderId="5" xfId="0" applyNumberFormat="1" applyFont="1" applyBorder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14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9" borderId="5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/>
    </xf>
    <xf numFmtId="0" fontId="0" fillId="0" borderId="0" xfId="0" applyAlignment="1">
      <alignment vertical="center" wrapText="1"/>
    </xf>
    <xf numFmtId="0" fontId="13" fillId="0" borderId="5" xfId="0" applyFont="1" applyBorder="1" applyAlignment="1">
      <alignment horizontal="center"/>
    </xf>
    <xf numFmtId="0" fontId="13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/>
    </xf>
    <xf numFmtId="0" fontId="13" fillId="0" borderId="0" xfId="0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15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0" fillId="0" borderId="0" xfId="0" applyAlignment="1">
      <alignment horizontal="center" vertical="center"/>
    </xf>
    <xf numFmtId="14" fontId="12" fillId="0" borderId="5" xfId="0" applyNumberFormat="1" applyFont="1" applyBorder="1" applyAlignment="1">
      <alignment vertical="center"/>
    </xf>
    <xf numFmtId="0" fontId="14" fillId="0" borderId="6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0" fillId="0" borderId="5" xfId="0" applyBorder="1"/>
    <xf numFmtId="165" fontId="13" fillId="0" borderId="5" xfId="0" applyNumberFormat="1" applyFont="1" applyBorder="1" applyAlignment="1">
      <alignment horizontal="center" vertical="top"/>
    </xf>
    <xf numFmtId="0" fontId="13" fillId="0" borderId="5" xfId="0" applyFont="1" applyBorder="1" applyAlignment="1">
      <alignment horizontal="left" vertical="top"/>
    </xf>
    <xf numFmtId="0" fontId="12" fillId="0" borderId="5" xfId="0" applyFont="1" applyBorder="1" applyAlignment="1">
      <alignment horizontal="center" vertical="top" wrapText="1"/>
    </xf>
    <xf numFmtId="14" fontId="13" fillId="0" borderId="5" xfId="0" applyNumberFormat="1" applyFont="1" applyBorder="1" applyAlignment="1">
      <alignment horizontal="left"/>
    </xf>
    <xf numFmtId="0" fontId="12" fillId="0" borderId="5" xfId="0" applyFont="1" applyBorder="1" applyAlignment="1">
      <alignment horizontal="center" vertical="top"/>
    </xf>
    <xf numFmtId="0" fontId="14" fillId="0" borderId="5" xfId="0" applyFont="1" applyBorder="1" applyAlignment="1">
      <alignment horizontal="center" vertical="center" wrapText="1"/>
    </xf>
    <xf numFmtId="14" fontId="6" fillId="0" borderId="5" xfId="0" applyNumberFormat="1" applyFont="1" applyBorder="1" applyAlignment="1">
      <alignment horizontal="center" vertical="center"/>
    </xf>
    <xf numFmtId="165" fontId="16" fillId="0" borderId="5" xfId="0" applyNumberFormat="1" applyFont="1" applyBorder="1" applyAlignment="1">
      <alignment horizontal="center" vertical="top"/>
    </xf>
    <xf numFmtId="0" fontId="17" fillId="0" borderId="5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14" fontId="19" fillId="0" borderId="5" xfId="0" applyNumberFormat="1" applyFont="1" applyBorder="1" applyAlignment="1">
      <alignment horizontal="center" vertical="center"/>
    </xf>
    <xf numFmtId="0" fontId="12" fillId="0" borderId="5" xfId="0" quotePrefix="1" applyFont="1" applyBorder="1" applyAlignment="1">
      <alignment horizontal="center" vertical="center"/>
    </xf>
    <xf numFmtId="0" fontId="12" fillId="0" borderId="5" xfId="0" quotePrefix="1" applyFont="1" applyBorder="1" applyAlignment="1">
      <alignment horizontal="center"/>
    </xf>
    <xf numFmtId="14" fontId="6" fillId="0" borderId="7" xfId="0" applyNumberFormat="1" applyFont="1" applyBorder="1" applyAlignment="1">
      <alignment horizontal="center" vertical="center"/>
    </xf>
    <xf numFmtId="14" fontId="7" fillId="0" borderId="5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vertical="center"/>
    </xf>
    <xf numFmtId="14" fontId="6" fillId="0" borderId="5" xfId="0" applyNumberFormat="1" applyFont="1" applyBorder="1" applyAlignment="1">
      <alignment vertical="center"/>
    </xf>
    <xf numFmtId="165" fontId="13" fillId="10" borderId="5" xfId="0" applyNumberFormat="1" applyFont="1" applyFill="1" applyBorder="1" applyAlignment="1">
      <alignment horizontal="center" vertical="center"/>
    </xf>
    <xf numFmtId="0" fontId="20" fillId="0" borderId="5" xfId="0" applyFont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165" fontId="13" fillId="0" borderId="11" xfId="0" applyNumberFormat="1" applyFont="1" applyBorder="1" applyAlignment="1">
      <alignment horizontal="center" vertical="center"/>
    </xf>
    <xf numFmtId="0" fontId="8" fillId="8" borderId="5" xfId="0" applyFont="1" applyFill="1" applyBorder="1" applyAlignment="1">
      <alignment horizontal="center" vertical="center" wrapText="1"/>
    </xf>
    <xf numFmtId="14" fontId="13" fillId="0" borderId="5" xfId="0" applyNumberFormat="1" applyFont="1" applyBorder="1" applyAlignment="1">
      <alignment horizontal="center" vertical="center"/>
    </xf>
    <xf numFmtId="0" fontId="12" fillId="0" borderId="5" xfId="1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vertical="center" textRotation="90"/>
    </xf>
    <xf numFmtId="0" fontId="1" fillId="0" borderId="0" xfId="0" applyFont="1" applyAlignment="1">
      <alignment horizontal="center" vertical="center" wrapText="1"/>
    </xf>
    <xf numFmtId="0" fontId="0" fillId="0" borderId="5" xfId="0" applyBorder="1" applyAlignment="1">
      <alignment vertical="center"/>
    </xf>
    <xf numFmtId="0" fontId="23" fillId="0" borderId="5" xfId="0" applyFont="1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14" fontId="0" fillId="0" borderId="0" xfId="0" applyNumberFormat="1" applyAlignment="1">
      <alignment vertical="center" wrapText="1"/>
    </xf>
    <xf numFmtId="0" fontId="8" fillId="8" borderId="15" xfId="0" applyFont="1" applyFill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 wrapText="1"/>
    </xf>
    <xf numFmtId="0" fontId="25" fillId="0" borderId="5" xfId="0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25" fillId="0" borderId="5" xfId="0" applyFont="1" applyBorder="1" applyAlignment="1">
      <alignment horizontal="center"/>
    </xf>
    <xf numFmtId="0" fontId="25" fillId="0" borderId="5" xfId="0" applyFont="1" applyBorder="1" applyAlignment="1">
      <alignment horizontal="center" vertical="center" wrapText="1"/>
    </xf>
    <xf numFmtId="14" fontId="26" fillId="0" borderId="5" xfId="0" applyNumberFormat="1" applyFont="1" applyBorder="1" applyAlignment="1">
      <alignment vertical="center"/>
    </xf>
    <xf numFmtId="0" fontId="25" fillId="0" borderId="0" xfId="0" applyFont="1" applyAlignment="1">
      <alignment horizontal="center" vertical="center"/>
    </xf>
    <xf numFmtId="0" fontId="25" fillId="10" borderId="5" xfId="0" applyFont="1" applyFill="1" applyBorder="1" applyAlignment="1">
      <alignment horizontal="center" vertical="center"/>
    </xf>
    <xf numFmtId="14" fontId="26" fillId="10" borderId="5" xfId="0" applyNumberFormat="1" applyFont="1" applyFill="1" applyBorder="1" applyAlignment="1">
      <alignment vertical="center"/>
    </xf>
    <xf numFmtId="14" fontId="13" fillId="0" borderId="5" xfId="0" applyNumberFormat="1" applyFont="1" applyBorder="1" applyAlignment="1">
      <alignment vertical="center"/>
    </xf>
    <xf numFmtId="0" fontId="29" fillId="0" borderId="5" xfId="0" applyFont="1" applyBorder="1" applyAlignment="1">
      <alignment horizontal="center" vertical="center"/>
    </xf>
    <xf numFmtId="0" fontId="27" fillId="0" borderId="5" xfId="0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14" fontId="29" fillId="0" borderId="5" xfId="0" applyNumberFormat="1" applyFont="1" applyBorder="1" applyAlignment="1">
      <alignment vertical="center"/>
    </xf>
    <xf numFmtId="0" fontId="27" fillId="0" borderId="5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14" fontId="6" fillId="0" borderId="9" xfId="0" applyNumberFormat="1" applyFont="1" applyBorder="1" applyAlignment="1">
      <alignment horizontal="center" vertical="center"/>
    </xf>
    <xf numFmtId="14" fontId="6" fillId="0" borderId="10" xfId="0" applyNumberFormat="1" applyFont="1" applyBorder="1" applyAlignment="1">
      <alignment horizontal="center" vertical="center"/>
    </xf>
    <xf numFmtId="14" fontId="6" fillId="0" borderId="5" xfId="0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textRotation="90"/>
    </xf>
    <xf numFmtId="0" fontId="26" fillId="0" borderId="5" xfId="0" applyFont="1" applyBorder="1" applyAlignment="1">
      <alignment horizontal="center" vertical="center"/>
    </xf>
    <xf numFmtId="14" fontId="26" fillId="0" borderId="5" xfId="0" applyNumberFormat="1" applyFont="1" applyBorder="1" applyAlignment="1">
      <alignment horizontal="center" vertical="center"/>
    </xf>
    <xf numFmtId="14" fontId="26" fillId="10" borderId="5" xfId="0" applyNumberFormat="1" applyFont="1" applyFill="1" applyBorder="1" applyAlignment="1">
      <alignment horizontal="center" vertical="center"/>
    </xf>
    <xf numFmtId="0" fontId="25" fillId="10" borderId="15" xfId="0" applyFont="1" applyFill="1" applyBorder="1" applyAlignment="1">
      <alignment horizontal="center" vertical="center"/>
    </xf>
    <xf numFmtId="0" fontId="25" fillId="10" borderId="14" xfId="0" applyFont="1" applyFill="1" applyBorder="1" applyAlignment="1">
      <alignment horizontal="center" vertical="center"/>
    </xf>
    <xf numFmtId="0" fontId="25" fillId="10" borderId="16" xfId="0" applyFont="1" applyFill="1" applyBorder="1" applyAlignment="1">
      <alignment horizontal="center" vertical="center"/>
    </xf>
    <xf numFmtId="14" fontId="13" fillId="0" borderId="15" xfId="0" applyNumberFormat="1" applyFont="1" applyBorder="1" applyAlignment="1">
      <alignment horizontal="center" vertical="center"/>
    </xf>
    <xf numFmtId="14" fontId="13" fillId="0" borderId="14" xfId="0" applyNumberFormat="1" applyFont="1" applyBorder="1" applyAlignment="1">
      <alignment horizontal="center" vertical="center"/>
    </xf>
    <xf numFmtId="14" fontId="13" fillId="0" borderId="16" xfId="0" applyNumberFormat="1" applyFont="1" applyBorder="1" applyAlignment="1">
      <alignment horizontal="center" vertical="center"/>
    </xf>
  </cellXfs>
  <cellStyles count="2">
    <cellStyle name="Normal" xfId="0" builtinId="0"/>
    <cellStyle name="Normal 2" xfId="1" xr:uid="{916521BF-F3AB-4A1E-83AD-7A0FE5592B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0</xdr:row>
      <xdr:rowOff>0</xdr:rowOff>
    </xdr:from>
    <xdr:to>
      <xdr:col>2</xdr:col>
      <xdr:colOff>933450</xdr:colOff>
      <xdr:row>2</xdr:row>
      <xdr:rowOff>95247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200C2120-E128-4FDC-8178-E76D28EB79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0"/>
          <a:ext cx="2000250" cy="49529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</xdr:rowOff>
    </xdr:from>
    <xdr:to>
      <xdr:col>2</xdr:col>
      <xdr:colOff>752475</xdr:colOff>
      <xdr:row>2</xdr:row>
      <xdr:rowOff>85725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BC32A58-E0EC-438C-8359-D84AE7F1F5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"/>
          <a:ext cx="2000250" cy="48577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752475</xdr:colOff>
      <xdr:row>2</xdr:row>
      <xdr:rowOff>142872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16AD9580-2333-433B-9112-1D778915C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00250" cy="54292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</xdr:rowOff>
    </xdr:from>
    <xdr:to>
      <xdr:col>2</xdr:col>
      <xdr:colOff>752475</xdr:colOff>
      <xdr:row>2</xdr:row>
      <xdr:rowOff>57150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EBC811C5-8BD0-4D50-90C9-361BDEF2E7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"/>
          <a:ext cx="2000250" cy="45719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</xdr:rowOff>
    </xdr:from>
    <xdr:to>
      <xdr:col>2</xdr:col>
      <xdr:colOff>752475</xdr:colOff>
      <xdr:row>2</xdr:row>
      <xdr:rowOff>76200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AF6463E0-D715-4FF7-8BE6-CD00B622D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"/>
          <a:ext cx="2000250" cy="45719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</xdr:rowOff>
    </xdr:from>
    <xdr:to>
      <xdr:col>2</xdr:col>
      <xdr:colOff>752475</xdr:colOff>
      <xdr:row>2</xdr:row>
      <xdr:rowOff>95250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89A74B33-2C1E-4DA3-A901-6884EF7E65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"/>
          <a:ext cx="2000250" cy="47624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</xdr:rowOff>
    </xdr:from>
    <xdr:to>
      <xdr:col>2</xdr:col>
      <xdr:colOff>752475</xdr:colOff>
      <xdr:row>2</xdr:row>
      <xdr:rowOff>19050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34017FB2-1320-404C-99C9-DEEBADD745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"/>
          <a:ext cx="2000250" cy="41909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</xdr:rowOff>
    </xdr:from>
    <xdr:to>
      <xdr:col>2</xdr:col>
      <xdr:colOff>752475</xdr:colOff>
      <xdr:row>2</xdr:row>
      <xdr:rowOff>38100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2BA9419C-B4CB-4FFD-B6E5-4C3A714E77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"/>
          <a:ext cx="2000250" cy="41909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</xdr:rowOff>
    </xdr:from>
    <xdr:to>
      <xdr:col>2</xdr:col>
      <xdr:colOff>752475</xdr:colOff>
      <xdr:row>2</xdr:row>
      <xdr:rowOff>57150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A9EF49A0-47E2-49A9-B570-BD1329178E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"/>
          <a:ext cx="2000250" cy="43814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</xdr:rowOff>
    </xdr:from>
    <xdr:to>
      <xdr:col>2</xdr:col>
      <xdr:colOff>752475</xdr:colOff>
      <xdr:row>2</xdr:row>
      <xdr:rowOff>76200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C5D4AF65-81E3-466F-8159-3A9F12D304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"/>
          <a:ext cx="2000250" cy="45719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</xdr:rowOff>
    </xdr:from>
    <xdr:to>
      <xdr:col>2</xdr:col>
      <xdr:colOff>752475</xdr:colOff>
      <xdr:row>2</xdr:row>
      <xdr:rowOff>95250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7A247E0F-C4DB-4AFF-8AD8-F0B049EC9F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"/>
          <a:ext cx="2000250" cy="476247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</xdr:rowOff>
    </xdr:from>
    <xdr:to>
      <xdr:col>2</xdr:col>
      <xdr:colOff>752475</xdr:colOff>
      <xdr:row>2</xdr:row>
      <xdr:rowOff>114300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E4A7479D-1B26-4037-BF41-BAD2AE3EDA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"/>
          <a:ext cx="2000250" cy="495297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</xdr:rowOff>
    </xdr:from>
    <xdr:to>
      <xdr:col>2</xdr:col>
      <xdr:colOff>752475</xdr:colOff>
      <xdr:row>2</xdr:row>
      <xdr:rowOff>114300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6C0DDB3A-BA0A-41B7-92C4-226B3AF87C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"/>
          <a:ext cx="2000250" cy="495297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</xdr:rowOff>
    </xdr:from>
    <xdr:to>
      <xdr:col>2</xdr:col>
      <xdr:colOff>752475</xdr:colOff>
      <xdr:row>2</xdr:row>
      <xdr:rowOff>133350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69614840-93B2-4D83-AAAC-256EAF6D6E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"/>
          <a:ext cx="2000250" cy="514347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</xdr:rowOff>
    </xdr:from>
    <xdr:to>
      <xdr:col>2</xdr:col>
      <xdr:colOff>752475</xdr:colOff>
      <xdr:row>2</xdr:row>
      <xdr:rowOff>152400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BB8086D3-646C-4804-ADCA-9E30284769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"/>
          <a:ext cx="2000250" cy="533397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</xdr:rowOff>
    </xdr:from>
    <xdr:to>
      <xdr:col>2</xdr:col>
      <xdr:colOff>752475</xdr:colOff>
      <xdr:row>2</xdr:row>
      <xdr:rowOff>171450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FBC85AFE-D9D1-4696-BD71-50DB4C1158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"/>
          <a:ext cx="2000250" cy="552447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</xdr:rowOff>
    </xdr:from>
    <xdr:to>
      <xdr:col>2</xdr:col>
      <xdr:colOff>752475</xdr:colOff>
      <xdr:row>2</xdr:row>
      <xdr:rowOff>95250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BDD50CFF-FF1F-4F3B-9A82-7E82108F67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"/>
          <a:ext cx="2000250" cy="495297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</xdr:rowOff>
    </xdr:from>
    <xdr:to>
      <xdr:col>2</xdr:col>
      <xdr:colOff>752475</xdr:colOff>
      <xdr:row>2</xdr:row>
      <xdr:rowOff>95250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EFED5443-A9D1-48AE-B070-80A50A658D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"/>
          <a:ext cx="2000250" cy="495297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</xdr:rowOff>
    </xdr:from>
    <xdr:to>
      <xdr:col>2</xdr:col>
      <xdr:colOff>752475</xdr:colOff>
      <xdr:row>2</xdr:row>
      <xdr:rowOff>114300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1491BB61-286A-4AF4-A8DA-124EF3AFD0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"/>
          <a:ext cx="2000250" cy="495297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</xdr:rowOff>
    </xdr:from>
    <xdr:to>
      <xdr:col>2</xdr:col>
      <xdr:colOff>752475</xdr:colOff>
      <xdr:row>2</xdr:row>
      <xdr:rowOff>133350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AD088C52-137D-409D-B8B6-4B21EF548D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"/>
          <a:ext cx="2000250" cy="514347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</xdr:rowOff>
    </xdr:from>
    <xdr:to>
      <xdr:col>2</xdr:col>
      <xdr:colOff>752475</xdr:colOff>
      <xdr:row>2</xdr:row>
      <xdr:rowOff>66676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9BAEBE4B-7C1B-4551-9191-60A8FA12A7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"/>
          <a:ext cx="2000250" cy="466722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</xdr:rowOff>
    </xdr:from>
    <xdr:to>
      <xdr:col>2</xdr:col>
      <xdr:colOff>752475</xdr:colOff>
      <xdr:row>2</xdr:row>
      <xdr:rowOff>85726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51D30CF6-BD7C-4AF8-A8F7-477B5E117F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"/>
          <a:ext cx="2000250" cy="466722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</xdr:rowOff>
    </xdr:from>
    <xdr:to>
      <xdr:col>2</xdr:col>
      <xdr:colOff>752475</xdr:colOff>
      <xdr:row>2</xdr:row>
      <xdr:rowOff>114300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40D1875D-5DA1-4637-84FF-E346F935EB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"/>
          <a:ext cx="2000250" cy="495297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4B694-3CF0-4236-B0D3-C3AB4D8B016D}">
  <we:reference id="wa200007447" version="1.1.6.7" store="fr-FR" storeType="OMEX"/>
  <we:alternateReferences>
    <we:reference id="wa200007447" version="1.1.6.7" store="wa200007447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_xldudf_BOARDFLARE_EXEC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A621F-D49D-46BA-BFA7-25906CD018F1}">
  <dimension ref="A1:F24"/>
  <sheetViews>
    <sheetView workbookViewId="0">
      <selection activeCell="C24" sqref="C24"/>
    </sheetView>
  </sheetViews>
  <sheetFormatPr baseColWidth="10" defaultColWidth="9.140625" defaultRowHeight="15" x14ac:dyDescent="0.25"/>
  <cols>
    <col min="1" max="1" width="37.42578125" customWidth="1"/>
    <col min="2" max="2" width="18" bestFit="1" customWidth="1"/>
    <col min="3" max="3" width="17.42578125" bestFit="1" customWidth="1"/>
    <col min="4" max="4" width="20.28515625" bestFit="1" customWidth="1"/>
    <col min="5" max="5" width="4.85546875" customWidth="1"/>
    <col min="6" max="6" width="15.42578125" customWidth="1"/>
  </cols>
  <sheetData>
    <row r="1" spans="1:6" ht="33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</row>
    <row r="2" spans="1:6" ht="16.5" x14ac:dyDescent="0.25">
      <c r="A2" s="2">
        <v>46266</v>
      </c>
      <c r="B2" s="3">
        <f>'01-09'!H1</f>
        <v>1</v>
      </c>
      <c r="C2" s="3">
        <f>'01-09'!H2</f>
        <v>3</v>
      </c>
      <c r="D2" s="4">
        <f t="shared" ref="D2:D6" si="0">SUM(B2:C2)</f>
        <v>4</v>
      </c>
      <c r="F2" s="3"/>
    </row>
    <row r="3" spans="1:6" ht="16.5" x14ac:dyDescent="0.25">
      <c r="A3" s="2">
        <v>46267</v>
      </c>
      <c r="B3" s="3">
        <f>'02-09'!H1</f>
        <v>2</v>
      </c>
      <c r="C3" s="3">
        <f>'02-09'!H2</f>
        <v>2</v>
      </c>
      <c r="D3" s="4">
        <f t="shared" si="0"/>
        <v>4</v>
      </c>
      <c r="F3" s="3"/>
    </row>
    <row r="4" spans="1:6" ht="16.5" x14ac:dyDescent="0.25">
      <c r="A4" s="2">
        <v>46268</v>
      </c>
      <c r="B4" s="3">
        <f>'03-09'!H1</f>
        <v>2</v>
      </c>
      <c r="C4" s="3">
        <f>'03-09'!H2</f>
        <v>3</v>
      </c>
      <c r="D4" s="4">
        <f t="shared" si="0"/>
        <v>5</v>
      </c>
      <c r="F4" s="3"/>
    </row>
    <row r="5" spans="1:6" ht="16.5" x14ac:dyDescent="0.25">
      <c r="A5" s="2">
        <v>46271</v>
      </c>
      <c r="B5" s="3">
        <f>'06-09'!H1</f>
        <v>1</v>
      </c>
      <c r="C5" s="3">
        <f>'06-09'!H2</f>
        <v>0</v>
      </c>
      <c r="D5" s="4">
        <f t="shared" si="0"/>
        <v>1</v>
      </c>
      <c r="F5" s="3"/>
    </row>
    <row r="6" spans="1:6" ht="16.5" x14ac:dyDescent="0.25">
      <c r="A6" s="2">
        <v>46272</v>
      </c>
      <c r="B6" s="3">
        <f>'07-09'!H1</f>
        <v>1</v>
      </c>
      <c r="C6" s="3">
        <f>'07-09'!H2</f>
        <v>7</v>
      </c>
      <c r="D6" s="4">
        <f t="shared" si="0"/>
        <v>8</v>
      </c>
      <c r="F6" s="3"/>
    </row>
    <row r="7" spans="1:6" ht="16.5" x14ac:dyDescent="0.25">
      <c r="A7" s="2">
        <v>46274</v>
      </c>
      <c r="B7" s="3">
        <f>'09-09'!H1</f>
        <v>11</v>
      </c>
      <c r="C7" s="3">
        <f>'09-09'!H2</f>
        <v>0</v>
      </c>
      <c r="D7" s="4">
        <f t="shared" ref="D7:D11" si="1">SUM(B7:C7)</f>
        <v>11</v>
      </c>
      <c r="F7" s="3"/>
    </row>
    <row r="8" spans="1:6" ht="16.5" x14ac:dyDescent="0.25">
      <c r="A8" s="2">
        <v>46275</v>
      </c>
      <c r="B8" s="3">
        <f>'10-09'!H1</f>
        <v>7</v>
      </c>
      <c r="C8" s="3">
        <f>'10-09'!H2</f>
        <v>1</v>
      </c>
      <c r="D8" s="4">
        <f t="shared" si="1"/>
        <v>8</v>
      </c>
      <c r="F8" s="3"/>
    </row>
    <row r="9" spans="1:6" ht="16.5" x14ac:dyDescent="0.25">
      <c r="A9" s="2">
        <v>46278</v>
      </c>
      <c r="B9" s="3">
        <f>'13-09'!H1</f>
        <v>0</v>
      </c>
      <c r="C9" s="3">
        <f>'13-09'!H2</f>
        <v>2</v>
      </c>
      <c r="D9" s="4">
        <f t="shared" si="1"/>
        <v>2</v>
      </c>
      <c r="F9" s="3"/>
    </row>
    <row r="10" spans="1:6" ht="16.5" x14ac:dyDescent="0.25">
      <c r="A10" s="2">
        <v>46279</v>
      </c>
      <c r="B10" s="3">
        <f>'14-09'!H1</f>
        <v>1</v>
      </c>
      <c r="C10" s="3">
        <f>'14-09'!H2</f>
        <v>0</v>
      </c>
      <c r="D10" s="4">
        <f t="shared" si="1"/>
        <v>1</v>
      </c>
      <c r="F10" s="3"/>
    </row>
    <row r="11" spans="1:6" ht="16.5" x14ac:dyDescent="0.25">
      <c r="A11" s="2">
        <v>46280</v>
      </c>
      <c r="B11" s="3">
        <f>'15-09'!H1</f>
        <v>4</v>
      </c>
      <c r="C11" s="3">
        <f>'15-09'!H2</f>
        <v>0</v>
      </c>
      <c r="D11" s="4">
        <f t="shared" si="1"/>
        <v>4</v>
      </c>
      <c r="F11" s="3"/>
    </row>
    <row r="12" spans="1:6" ht="16.5" x14ac:dyDescent="0.25">
      <c r="A12" s="2">
        <v>46281</v>
      </c>
      <c r="B12" s="3">
        <f>'16-09'!H1</f>
        <v>0</v>
      </c>
      <c r="C12" s="3">
        <f>'16-09'!H2</f>
        <v>12</v>
      </c>
      <c r="D12" s="4">
        <f t="shared" ref="D12" si="2">SUM(B12:C12)</f>
        <v>12</v>
      </c>
      <c r="F12" s="3"/>
    </row>
    <row r="13" spans="1:6" ht="16.5" x14ac:dyDescent="0.25">
      <c r="A13" s="2">
        <v>46282</v>
      </c>
      <c r="B13" s="3">
        <f>'17-09'!H1</f>
        <v>0</v>
      </c>
      <c r="C13" s="3">
        <f>'17-09'!H2</f>
        <v>8</v>
      </c>
      <c r="D13" s="4">
        <f t="shared" ref="D13" si="3">SUM(B13:C13)</f>
        <v>8</v>
      </c>
      <c r="F13" s="3"/>
    </row>
    <row r="14" spans="1:6" ht="16.5" x14ac:dyDescent="0.25">
      <c r="A14" s="2">
        <v>46285</v>
      </c>
      <c r="B14" s="3">
        <f>'20-09'!H1</f>
        <v>0</v>
      </c>
      <c r="C14" s="3">
        <f>'20-09'!H2</f>
        <v>2</v>
      </c>
      <c r="D14" s="4">
        <f t="shared" ref="D14" si="4">SUM(B14:C14)</f>
        <v>2</v>
      </c>
      <c r="F14" s="3"/>
    </row>
    <row r="15" spans="1:6" ht="16.5" x14ac:dyDescent="0.25">
      <c r="A15" s="2">
        <v>46286</v>
      </c>
      <c r="B15" s="3">
        <f>'21-09'!H1</f>
        <v>0</v>
      </c>
      <c r="C15" s="3">
        <f>'21-09'!H2</f>
        <v>4</v>
      </c>
      <c r="D15" s="4">
        <f t="shared" ref="D15" si="5">SUM(B15:C15)</f>
        <v>4</v>
      </c>
      <c r="F15" s="3"/>
    </row>
    <row r="16" spans="1:6" ht="16.5" x14ac:dyDescent="0.25">
      <c r="A16" s="2">
        <v>46287</v>
      </c>
      <c r="B16" s="3">
        <f>'22-09'!H1</f>
        <v>0</v>
      </c>
      <c r="C16" s="3">
        <f>'22-09'!H2</f>
        <v>8</v>
      </c>
      <c r="D16" s="4">
        <f t="shared" ref="D16" si="6">SUM(B16:C16)</f>
        <v>8</v>
      </c>
      <c r="F16" s="3"/>
    </row>
    <row r="17" spans="1:6" ht="16.5" x14ac:dyDescent="0.25">
      <c r="A17" s="2">
        <v>46288</v>
      </c>
      <c r="B17" s="3">
        <f>'23-09'!H1</f>
        <v>0</v>
      </c>
      <c r="C17" s="3">
        <f>'23-09'!H2</f>
        <v>1</v>
      </c>
      <c r="D17" s="4">
        <f t="shared" ref="D17" si="7">SUM(B17:C17)</f>
        <v>1</v>
      </c>
      <c r="F17" s="3"/>
    </row>
    <row r="18" spans="1:6" ht="16.5" x14ac:dyDescent="0.25">
      <c r="A18" s="2">
        <v>46289</v>
      </c>
      <c r="B18" s="3">
        <f>'24-09'!H1</f>
        <v>0</v>
      </c>
      <c r="C18" s="3">
        <f>'24-09'!H2</f>
        <v>1</v>
      </c>
      <c r="D18" s="4">
        <f t="shared" ref="D18:D19" si="8">SUM(B18:C18)</f>
        <v>1</v>
      </c>
      <c r="F18" s="3"/>
    </row>
    <row r="19" spans="1:6" ht="16.5" x14ac:dyDescent="0.25">
      <c r="A19" s="2">
        <v>46291</v>
      </c>
      <c r="B19" s="3">
        <f>'26-09'!H1</f>
        <v>9</v>
      </c>
      <c r="C19" s="3">
        <f>'26-09'!H2</f>
        <v>0</v>
      </c>
      <c r="D19" s="4">
        <f t="shared" si="8"/>
        <v>9</v>
      </c>
      <c r="F19" s="3"/>
    </row>
    <row r="20" spans="1:6" ht="16.5" x14ac:dyDescent="0.25">
      <c r="A20" s="2">
        <v>46292</v>
      </c>
      <c r="B20" s="3">
        <f>'27-09'!H1</f>
        <v>11</v>
      </c>
      <c r="C20" s="3">
        <f>'27-09'!H2</f>
        <v>2</v>
      </c>
      <c r="D20" s="4">
        <f t="shared" ref="D20" si="9">SUM(B20:C20)</f>
        <v>13</v>
      </c>
      <c r="F20" s="3"/>
    </row>
    <row r="21" spans="1:6" ht="16.5" x14ac:dyDescent="0.25">
      <c r="A21" s="2">
        <v>46293</v>
      </c>
      <c r="B21" s="3">
        <f>'28-09'!H1</f>
        <v>2</v>
      </c>
      <c r="C21" s="3">
        <f>'28-09'!H2</f>
        <v>0</v>
      </c>
      <c r="D21" s="4">
        <f t="shared" ref="D21" si="10">SUM(B21:C21)</f>
        <v>2</v>
      </c>
      <c r="F21" s="3"/>
    </row>
    <row r="22" spans="1:6" ht="16.5" x14ac:dyDescent="0.25">
      <c r="A22" s="2">
        <v>46294</v>
      </c>
      <c r="B22" s="3">
        <f>'29-09'!H1</f>
        <v>0</v>
      </c>
      <c r="C22" s="3">
        <f>'29-09'!H2</f>
        <v>6</v>
      </c>
      <c r="D22" s="4">
        <f t="shared" ref="D22" si="11">SUM(B22:C22)</f>
        <v>6</v>
      </c>
      <c r="F22" s="3"/>
    </row>
    <row r="23" spans="1:6" ht="16.5" x14ac:dyDescent="0.25">
      <c r="A23" s="2">
        <v>46295</v>
      </c>
      <c r="B23" s="3">
        <f>'30-09'!H1</f>
        <v>0</v>
      </c>
      <c r="C23" s="3">
        <f>'30-09'!H2</f>
        <v>2</v>
      </c>
      <c r="D23" s="4">
        <f>SUM(B23:C23)</f>
        <v>2</v>
      </c>
      <c r="F23" s="3"/>
    </row>
    <row r="24" spans="1:6" ht="16.5" x14ac:dyDescent="0.25">
      <c r="A24" s="1" t="s">
        <v>5</v>
      </c>
      <c r="B24" s="5">
        <f>SUM(B2:B23)</f>
        <v>52</v>
      </c>
      <c r="C24" s="5">
        <f>SUM(C2:C23)</f>
        <v>64</v>
      </c>
      <c r="D24" s="5">
        <f>SUM(D2:D19)</f>
        <v>93</v>
      </c>
      <c r="E24" s="5"/>
      <c r="F24" s="5"/>
    </row>
  </sheetData>
  <phoneticPr fontId="5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E3EF0-42A6-4E9D-BB88-F1F87C40E4D1}">
  <dimension ref="A1:M42"/>
  <sheetViews>
    <sheetView topLeftCell="B1" workbookViewId="0">
      <selection activeCell="B1" sqref="A1:XFD1048576"/>
    </sheetView>
  </sheetViews>
  <sheetFormatPr baseColWidth="10" defaultRowHeight="15" x14ac:dyDescent="0.25"/>
  <cols>
    <col min="1" max="1" width="3.140625" style="21" bestFit="1" customWidth="1"/>
    <col min="2" max="2" width="15.5703125" style="21" bestFit="1" customWidth="1"/>
    <col min="3" max="3" width="19.28515625" style="21" customWidth="1"/>
    <col min="4" max="4" width="19.140625" style="21" customWidth="1"/>
    <col min="5" max="5" width="14.28515625" style="21" customWidth="1"/>
    <col min="6" max="6" width="13.85546875" style="21" bestFit="1" customWidth="1"/>
    <col min="7" max="7" width="12.140625" style="21" bestFit="1" customWidth="1"/>
    <col min="8" max="10" width="11.42578125" style="21"/>
    <col min="11" max="11" width="14.7109375" style="21" bestFit="1" customWidth="1"/>
    <col min="12" max="16384" width="11.42578125" style="21"/>
  </cols>
  <sheetData>
    <row r="1" spans="1:10" s="7" customFormat="1" ht="15.75" x14ac:dyDescent="0.25">
      <c r="A1" s="6"/>
      <c r="H1" s="8">
        <f>COUNTIF(C8:C15,"&lt;&gt;")</f>
        <v>1</v>
      </c>
      <c r="I1" s="9" t="s">
        <v>6</v>
      </c>
    </row>
    <row r="2" spans="1:10" s="7" customFormat="1" ht="15.75" x14ac:dyDescent="0.25">
      <c r="A2" s="6"/>
      <c r="F2" s="8">
        <f>COUNTIFS(B20:B29,"&lt;&gt;",C20:C29,"VH")</f>
        <v>7</v>
      </c>
      <c r="G2" s="9" t="s">
        <v>7</v>
      </c>
      <c r="H2" s="8">
        <f>COUNTA(C20:C29)-F2</f>
        <v>3</v>
      </c>
      <c r="I2" s="9" t="s">
        <v>6</v>
      </c>
      <c r="J2" s="10">
        <f>COUNTIF(E20:E29,"VIDE")</f>
        <v>0</v>
      </c>
    </row>
    <row r="3" spans="1:10" s="7" customFormat="1" ht="25.5" x14ac:dyDescent="0.25">
      <c r="A3" s="99" t="s">
        <v>8</v>
      </c>
      <c r="B3" s="99"/>
      <c r="C3" s="99"/>
      <c r="D3" s="99"/>
      <c r="E3" s="99"/>
      <c r="F3" s="99"/>
      <c r="G3" s="99"/>
      <c r="H3" s="99"/>
    </row>
    <row r="4" spans="1:10" s="7" customFormat="1" ht="12.75" x14ac:dyDescent="0.25">
      <c r="A4" s="6"/>
    </row>
    <row r="5" spans="1:10" s="7" customFormat="1" ht="15.75" x14ac:dyDescent="0.25">
      <c r="A5" s="6"/>
      <c r="B5" s="11" t="s">
        <v>9</v>
      </c>
      <c r="G5" s="12">
        <v>46266</v>
      </c>
    </row>
    <row r="6" spans="1:10" s="7" customFormat="1" thickBot="1" x14ac:dyDescent="0.3">
      <c r="A6" s="6"/>
      <c r="B6" s="13"/>
    </row>
    <row r="7" spans="1:10" s="7" customFormat="1" thickBot="1" x14ac:dyDescent="0.3">
      <c r="A7" s="14" t="s">
        <v>10</v>
      </c>
      <c r="B7" s="15" t="s">
        <v>11</v>
      </c>
      <c r="C7" s="15" t="s">
        <v>12</v>
      </c>
      <c r="D7" s="15" t="s">
        <v>13</v>
      </c>
      <c r="E7" s="15" t="s">
        <v>14</v>
      </c>
      <c r="F7" s="16" t="s">
        <v>15</v>
      </c>
    </row>
    <row r="8" spans="1:10" ht="15.75" x14ac:dyDescent="0.25">
      <c r="A8" s="17">
        <v>1</v>
      </c>
      <c r="B8" s="45" t="s">
        <v>31</v>
      </c>
      <c r="C8" s="19">
        <v>1092026</v>
      </c>
      <c r="D8" s="43" t="s">
        <v>29</v>
      </c>
      <c r="E8" s="43" t="s">
        <v>30</v>
      </c>
      <c r="F8" s="44" t="s">
        <v>17</v>
      </c>
      <c r="G8" s="20"/>
    </row>
    <row r="9" spans="1:10" ht="15.75" x14ac:dyDescent="0.25">
      <c r="A9" s="17">
        <v>2</v>
      </c>
      <c r="B9" s="42"/>
      <c r="C9" s="19"/>
      <c r="D9" s="22"/>
      <c r="E9" s="18"/>
      <c r="F9" s="18"/>
      <c r="G9" s="20"/>
    </row>
    <row r="10" spans="1:10" ht="15.75" x14ac:dyDescent="0.25">
      <c r="A10" s="17">
        <v>3</v>
      </c>
      <c r="B10" s="42"/>
      <c r="C10" s="19"/>
      <c r="D10" s="18"/>
      <c r="E10" s="18"/>
      <c r="F10" s="18"/>
      <c r="G10" s="20"/>
    </row>
    <row r="11" spans="1:10" ht="15.75" x14ac:dyDescent="0.25">
      <c r="A11" s="17">
        <v>4</v>
      </c>
      <c r="B11" s="42"/>
      <c r="C11" s="19"/>
      <c r="D11" s="18"/>
      <c r="E11" s="18"/>
      <c r="F11" s="18"/>
      <c r="G11" s="20"/>
    </row>
    <row r="12" spans="1:10" ht="15.75" x14ac:dyDescent="0.25">
      <c r="A12" s="17">
        <v>5</v>
      </c>
      <c r="B12" s="42"/>
      <c r="C12" s="19"/>
      <c r="D12" s="18"/>
      <c r="E12" s="23"/>
      <c r="F12" s="18"/>
      <c r="G12" s="20"/>
    </row>
    <row r="13" spans="1:10" ht="15.75" x14ac:dyDescent="0.25">
      <c r="A13" s="17">
        <v>6</v>
      </c>
      <c r="B13" s="42"/>
      <c r="C13" s="19"/>
      <c r="D13" s="18"/>
      <c r="E13" s="23"/>
      <c r="F13" s="18"/>
      <c r="G13" s="20"/>
    </row>
    <row r="14" spans="1:10" ht="15.75" x14ac:dyDescent="0.25">
      <c r="A14" s="17">
        <v>7</v>
      </c>
      <c r="B14" s="42"/>
      <c r="C14" s="19"/>
      <c r="D14" s="18"/>
      <c r="E14" s="23"/>
      <c r="F14" s="18"/>
      <c r="G14" s="20"/>
    </row>
    <row r="15" spans="1:10" ht="15.75" x14ac:dyDescent="0.25">
      <c r="A15" s="17">
        <v>8</v>
      </c>
      <c r="B15" s="42"/>
      <c r="C15" s="19"/>
      <c r="D15" s="24"/>
      <c r="E15" s="23"/>
      <c r="F15" s="18"/>
      <c r="G15" s="20"/>
    </row>
    <row r="16" spans="1:10" ht="15.75" x14ac:dyDescent="0.25">
      <c r="A16" s="6"/>
      <c r="B16" s="20"/>
      <c r="C16" s="7"/>
      <c r="D16" s="26"/>
      <c r="E16" s="26"/>
      <c r="F16" s="26"/>
      <c r="G16" s="7"/>
    </row>
    <row r="17" spans="1:13" ht="15.75" x14ac:dyDescent="0.25">
      <c r="A17" s="6"/>
      <c r="B17" s="11" t="s">
        <v>20</v>
      </c>
    </row>
    <row r="18" spans="1:13" ht="15.75" thickBot="1" x14ac:dyDescent="0.3">
      <c r="A18" s="6"/>
      <c r="B18" s="13"/>
      <c r="C18" s="7"/>
      <c r="D18" s="7"/>
      <c r="E18" s="7"/>
      <c r="F18" s="7"/>
    </row>
    <row r="19" spans="1:13" x14ac:dyDescent="0.25">
      <c r="A19" s="14" t="s">
        <v>10</v>
      </c>
      <c r="B19" s="15" t="s">
        <v>21</v>
      </c>
      <c r="C19" s="15" t="s">
        <v>22</v>
      </c>
      <c r="D19" s="15" t="s">
        <v>13</v>
      </c>
      <c r="E19" s="15" t="s">
        <v>14</v>
      </c>
      <c r="F19" s="16" t="s">
        <v>15</v>
      </c>
    </row>
    <row r="20" spans="1:13" x14ac:dyDescent="0.25">
      <c r="A20" s="25">
        <v>1</v>
      </c>
      <c r="B20" s="19">
        <v>1092026</v>
      </c>
      <c r="C20" s="27" t="s">
        <v>28</v>
      </c>
      <c r="D20" s="28" t="s">
        <v>27</v>
      </c>
      <c r="E20" s="29">
        <v>3579</v>
      </c>
      <c r="F20" s="25">
        <v>40</v>
      </c>
    </row>
    <row r="21" spans="1:13" ht="15.75" customHeight="1" x14ac:dyDescent="0.25">
      <c r="A21" s="25">
        <v>2</v>
      </c>
      <c r="B21" s="19">
        <v>1092026</v>
      </c>
      <c r="C21" s="27" t="s">
        <v>33</v>
      </c>
      <c r="D21" s="30" t="s">
        <v>32</v>
      </c>
      <c r="E21" s="30">
        <v>3571</v>
      </c>
      <c r="F21" s="25">
        <v>40</v>
      </c>
      <c r="I21" s="31"/>
      <c r="J21" s="31"/>
      <c r="K21" s="31"/>
      <c r="L21" s="31"/>
      <c r="M21" s="31"/>
    </row>
    <row r="22" spans="1:13" ht="15.75" customHeight="1" x14ac:dyDescent="0.25">
      <c r="A22" s="25">
        <v>3</v>
      </c>
      <c r="B22" s="19">
        <v>1092026</v>
      </c>
      <c r="C22" s="27" t="s">
        <v>7</v>
      </c>
      <c r="D22" s="30" t="s">
        <v>35</v>
      </c>
      <c r="E22" s="30" t="s">
        <v>34</v>
      </c>
      <c r="F22" s="27" t="s">
        <v>7</v>
      </c>
      <c r="I22" s="31"/>
      <c r="J22" s="31"/>
      <c r="K22" s="31"/>
      <c r="L22" s="31"/>
      <c r="M22" s="31"/>
    </row>
    <row r="23" spans="1:13" ht="15.75" customHeight="1" x14ac:dyDescent="0.25">
      <c r="A23" s="25">
        <v>4</v>
      </c>
      <c r="B23" s="19">
        <v>1092026</v>
      </c>
      <c r="C23" s="27" t="s">
        <v>7</v>
      </c>
      <c r="D23" s="30" t="s">
        <v>36</v>
      </c>
      <c r="E23" s="30" t="s">
        <v>34</v>
      </c>
      <c r="F23" s="27" t="s">
        <v>7</v>
      </c>
      <c r="I23" s="31"/>
      <c r="J23" s="31"/>
      <c r="K23" s="31"/>
      <c r="L23" s="31"/>
      <c r="M23" s="31"/>
    </row>
    <row r="24" spans="1:13" ht="15.75" customHeight="1" x14ac:dyDescent="0.25">
      <c r="A24" s="25">
        <v>5</v>
      </c>
      <c r="B24" s="19">
        <v>1092026</v>
      </c>
      <c r="C24" s="27" t="s">
        <v>7</v>
      </c>
      <c r="D24" s="30" t="s">
        <v>37</v>
      </c>
      <c r="E24" s="30" t="s">
        <v>34</v>
      </c>
      <c r="F24" s="27" t="s">
        <v>7</v>
      </c>
      <c r="I24" s="31"/>
      <c r="J24" s="31"/>
      <c r="K24" s="31"/>
      <c r="L24" s="31"/>
      <c r="M24" s="31"/>
    </row>
    <row r="25" spans="1:13" ht="15.75" customHeight="1" x14ac:dyDescent="0.25">
      <c r="A25" s="25">
        <v>6</v>
      </c>
      <c r="B25" s="19">
        <v>1092026</v>
      </c>
      <c r="C25" s="27" t="s">
        <v>7</v>
      </c>
      <c r="D25" s="30" t="s">
        <v>38</v>
      </c>
      <c r="E25" s="30" t="s">
        <v>34</v>
      </c>
      <c r="F25" s="27" t="s">
        <v>7</v>
      </c>
      <c r="I25" s="31"/>
      <c r="J25" s="31"/>
      <c r="K25" s="31"/>
      <c r="L25" s="31"/>
      <c r="M25" s="31"/>
    </row>
    <row r="26" spans="1:13" ht="15.75" customHeight="1" x14ac:dyDescent="0.25">
      <c r="A26" s="25">
        <v>7</v>
      </c>
      <c r="B26" s="19">
        <v>1092026</v>
      </c>
      <c r="C26" s="27" t="s">
        <v>7</v>
      </c>
      <c r="D26" s="25" t="s">
        <v>39</v>
      </c>
      <c r="E26" s="30" t="s">
        <v>34</v>
      </c>
      <c r="F26" s="27" t="s">
        <v>7</v>
      </c>
      <c r="I26" s="31"/>
      <c r="J26" s="31"/>
      <c r="K26" s="31"/>
      <c r="L26" s="31"/>
      <c r="M26" s="31"/>
    </row>
    <row r="27" spans="1:13" x14ac:dyDescent="0.25">
      <c r="A27" s="25">
        <v>8</v>
      </c>
      <c r="B27" s="19">
        <v>1092026</v>
      </c>
      <c r="C27" s="27" t="s">
        <v>7</v>
      </c>
      <c r="D27" s="34" t="s">
        <v>40</v>
      </c>
      <c r="E27" s="30" t="s">
        <v>34</v>
      </c>
      <c r="F27" s="27" t="s">
        <v>7</v>
      </c>
    </row>
    <row r="28" spans="1:13" x14ac:dyDescent="0.25">
      <c r="A28" s="25">
        <v>9</v>
      </c>
      <c r="B28" s="19">
        <v>1092026</v>
      </c>
      <c r="C28" s="27" t="s">
        <v>7</v>
      </c>
      <c r="D28" s="28" t="s">
        <v>41</v>
      </c>
      <c r="E28" s="30" t="s">
        <v>34</v>
      </c>
      <c r="F28" s="27" t="s">
        <v>7</v>
      </c>
    </row>
    <row r="29" spans="1:13" x14ac:dyDescent="0.25">
      <c r="A29" s="25">
        <v>10</v>
      </c>
      <c r="B29" s="19">
        <v>1092026</v>
      </c>
      <c r="C29" s="33" t="s">
        <v>43</v>
      </c>
      <c r="D29" s="34" t="s">
        <v>42</v>
      </c>
      <c r="E29" s="30">
        <v>3572</v>
      </c>
      <c r="F29" s="25">
        <v>40</v>
      </c>
    </row>
    <row r="30" spans="1:13" ht="15.75" customHeight="1" x14ac:dyDescent="0.25">
      <c r="A30" s="25">
        <v>11</v>
      </c>
      <c r="B30" s="19"/>
      <c r="C30" s="33"/>
      <c r="D30" s="46"/>
      <c r="E30" s="30"/>
      <c r="F30" s="25"/>
    </row>
    <row r="31" spans="1:13" ht="15.75" customHeight="1" x14ac:dyDescent="0.25">
      <c r="A31" s="35"/>
      <c r="B31" s="36"/>
      <c r="C31" s="37"/>
      <c r="D31"/>
      <c r="E31" s="38"/>
      <c r="F31" s="35"/>
    </row>
    <row r="32" spans="1:13" ht="15.75" x14ac:dyDescent="0.25">
      <c r="A32" s="6"/>
      <c r="B32" s="11" t="s">
        <v>23</v>
      </c>
      <c r="E32" s="7"/>
      <c r="F32" s="7"/>
    </row>
    <row r="33" spans="1:6" ht="15.75" thickBot="1" x14ac:dyDescent="0.3">
      <c r="A33" s="6"/>
      <c r="B33" s="13"/>
      <c r="C33" s="7"/>
      <c r="D33" s="7"/>
      <c r="E33" s="7"/>
      <c r="F33" s="7"/>
    </row>
    <row r="34" spans="1:6" x14ac:dyDescent="0.25">
      <c r="A34" s="14" t="s">
        <v>10</v>
      </c>
      <c r="B34" s="15" t="s">
        <v>24</v>
      </c>
      <c r="C34" s="15" t="s">
        <v>13</v>
      </c>
      <c r="D34" s="15" t="s">
        <v>25</v>
      </c>
      <c r="E34" s="15" t="s">
        <v>26</v>
      </c>
      <c r="F34" s="16" t="s">
        <v>15</v>
      </c>
    </row>
    <row r="35" spans="1:6" ht="15.75" customHeight="1" x14ac:dyDescent="0.25">
      <c r="A35" s="25">
        <v>1</v>
      </c>
      <c r="B35" s="19"/>
      <c r="C35" s="29"/>
      <c r="D35" s="29"/>
      <c r="E35" s="39"/>
      <c r="F35" s="39"/>
    </row>
    <row r="36" spans="1:6" ht="15.75" customHeight="1" x14ac:dyDescent="0.25">
      <c r="A36" s="25">
        <v>2</v>
      </c>
      <c r="B36" s="19"/>
      <c r="C36" s="34"/>
      <c r="D36" s="34"/>
      <c r="E36" s="39"/>
      <c r="F36" s="39"/>
    </row>
    <row r="37" spans="1:6" ht="15.75" customHeight="1" x14ac:dyDescent="0.25">
      <c r="A37" s="25">
        <v>3</v>
      </c>
      <c r="B37" s="19"/>
      <c r="C37" s="29"/>
      <c r="D37" s="29"/>
      <c r="E37" s="39"/>
      <c r="F37" s="39"/>
    </row>
    <row r="38" spans="1:6" ht="15.75" customHeight="1" x14ac:dyDescent="0.25">
      <c r="A38" s="25">
        <v>4</v>
      </c>
      <c r="B38" s="19"/>
      <c r="C38" s="29"/>
      <c r="D38" s="29"/>
      <c r="E38" s="39"/>
      <c r="F38" s="39"/>
    </row>
    <row r="39" spans="1:6" ht="15.75" customHeight="1" x14ac:dyDescent="0.25">
      <c r="A39" s="25">
        <v>5</v>
      </c>
      <c r="B39" s="19"/>
      <c r="C39" s="18"/>
      <c r="D39" s="18"/>
      <c r="E39" s="39"/>
      <c r="F39" s="39"/>
    </row>
    <row r="40" spans="1:6" x14ac:dyDescent="0.25">
      <c r="A40" s="40">
        <v>6</v>
      </c>
      <c r="B40" s="19"/>
      <c r="C40" s="25"/>
      <c r="D40" s="32"/>
      <c r="E40" s="29"/>
      <c r="F40" s="29"/>
    </row>
    <row r="41" spans="1:6" x14ac:dyDescent="0.25">
      <c r="A41" s="40">
        <v>7</v>
      </c>
      <c r="B41" s="19"/>
      <c r="C41" s="29"/>
      <c r="D41" s="25"/>
      <c r="E41" s="29"/>
      <c r="F41" s="25"/>
    </row>
    <row r="42" spans="1:6" x14ac:dyDescent="0.25">
      <c r="F42" s="41"/>
    </row>
  </sheetData>
  <mergeCells count="1">
    <mergeCell ref="A3:H3"/>
  </mergeCells>
  <phoneticPr fontId="5" type="noConversion"/>
  <dataValidations count="2">
    <dataValidation type="list" allowBlank="1" showInputMessage="1" showErrorMessage="1" sqref="F41 F16" xr:uid="{8D5CED29-C3B3-4840-830F-0E19160AE997}">
      <formula1>"20,40,45,50"</formula1>
    </dataValidation>
    <dataValidation type="list" allowBlank="1" showInputMessage="1" showErrorMessage="1" sqref="F8:F15" xr:uid="{EB3D4CBD-BBEF-4A47-B1AA-9DF877D833AD}">
      <formula1>"20,40,45,50"</formula1>
      <formula2>0</formula2>
    </dataValidation>
  </dataValidations>
  <pageMargins left="0.31496062992125984" right="0.11811023622047245" top="0.74803149606299213" bottom="0.74803149606299213" header="0.31496062992125984" footer="0.31496062992125984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C856B-C7FE-4404-9D75-FE95EF21C2E2}">
  <dimension ref="A1:M42"/>
  <sheetViews>
    <sheetView workbookViewId="0">
      <selection activeCell="D9" sqref="D9"/>
    </sheetView>
  </sheetViews>
  <sheetFormatPr baseColWidth="10" defaultRowHeight="15" x14ac:dyDescent="0.25"/>
  <cols>
    <col min="1" max="1" width="3.140625" style="21" bestFit="1" customWidth="1"/>
    <col min="2" max="2" width="15.5703125" style="21" bestFit="1" customWidth="1"/>
    <col min="3" max="3" width="19.28515625" style="21" customWidth="1"/>
    <col min="4" max="4" width="19.140625" style="21" customWidth="1"/>
    <col min="5" max="5" width="14.28515625" style="21" customWidth="1"/>
    <col min="6" max="6" width="13.85546875" style="21" bestFit="1" customWidth="1"/>
    <col min="7" max="7" width="12.140625" style="21" bestFit="1" customWidth="1"/>
    <col min="8" max="10" width="11.42578125" style="21"/>
    <col min="11" max="11" width="14.7109375" style="21" bestFit="1" customWidth="1"/>
    <col min="12" max="16384" width="11.42578125" style="21"/>
  </cols>
  <sheetData>
    <row r="1" spans="1:10" s="7" customFormat="1" ht="15.75" x14ac:dyDescent="0.25">
      <c r="A1" s="6"/>
      <c r="H1" s="8">
        <f>COUNTIF(C8:C15,"&lt;&gt;")</f>
        <v>2</v>
      </c>
      <c r="I1" s="9" t="s">
        <v>6</v>
      </c>
    </row>
    <row r="2" spans="1:10" s="7" customFormat="1" ht="15.75" x14ac:dyDescent="0.25">
      <c r="A2" s="6"/>
      <c r="F2" s="8">
        <f>COUNTIFS(B20:B29,"&lt;&gt;",C20:C29,"VH")</f>
        <v>0</v>
      </c>
      <c r="G2" s="9" t="s">
        <v>7</v>
      </c>
      <c r="H2" s="8">
        <f>COUNTA(C20:C29)-F2</f>
        <v>2</v>
      </c>
      <c r="I2" s="9" t="s">
        <v>6</v>
      </c>
      <c r="J2" s="10">
        <f>COUNTIF(E20:E29,"VIDE")</f>
        <v>2</v>
      </c>
    </row>
    <row r="3" spans="1:10" s="7" customFormat="1" ht="25.5" x14ac:dyDescent="0.25">
      <c r="A3" s="99" t="s">
        <v>8</v>
      </c>
      <c r="B3" s="99"/>
      <c r="C3" s="99"/>
      <c r="D3" s="99"/>
      <c r="E3" s="99"/>
      <c r="F3" s="99"/>
      <c r="G3" s="99"/>
      <c r="H3" s="99"/>
    </row>
    <row r="4" spans="1:10" s="7" customFormat="1" ht="12.75" x14ac:dyDescent="0.25">
      <c r="A4" s="6"/>
    </row>
    <row r="5" spans="1:10" s="7" customFormat="1" ht="15.75" x14ac:dyDescent="0.25">
      <c r="A5" s="6"/>
      <c r="B5" s="11" t="s">
        <v>9</v>
      </c>
      <c r="G5" s="12">
        <v>46267</v>
      </c>
    </row>
    <row r="6" spans="1:10" s="7" customFormat="1" thickBot="1" x14ac:dyDescent="0.3">
      <c r="A6" s="6"/>
      <c r="B6" s="13"/>
    </row>
    <row r="7" spans="1:10" s="7" customFormat="1" ht="14.25" x14ac:dyDescent="0.25">
      <c r="A7" s="14" t="s">
        <v>10</v>
      </c>
      <c r="B7" s="15" t="s">
        <v>11</v>
      </c>
      <c r="C7" s="15" t="s">
        <v>12</v>
      </c>
      <c r="D7" s="15" t="s">
        <v>13</v>
      </c>
      <c r="E7" s="15" t="s">
        <v>14</v>
      </c>
      <c r="F7" s="16" t="s">
        <v>15</v>
      </c>
    </row>
    <row r="8" spans="1:10" ht="15.75" x14ac:dyDescent="0.25">
      <c r="A8" s="17">
        <v>1</v>
      </c>
      <c r="B8" s="48" t="s">
        <v>52</v>
      </c>
      <c r="C8" s="47">
        <v>2092026</v>
      </c>
      <c r="D8" s="49" t="s">
        <v>48</v>
      </c>
      <c r="E8" s="49" t="s">
        <v>49</v>
      </c>
      <c r="F8" s="18" t="s">
        <v>16</v>
      </c>
      <c r="G8" s="20"/>
    </row>
    <row r="9" spans="1:10" ht="15.75" x14ac:dyDescent="0.25">
      <c r="A9" s="17">
        <v>2</v>
      </c>
      <c r="B9" s="50" t="s">
        <v>53</v>
      </c>
      <c r="C9" s="47">
        <v>2092026</v>
      </c>
      <c r="D9" s="51" t="s">
        <v>50</v>
      </c>
      <c r="E9" s="51" t="s">
        <v>51</v>
      </c>
      <c r="F9" s="18" t="s">
        <v>16</v>
      </c>
      <c r="G9" s="20"/>
    </row>
    <row r="10" spans="1:10" ht="15.75" x14ac:dyDescent="0.25">
      <c r="A10" s="17">
        <v>3</v>
      </c>
      <c r="B10" s="42"/>
      <c r="C10" s="19"/>
      <c r="D10" s="18"/>
      <c r="E10" s="18"/>
      <c r="F10" s="18"/>
      <c r="G10" s="20"/>
    </row>
    <row r="11" spans="1:10" ht="15.75" x14ac:dyDescent="0.25">
      <c r="A11" s="17">
        <v>4</v>
      </c>
      <c r="B11" s="42"/>
      <c r="C11" s="19"/>
      <c r="D11" s="18"/>
      <c r="E11" s="18"/>
      <c r="F11" s="18"/>
      <c r="G11" s="20"/>
    </row>
    <row r="12" spans="1:10" ht="15.75" x14ac:dyDescent="0.25">
      <c r="A12" s="17">
        <v>5</v>
      </c>
      <c r="B12" s="42"/>
      <c r="C12" s="19"/>
      <c r="D12" s="18"/>
      <c r="E12" s="23"/>
      <c r="F12" s="18"/>
      <c r="G12" s="20"/>
    </row>
    <row r="13" spans="1:10" ht="15.75" x14ac:dyDescent="0.25">
      <c r="A13" s="17">
        <v>6</v>
      </c>
      <c r="B13" s="42"/>
      <c r="C13" s="19"/>
      <c r="D13" s="18"/>
      <c r="E13" s="23"/>
      <c r="F13" s="18"/>
      <c r="G13" s="20"/>
    </row>
    <row r="14" spans="1:10" ht="15.75" x14ac:dyDescent="0.25">
      <c r="A14" s="17">
        <v>7</v>
      </c>
      <c r="B14" s="42"/>
      <c r="C14" s="19"/>
      <c r="D14" s="18"/>
      <c r="E14" s="23"/>
      <c r="F14" s="18"/>
      <c r="G14" s="20"/>
    </row>
    <row r="15" spans="1:10" ht="15.75" x14ac:dyDescent="0.25">
      <c r="A15" s="17">
        <v>8</v>
      </c>
      <c r="B15" s="42"/>
      <c r="C15" s="19"/>
      <c r="D15" s="24"/>
      <c r="E15" s="23"/>
      <c r="F15" s="18"/>
      <c r="G15" s="20"/>
    </row>
    <row r="16" spans="1:10" ht="15.75" x14ac:dyDescent="0.25">
      <c r="A16" s="6"/>
      <c r="B16" s="20"/>
      <c r="C16" s="7"/>
      <c r="D16" s="26"/>
      <c r="E16" s="26"/>
      <c r="F16" s="26"/>
      <c r="G16" s="7"/>
    </row>
    <row r="17" spans="1:13" ht="15.75" x14ac:dyDescent="0.25">
      <c r="A17" s="6"/>
      <c r="B17" s="11" t="s">
        <v>20</v>
      </c>
    </row>
    <row r="18" spans="1:13" ht="15.75" thickBot="1" x14ac:dyDescent="0.3">
      <c r="A18" s="6"/>
      <c r="B18" s="13"/>
      <c r="C18" s="7"/>
      <c r="D18" s="7"/>
      <c r="E18" s="7"/>
      <c r="F18" s="7"/>
    </row>
    <row r="19" spans="1:13" x14ac:dyDescent="0.25">
      <c r="A19" s="14" t="s">
        <v>10</v>
      </c>
      <c r="B19" s="15" t="s">
        <v>21</v>
      </c>
      <c r="C19" s="15" t="s">
        <v>22</v>
      </c>
      <c r="D19" s="15" t="s">
        <v>13</v>
      </c>
      <c r="E19" s="15" t="s">
        <v>14</v>
      </c>
      <c r="F19" s="16" t="s">
        <v>15</v>
      </c>
    </row>
    <row r="20" spans="1:13" x14ac:dyDescent="0.25">
      <c r="A20" s="25">
        <v>1</v>
      </c>
      <c r="B20" s="19">
        <v>2092026</v>
      </c>
      <c r="C20" s="27" t="s">
        <v>47</v>
      </c>
      <c r="D20" s="28" t="s">
        <v>45</v>
      </c>
      <c r="E20" s="29" t="s">
        <v>44</v>
      </c>
      <c r="F20" s="25">
        <v>40</v>
      </c>
    </row>
    <row r="21" spans="1:13" ht="15.75" customHeight="1" x14ac:dyDescent="0.25">
      <c r="A21" s="25">
        <v>2</v>
      </c>
      <c r="B21" s="19">
        <v>2092026</v>
      </c>
      <c r="C21" s="27" t="s">
        <v>47</v>
      </c>
      <c r="D21" s="30" t="s">
        <v>46</v>
      </c>
      <c r="E21" s="30" t="s">
        <v>44</v>
      </c>
      <c r="F21" s="25">
        <v>40</v>
      </c>
      <c r="I21" s="31"/>
      <c r="J21" s="31"/>
      <c r="K21" s="31"/>
      <c r="L21" s="31"/>
      <c r="M21" s="31"/>
    </row>
    <row r="22" spans="1:13" ht="15.75" customHeight="1" x14ac:dyDescent="0.25">
      <c r="A22" s="25">
        <v>3</v>
      </c>
      <c r="B22" s="19"/>
      <c r="C22" s="27"/>
      <c r="D22" s="30"/>
      <c r="E22" s="30"/>
      <c r="F22" s="25"/>
      <c r="I22" s="31"/>
      <c r="J22" s="31"/>
      <c r="K22" s="31"/>
      <c r="L22" s="31"/>
      <c r="M22" s="31"/>
    </row>
    <row r="23" spans="1:13" ht="15.75" customHeight="1" x14ac:dyDescent="0.25">
      <c r="A23" s="25">
        <v>4</v>
      </c>
      <c r="B23" s="19"/>
      <c r="C23" s="27"/>
      <c r="D23" s="30"/>
      <c r="E23" s="30"/>
      <c r="F23" s="25"/>
      <c r="I23" s="31"/>
      <c r="J23" s="31"/>
      <c r="K23" s="31"/>
      <c r="L23" s="31"/>
      <c r="M23" s="31"/>
    </row>
    <row r="24" spans="1:13" ht="15.75" customHeight="1" x14ac:dyDescent="0.25">
      <c r="A24" s="25">
        <v>5</v>
      </c>
      <c r="B24" s="19"/>
      <c r="C24" s="27"/>
      <c r="D24" s="30"/>
      <c r="E24" s="30"/>
      <c r="F24" s="25"/>
      <c r="I24" s="31"/>
      <c r="J24" s="31"/>
      <c r="K24" s="31"/>
      <c r="L24" s="31"/>
      <c r="M24" s="31"/>
    </row>
    <row r="25" spans="1:13" ht="15.75" customHeight="1" x14ac:dyDescent="0.25">
      <c r="A25" s="25">
        <v>6</v>
      </c>
      <c r="B25" s="19"/>
      <c r="C25" s="27"/>
      <c r="D25" s="30"/>
      <c r="E25" s="30"/>
      <c r="F25" s="25"/>
      <c r="I25" s="31"/>
      <c r="J25" s="31"/>
      <c r="K25" s="31"/>
      <c r="L25" s="31"/>
      <c r="M25" s="31"/>
    </row>
    <row r="26" spans="1:13" ht="15.75" customHeight="1" x14ac:dyDescent="0.25">
      <c r="A26" s="25">
        <v>7</v>
      </c>
      <c r="B26" s="19"/>
      <c r="C26" s="27"/>
      <c r="D26" s="25"/>
      <c r="E26" s="30"/>
      <c r="F26" s="25"/>
      <c r="I26" s="31"/>
      <c r="J26" s="31"/>
      <c r="K26" s="31"/>
      <c r="L26" s="31"/>
      <c r="M26" s="31"/>
    </row>
    <row r="27" spans="1:13" x14ac:dyDescent="0.25">
      <c r="A27" s="25">
        <v>8</v>
      </c>
      <c r="B27" s="19"/>
      <c r="C27" s="27"/>
      <c r="D27" s="34"/>
      <c r="E27" s="30"/>
      <c r="F27" s="25"/>
    </row>
    <row r="28" spans="1:13" x14ac:dyDescent="0.25">
      <c r="A28" s="25">
        <v>9</v>
      </c>
      <c r="B28" s="19"/>
      <c r="C28" s="27"/>
      <c r="D28" s="28"/>
      <c r="E28" s="30"/>
      <c r="F28" s="25"/>
    </row>
    <row r="29" spans="1:13" x14ac:dyDescent="0.25">
      <c r="A29" s="25">
        <v>10</v>
      </c>
      <c r="B29" s="19"/>
      <c r="C29" s="33"/>
      <c r="D29" s="34"/>
      <c r="E29" s="30"/>
      <c r="F29" s="25"/>
    </row>
    <row r="30" spans="1:13" ht="15.75" customHeight="1" x14ac:dyDescent="0.25">
      <c r="A30" s="25">
        <v>11</v>
      </c>
      <c r="B30" s="19"/>
      <c r="C30" s="33"/>
      <c r="D30" s="46"/>
      <c r="E30" s="30"/>
      <c r="F30" s="25"/>
    </row>
    <row r="31" spans="1:13" ht="15.75" customHeight="1" x14ac:dyDescent="0.25">
      <c r="A31" s="35"/>
      <c r="B31" s="36"/>
      <c r="C31" s="37"/>
      <c r="D31"/>
      <c r="E31" s="38"/>
      <c r="F31" s="35"/>
    </row>
    <row r="32" spans="1:13" ht="15.75" x14ac:dyDescent="0.25">
      <c r="A32" s="6"/>
      <c r="B32" s="11" t="s">
        <v>23</v>
      </c>
      <c r="E32" s="7"/>
      <c r="F32" s="7"/>
    </row>
    <row r="33" spans="1:6" ht="15.75" thickBot="1" x14ac:dyDescent="0.3">
      <c r="A33" s="6"/>
      <c r="B33" s="13"/>
      <c r="C33" s="7"/>
      <c r="D33" s="7"/>
      <c r="E33" s="7"/>
      <c r="F33" s="7"/>
    </row>
    <row r="34" spans="1:6" x14ac:dyDescent="0.25">
      <c r="A34" s="14" t="s">
        <v>10</v>
      </c>
      <c r="B34" s="15" t="s">
        <v>24</v>
      </c>
      <c r="C34" s="15" t="s">
        <v>13</v>
      </c>
      <c r="D34" s="15" t="s">
        <v>25</v>
      </c>
      <c r="E34" s="15" t="s">
        <v>26</v>
      </c>
      <c r="F34" s="16" t="s">
        <v>15</v>
      </c>
    </row>
    <row r="35" spans="1:6" ht="15.75" customHeight="1" x14ac:dyDescent="0.25">
      <c r="A35" s="25">
        <v>1</v>
      </c>
      <c r="B35" s="19">
        <v>2092026</v>
      </c>
      <c r="C35" s="34" t="s">
        <v>54</v>
      </c>
      <c r="D35" s="34" t="s">
        <v>56</v>
      </c>
      <c r="E35" s="39">
        <v>3575</v>
      </c>
      <c r="F35" s="39">
        <v>40</v>
      </c>
    </row>
    <row r="36" spans="1:6" ht="15.75" customHeight="1" x14ac:dyDescent="0.25">
      <c r="A36" s="25">
        <v>2</v>
      </c>
      <c r="B36" s="19">
        <v>2092026</v>
      </c>
      <c r="C36" s="28" t="s">
        <v>55</v>
      </c>
      <c r="D36" s="34" t="s">
        <v>57</v>
      </c>
      <c r="E36" s="39">
        <v>3576</v>
      </c>
      <c r="F36" s="39">
        <v>40</v>
      </c>
    </row>
    <row r="37" spans="1:6" ht="15.75" customHeight="1" x14ac:dyDescent="0.25">
      <c r="A37" s="25">
        <v>3</v>
      </c>
      <c r="B37" s="19"/>
      <c r="C37" s="29"/>
      <c r="D37" s="29"/>
      <c r="E37" s="39"/>
      <c r="F37" s="39"/>
    </row>
    <row r="38" spans="1:6" ht="15.75" customHeight="1" x14ac:dyDescent="0.25">
      <c r="A38" s="25">
        <v>4</v>
      </c>
      <c r="B38" s="19"/>
      <c r="C38" s="29"/>
      <c r="D38" s="29"/>
      <c r="E38" s="39"/>
      <c r="F38" s="39"/>
    </row>
    <row r="39" spans="1:6" ht="15.75" customHeight="1" x14ac:dyDescent="0.25">
      <c r="A39" s="25">
        <v>5</v>
      </c>
      <c r="B39" s="19"/>
      <c r="C39" s="18"/>
      <c r="D39" s="18"/>
      <c r="E39" s="39"/>
      <c r="F39" s="39"/>
    </row>
    <row r="40" spans="1:6" x14ac:dyDescent="0.25">
      <c r="A40" s="40">
        <v>6</v>
      </c>
      <c r="B40" s="19"/>
      <c r="C40" s="25"/>
      <c r="D40" s="32"/>
      <c r="E40" s="29"/>
      <c r="F40" s="29"/>
    </row>
    <row r="41" spans="1:6" x14ac:dyDescent="0.25">
      <c r="A41" s="40">
        <v>7</v>
      </c>
      <c r="B41" s="19"/>
      <c r="C41" s="29"/>
      <c r="D41" s="25"/>
      <c r="E41" s="29"/>
      <c r="F41" s="25"/>
    </row>
    <row r="42" spans="1:6" x14ac:dyDescent="0.25">
      <c r="F42" s="41"/>
    </row>
  </sheetData>
  <mergeCells count="1">
    <mergeCell ref="A3:H3"/>
  </mergeCells>
  <dataValidations count="2">
    <dataValidation type="list" allowBlank="1" showInputMessage="1" showErrorMessage="1" sqref="F8:F15" xr:uid="{8BBACC69-AE68-4940-9EE9-D3253579B367}">
      <formula1>"20,40,45,50"</formula1>
      <formula2>0</formula2>
    </dataValidation>
    <dataValidation type="list" allowBlank="1" showInputMessage="1" showErrorMessage="1" sqref="F41 F16" xr:uid="{D2505F38-AE05-4E92-861B-69325FDB849A}">
      <formula1>"20,40,45,50"</formula1>
    </dataValidation>
  </dataValidations>
  <pageMargins left="0.31496062992125984" right="0.11811023622047245" top="0.74803149606299213" bottom="0.74803149606299213" header="0.31496062992125984" footer="0.31496062992125984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190F6-620A-405F-A592-028D59F85BE0}">
  <dimension ref="A1:M42"/>
  <sheetViews>
    <sheetView workbookViewId="0">
      <selection activeCell="H2" sqref="H2"/>
    </sheetView>
  </sheetViews>
  <sheetFormatPr baseColWidth="10" defaultRowHeight="15" x14ac:dyDescent="0.25"/>
  <cols>
    <col min="1" max="1" width="3.140625" style="21" bestFit="1" customWidth="1"/>
    <col min="2" max="2" width="15.5703125" style="21" bestFit="1" customWidth="1"/>
    <col min="3" max="3" width="19.28515625" style="21" customWidth="1"/>
    <col min="4" max="4" width="19.140625" style="21" customWidth="1"/>
    <col min="5" max="5" width="14.28515625" style="21" customWidth="1"/>
    <col min="6" max="6" width="13.85546875" style="21" bestFit="1" customWidth="1"/>
    <col min="7" max="7" width="12.140625" style="21" bestFit="1" customWidth="1"/>
    <col min="8" max="10" width="11.42578125" style="21"/>
    <col min="11" max="11" width="14.7109375" style="21" bestFit="1" customWidth="1"/>
    <col min="12" max="16384" width="11.42578125" style="21"/>
  </cols>
  <sheetData>
    <row r="1" spans="1:10" s="7" customFormat="1" ht="15.75" x14ac:dyDescent="0.25">
      <c r="A1" s="6"/>
      <c r="H1" s="8">
        <f>COUNTIF(C8:C15,"&lt;&gt;")</f>
        <v>2</v>
      </c>
      <c r="I1" s="9" t="s">
        <v>6</v>
      </c>
    </row>
    <row r="2" spans="1:10" s="7" customFormat="1" ht="15.75" x14ac:dyDescent="0.25">
      <c r="A2" s="6"/>
      <c r="F2" s="8">
        <f>COUNTIFS(B20:B29,"&lt;&gt;",C20:C29,"VH")</f>
        <v>0</v>
      </c>
      <c r="G2" s="9" t="s">
        <v>7</v>
      </c>
      <c r="H2" s="8">
        <f>COUNTA(C20:C29)-F2</f>
        <v>3</v>
      </c>
      <c r="I2" s="9" t="s">
        <v>6</v>
      </c>
      <c r="J2" s="10">
        <f>COUNTIF(E20:E29,"VIDE")</f>
        <v>0</v>
      </c>
    </row>
    <row r="3" spans="1:10" s="7" customFormat="1" ht="25.5" x14ac:dyDescent="0.25">
      <c r="A3" s="99" t="s">
        <v>8</v>
      </c>
      <c r="B3" s="99"/>
      <c r="C3" s="99"/>
      <c r="D3" s="99"/>
      <c r="E3" s="99"/>
      <c r="F3" s="99"/>
      <c r="G3" s="99"/>
      <c r="H3" s="99"/>
    </row>
    <row r="4" spans="1:10" s="7" customFormat="1" ht="12.75" x14ac:dyDescent="0.25">
      <c r="A4" s="6"/>
    </row>
    <row r="5" spans="1:10" s="7" customFormat="1" ht="15.75" x14ac:dyDescent="0.25">
      <c r="A5" s="6"/>
      <c r="B5" s="11" t="s">
        <v>9</v>
      </c>
      <c r="G5" s="12">
        <v>46268</v>
      </c>
    </row>
    <row r="6" spans="1:10" s="7" customFormat="1" thickBot="1" x14ac:dyDescent="0.3">
      <c r="A6" s="6"/>
      <c r="B6" s="13"/>
    </row>
    <row r="7" spans="1:10" s="7" customFormat="1" ht="14.25" x14ac:dyDescent="0.25">
      <c r="A7" s="14" t="s">
        <v>10</v>
      </c>
      <c r="B7" s="15" t="s">
        <v>11</v>
      </c>
      <c r="C7" s="15" t="s">
        <v>12</v>
      </c>
      <c r="D7" s="15" t="s">
        <v>13</v>
      </c>
      <c r="E7" s="15" t="s">
        <v>14</v>
      </c>
      <c r="F7" s="16" t="s">
        <v>15</v>
      </c>
    </row>
    <row r="8" spans="1:10" ht="15.75" x14ac:dyDescent="0.25">
      <c r="A8" s="17">
        <v>1</v>
      </c>
      <c r="B8" s="17" t="s">
        <v>62</v>
      </c>
      <c r="C8" s="47">
        <v>3092026</v>
      </c>
      <c r="D8" s="52" t="s">
        <v>58</v>
      </c>
      <c r="E8" s="52" t="s">
        <v>59</v>
      </c>
      <c r="F8" s="18" t="s">
        <v>17</v>
      </c>
      <c r="G8" s="20"/>
    </row>
    <row r="9" spans="1:10" ht="15.75" x14ac:dyDescent="0.25">
      <c r="A9" s="17">
        <v>2</v>
      </c>
      <c r="B9" s="53" t="s">
        <v>62</v>
      </c>
      <c r="C9" s="47">
        <v>3092026</v>
      </c>
      <c r="D9" s="22" t="s">
        <v>60</v>
      </c>
      <c r="E9" s="18" t="s">
        <v>61</v>
      </c>
      <c r="F9" s="18" t="s">
        <v>16</v>
      </c>
      <c r="G9" s="20"/>
    </row>
    <row r="10" spans="1:10" ht="15.75" x14ac:dyDescent="0.25">
      <c r="A10" s="17">
        <v>3</v>
      </c>
      <c r="B10" s="42"/>
      <c r="C10" s="19"/>
      <c r="D10" s="18"/>
      <c r="E10" s="18"/>
      <c r="F10" s="18"/>
      <c r="G10" s="20"/>
    </row>
    <row r="11" spans="1:10" ht="15.75" x14ac:dyDescent="0.25">
      <c r="A11" s="17">
        <v>4</v>
      </c>
      <c r="B11" s="42"/>
      <c r="C11" s="19"/>
      <c r="D11" s="18"/>
      <c r="E11" s="18"/>
      <c r="F11" s="18"/>
      <c r="G11" s="20"/>
    </row>
    <row r="12" spans="1:10" ht="15.75" x14ac:dyDescent="0.25">
      <c r="A12" s="17">
        <v>5</v>
      </c>
      <c r="B12" s="42"/>
      <c r="C12" s="19"/>
      <c r="D12" s="18"/>
      <c r="E12" s="23"/>
      <c r="F12" s="18"/>
      <c r="G12" s="20"/>
    </row>
    <row r="13" spans="1:10" ht="15.75" x14ac:dyDescent="0.25">
      <c r="A13" s="17">
        <v>6</v>
      </c>
      <c r="B13" s="42"/>
      <c r="C13" s="19"/>
      <c r="D13" s="18"/>
      <c r="E13" s="23"/>
      <c r="F13" s="18"/>
      <c r="G13" s="20"/>
    </row>
    <row r="14" spans="1:10" ht="15.75" x14ac:dyDescent="0.25">
      <c r="A14" s="17">
        <v>7</v>
      </c>
      <c r="B14" s="42"/>
      <c r="C14" s="19"/>
      <c r="D14" s="18"/>
      <c r="E14" s="23"/>
      <c r="F14" s="18"/>
      <c r="G14" s="20"/>
    </row>
    <row r="15" spans="1:10" ht="15.75" x14ac:dyDescent="0.25">
      <c r="A15" s="17">
        <v>8</v>
      </c>
      <c r="B15" s="42"/>
      <c r="C15" s="19"/>
      <c r="D15" s="24"/>
      <c r="E15" s="23"/>
      <c r="F15" s="18"/>
      <c r="G15" s="20"/>
    </row>
    <row r="16" spans="1:10" ht="15.75" x14ac:dyDescent="0.25">
      <c r="A16" s="6"/>
      <c r="B16" s="20"/>
      <c r="C16" s="7"/>
      <c r="D16" s="26"/>
      <c r="E16" s="26"/>
      <c r="F16" s="26"/>
      <c r="G16" s="7"/>
    </row>
    <row r="17" spans="1:13" ht="15.75" x14ac:dyDescent="0.25">
      <c r="A17" s="6"/>
      <c r="B17" s="11" t="s">
        <v>20</v>
      </c>
    </row>
    <row r="18" spans="1:13" ht="15.75" thickBot="1" x14ac:dyDescent="0.3">
      <c r="A18" s="6"/>
      <c r="B18" s="13"/>
      <c r="C18" s="7"/>
      <c r="D18" s="7"/>
      <c r="E18" s="7"/>
      <c r="F18" s="7"/>
    </row>
    <row r="19" spans="1:13" x14ac:dyDescent="0.25">
      <c r="A19" s="14" t="s">
        <v>10</v>
      </c>
      <c r="B19" s="15" t="s">
        <v>21</v>
      </c>
      <c r="C19" s="15" t="s">
        <v>22</v>
      </c>
      <c r="D19" s="15" t="s">
        <v>13</v>
      </c>
      <c r="E19" s="15" t="s">
        <v>14</v>
      </c>
      <c r="F19" s="16" t="s">
        <v>15</v>
      </c>
    </row>
    <row r="20" spans="1:13" x14ac:dyDescent="0.25">
      <c r="A20" s="25">
        <v>1</v>
      </c>
      <c r="B20" s="19">
        <v>3092026</v>
      </c>
      <c r="C20" s="27" t="s">
        <v>63</v>
      </c>
      <c r="D20" s="28" t="s">
        <v>64</v>
      </c>
      <c r="E20" s="29">
        <v>3578</v>
      </c>
      <c r="F20" s="25">
        <v>45</v>
      </c>
    </row>
    <row r="21" spans="1:13" ht="15.75" customHeight="1" x14ac:dyDescent="0.25">
      <c r="A21" s="25">
        <v>2</v>
      </c>
      <c r="B21" s="19">
        <v>3092026</v>
      </c>
      <c r="C21" s="29" t="s">
        <v>66</v>
      </c>
      <c r="D21" s="29" t="s">
        <v>18</v>
      </c>
      <c r="E21" s="39">
        <v>3573</v>
      </c>
      <c r="F21" s="25">
        <v>40</v>
      </c>
      <c r="I21" s="31"/>
      <c r="J21" s="31"/>
      <c r="K21" s="31"/>
      <c r="L21" s="31"/>
      <c r="M21" s="31"/>
    </row>
    <row r="22" spans="1:13" ht="15.75" customHeight="1" x14ac:dyDescent="0.25">
      <c r="A22" s="25">
        <v>3</v>
      </c>
      <c r="B22" s="19">
        <v>3092026</v>
      </c>
      <c r="C22" s="27" t="s">
        <v>65</v>
      </c>
      <c r="D22" s="29" t="s">
        <v>19</v>
      </c>
      <c r="E22" s="39">
        <v>3574</v>
      </c>
      <c r="F22" s="25">
        <v>40</v>
      </c>
      <c r="I22" s="31"/>
      <c r="J22" s="31"/>
      <c r="K22" s="31"/>
      <c r="L22" s="31"/>
      <c r="M22" s="31"/>
    </row>
    <row r="23" spans="1:13" ht="15.75" customHeight="1" x14ac:dyDescent="0.25">
      <c r="A23" s="25">
        <v>4</v>
      </c>
      <c r="B23" s="19"/>
      <c r="C23" s="27"/>
      <c r="D23" s="39"/>
      <c r="E23" s="39"/>
      <c r="F23" s="25"/>
      <c r="I23" s="31"/>
      <c r="J23" s="31"/>
      <c r="K23" s="31"/>
      <c r="L23" s="31"/>
      <c r="M23" s="31"/>
    </row>
    <row r="24" spans="1:13" ht="15.75" customHeight="1" x14ac:dyDescent="0.25">
      <c r="A24" s="25">
        <v>5</v>
      </c>
      <c r="B24" s="19"/>
      <c r="C24" s="27"/>
      <c r="D24" s="39"/>
      <c r="E24" s="39"/>
      <c r="F24" s="25"/>
      <c r="I24" s="31"/>
      <c r="J24" s="31"/>
      <c r="K24" s="31"/>
      <c r="L24" s="31"/>
      <c r="M24" s="31"/>
    </row>
    <row r="25" spans="1:13" ht="15.75" customHeight="1" x14ac:dyDescent="0.25">
      <c r="A25" s="25">
        <v>6</v>
      </c>
      <c r="B25" s="19"/>
      <c r="C25" s="27"/>
      <c r="D25" s="30"/>
      <c r="E25" s="30"/>
      <c r="F25" s="25"/>
      <c r="I25" s="31"/>
      <c r="J25" s="31"/>
      <c r="K25" s="31"/>
      <c r="L25" s="31"/>
      <c r="M25" s="31"/>
    </row>
    <row r="26" spans="1:13" ht="15.75" customHeight="1" x14ac:dyDescent="0.25">
      <c r="A26" s="25">
        <v>7</v>
      </c>
      <c r="B26" s="19"/>
      <c r="C26" s="27"/>
      <c r="D26" s="25"/>
      <c r="E26" s="30"/>
      <c r="F26" s="25"/>
      <c r="I26" s="31"/>
      <c r="J26" s="31"/>
      <c r="K26" s="31"/>
      <c r="L26" s="31"/>
      <c r="M26" s="31"/>
    </row>
    <row r="27" spans="1:13" x14ac:dyDescent="0.25">
      <c r="A27" s="25">
        <v>8</v>
      </c>
      <c r="B27" s="19"/>
      <c r="C27" s="27"/>
      <c r="D27" s="34"/>
      <c r="E27" s="30"/>
      <c r="F27" s="25"/>
    </row>
    <row r="28" spans="1:13" x14ac:dyDescent="0.25">
      <c r="A28" s="25">
        <v>9</v>
      </c>
      <c r="B28" s="19"/>
      <c r="C28" s="27"/>
      <c r="D28" s="28"/>
      <c r="E28" s="30"/>
      <c r="F28" s="25"/>
    </row>
    <row r="29" spans="1:13" x14ac:dyDescent="0.25">
      <c r="A29" s="25">
        <v>10</v>
      </c>
      <c r="B29" s="19"/>
      <c r="C29" s="33"/>
      <c r="D29" s="34"/>
      <c r="E29" s="30"/>
      <c r="F29" s="25"/>
    </row>
    <row r="30" spans="1:13" ht="15.75" customHeight="1" x14ac:dyDescent="0.25">
      <c r="A30" s="25">
        <v>11</v>
      </c>
      <c r="B30" s="19"/>
      <c r="C30" s="33"/>
      <c r="D30" s="46"/>
      <c r="E30" s="30"/>
      <c r="F30" s="25"/>
    </row>
    <row r="31" spans="1:13" ht="15.75" customHeight="1" x14ac:dyDescent="0.25">
      <c r="A31" s="35"/>
      <c r="B31" s="36"/>
      <c r="C31" s="37"/>
      <c r="D31"/>
      <c r="E31" s="38"/>
      <c r="F31" s="35"/>
    </row>
    <row r="32" spans="1:13" ht="15.75" x14ac:dyDescent="0.25">
      <c r="A32" s="6"/>
      <c r="B32" s="11" t="s">
        <v>23</v>
      </c>
      <c r="E32" s="7"/>
      <c r="F32" s="7"/>
    </row>
    <row r="33" spans="1:6" ht="15.75" thickBot="1" x14ac:dyDescent="0.3">
      <c r="A33" s="6"/>
      <c r="B33" s="13"/>
      <c r="C33" s="7"/>
      <c r="D33" s="7"/>
      <c r="E33" s="7"/>
      <c r="F33" s="7"/>
    </row>
    <row r="34" spans="1:6" x14ac:dyDescent="0.25">
      <c r="A34" s="14" t="s">
        <v>10</v>
      </c>
      <c r="B34" s="15" t="s">
        <v>24</v>
      </c>
      <c r="C34" s="15" t="s">
        <v>13</v>
      </c>
      <c r="D34" s="15" t="s">
        <v>25</v>
      </c>
      <c r="E34" s="15" t="s">
        <v>26</v>
      </c>
      <c r="F34" s="16" t="s">
        <v>15</v>
      </c>
    </row>
    <row r="35" spans="1:6" ht="15.75" customHeight="1" x14ac:dyDescent="0.25">
      <c r="A35" s="25">
        <v>1</v>
      </c>
      <c r="B35" s="19"/>
      <c r="C35" s="34"/>
      <c r="D35" s="34"/>
      <c r="E35" s="39"/>
      <c r="F35" s="39"/>
    </row>
    <row r="36" spans="1:6" ht="15.75" customHeight="1" x14ac:dyDescent="0.25">
      <c r="A36" s="25">
        <v>2</v>
      </c>
      <c r="B36" s="19"/>
      <c r="C36" s="28"/>
      <c r="D36" s="34"/>
      <c r="E36" s="39"/>
      <c r="F36" s="39"/>
    </row>
    <row r="37" spans="1:6" ht="15.75" customHeight="1" x14ac:dyDescent="0.25">
      <c r="A37" s="25">
        <v>3</v>
      </c>
      <c r="B37" s="19"/>
      <c r="C37" s="29"/>
      <c r="D37" s="29"/>
      <c r="E37" s="39"/>
      <c r="F37" s="39"/>
    </row>
    <row r="38" spans="1:6" ht="15.75" customHeight="1" x14ac:dyDescent="0.25">
      <c r="A38" s="25">
        <v>4</v>
      </c>
      <c r="B38" s="19"/>
      <c r="C38" s="29"/>
      <c r="D38" s="29"/>
      <c r="E38" s="39"/>
      <c r="F38" s="39"/>
    </row>
    <row r="39" spans="1:6" ht="15.75" customHeight="1" x14ac:dyDescent="0.25">
      <c r="A39" s="25">
        <v>5</v>
      </c>
      <c r="B39" s="19"/>
      <c r="C39" s="18"/>
      <c r="D39" s="18"/>
      <c r="E39" s="39"/>
      <c r="F39" s="39"/>
    </row>
    <row r="40" spans="1:6" x14ac:dyDescent="0.25">
      <c r="A40" s="40">
        <v>6</v>
      </c>
      <c r="B40" s="19"/>
      <c r="C40" s="25"/>
      <c r="D40" s="32"/>
      <c r="E40" s="29"/>
      <c r="F40" s="29"/>
    </row>
    <row r="41" spans="1:6" x14ac:dyDescent="0.25">
      <c r="A41" s="40">
        <v>7</v>
      </c>
      <c r="B41" s="19"/>
      <c r="C41" s="29"/>
      <c r="D41" s="25"/>
      <c r="E41" s="29"/>
      <c r="F41" s="25"/>
    </row>
    <row r="42" spans="1:6" x14ac:dyDescent="0.25">
      <c r="F42" s="41"/>
    </row>
  </sheetData>
  <mergeCells count="1">
    <mergeCell ref="A3:H3"/>
  </mergeCells>
  <dataValidations count="2">
    <dataValidation type="list" allowBlank="1" showInputMessage="1" showErrorMessage="1" sqref="F41 F16" xr:uid="{B1F619BD-3EA3-41B1-A495-D1424868D8F1}">
      <formula1>"20,40,45,50"</formula1>
    </dataValidation>
    <dataValidation type="list" allowBlank="1" showInputMessage="1" showErrorMessage="1" sqref="F8:F15" xr:uid="{B8E3B6BF-1734-4653-860B-14E738E727DC}">
      <formula1>"20,40,45,50"</formula1>
      <formula2>0</formula2>
    </dataValidation>
  </dataValidations>
  <pageMargins left="0.31496062992125984" right="0.11811023622047245" top="0.74803149606299213" bottom="0.74803149606299213" header="0.31496062992125984" footer="0.31496062992125984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56CC4-8E30-4C4B-8984-EC96F1E08576}">
  <dimension ref="A1:M42"/>
  <sheetViews>
    <sheetView workbookViewId="0">
      <selection activeCell="J11" sqref="J11"/>
    </sheetView>
  </sheetViews>
  <sheetFormatPr baseColWidth="10" defaultRowHeight="15" x14ac:dyDescent="0.25"/>
  <cols>
    <col min="1" max="1" width="3.140625" style="21" bestFit="1" customWidth="1"/>
    <col min="2" max="2" width="15.5703125" style="21" bestFit="1" customWidth="1"/>
    <col min="3" max="3" width="19.28515625" style="21" customWidth="1"/>
    <col min="4" max="4" width="19.140625" style="21" customWidth="1"/>
    <col min="5" max="5" width="14.28515625" style="21" customWidth="1"/>
    <col min="6" max="6" width="13.85546875" style="21" bestFit="1" customWidth="1"/>
    <col min="7" max="7" width="12.140625" style="21" bestFit="1" customWidth="1"/>
    <col min="8" max="10" width="11.42578125" style="21"/>
    <col min="11" max="11" width="14.7109375" style="21" bestFit="1" customWidth="1"/>
    <col min="12" max="16384" width="11.42578125" style="21"/>
  </cols>
  <sheetData>
    <row r="1" spans="1:10" s="7" customFormat="1" ht="15.75" x14ac:dyDescent="0.25">
      <c r="A1" s="6"/>
      <c r="H1" s="8">
        <f>COUNTIF(C8:C15,"&lt;&gt;")</f>
        <v>1</v>
      </c>
      <c r="I1" s="9" t="s">
        <v>6</v>
      </c>
    </row>
    <row r="2" spans="1:10" s="7" customFormat="1" ht="15.75" x14ac:dyDescent="0.25">
      <c r="A2" s="6"/>
      <c r="F2" s="8">
        <f>COUNTIFS(B20:B29,"&lt;&gt;",C20:C29,"VH")</f>
        <v>0</v>
      </c>
      <c r="G2" s="9" t="s">
        <v>7</v>
      </c>
      <c r="H2" s="8">
        <f>COUNTA(C20:C29)-F2</f>
        <v>0</v>
      </c>
      <c r="I2" s="9" t="s">
        <v>6</v>
      </c>
      <c r="J2" s="10">
        <f>COUNTIF(E20:E29,"VIDE")</f>
        <v>0</v>
      </c>
    </row>
    <row r="3" spans="1:10" s="7" customFormat="1" ht="25.5" x14ac:dyDescent="0.25">
      <c r="A3" s="99" t="s">
        <v>8</v>
      </c>
      <c r="B3" s="99"/>
      <c r="C3" s="99"/>
      <c r="D3" s="99"/>
      <c r="E3" s="99"/>
      <c r="F3" s="99"/>
      <c r="G3" s="99"/>
      <c r="H3" s="99"/>
    </row>
    <row r="4" spans="1:10" s="7" customFormat="1" ht="12.75" x14ac:dyDescent="0.25">
      <c r="A4" s="6"/>
    </row>
    <row r="5" spans="1:10" s="7" customFormat="1" ht="15.75" x14ac:dyDescent="0.25">
      <c r="A5" s="6"/>
      <c r="B5" s="11" t="s">
        <v>9</v>
      </c>
      <c r="G5" s="12">
        <v>46271</v>
      </c>
    </row>
    <row r="6" spans="1:10" s="7" customFormat="1" thickBot="1" x14ac:dyDescent="0.3">
      <c r="A6" s="6"/>
      <c r="B6" s="13"/>
    </row>
    <row r="7" spans="1:10" s="7" customFormat="1" ht="14.25" x14ac:dyDescent="0.25">
      <c r="A7" s="14" t="s">
        <v>10</v>
      </c>
      <c r="B7" s="15" t="s">
        <v>11</v>
      </c>
      <c r="C7" s="15" t="s">
        <v>12</v>
      </c>
      <c r="D7" s="15" t="s">
        <v>13</v>
      </c>
      <c r="E7" s="15" t="s">
        <v>14</v>
      </c>
      <c r="F7" s="16" t="s">
        <v>15</v>
      </c>
    </row>
    <row r="8" spans="1:10" ht="15.75" x14ac:dyDescent="0.25">
      <c r="A8" s="17">
        <v>1</v>
      </c>
      <c r="B8" s="17" t="s">
        <v>71</v>
      </c>
      <c r="C8" s="19">
        <v>6092026</v>
      </c>
      <c r="D8" s="52" t="s">
        <v>67</v>
      </c>
      <c r="E8" s="52" t="s">
        <v>68</v>
      </c>
      <c r="F8" s="18" t="s">
        <v>16</v>
      </c>
      <c r="G8" s="20"/>
    </row>
    <row r="9" spans="1:10" ht="15.75" x14ac:dyDescent="0.25">
      <c r="A9" s="17">
        <v>2</v>
      </c>
      <c r="B9" s="57" t="s">
        <v>72</v>
      </c>
      <c r="D9" s="55" t="s">
        <v>69</v>
      </c>
      <c r="E9" s="54" t="s">
        <v>77</v>
      </c>
      <c r="F9" s="56" t="s">
        <v>70</v>
      </c>
      <c r="G9" s="20"/>
    </row>
    <row r="10" spans="1:10" ht="15.75" x14ac:dyDescent="0.25">
      <c r="A10" s="17">
        <v>3</v>
      </c>
      <c r="B10" s="42"/>
      <c r="C10" s="19"/>
      <c r="D10" s="18"/>
      <c r="E10" s="18"/>
      <c r="F10" s="18"/>
      <c r="G10" s="20"/>
    </row>
    <row r="11" spans="1:10" ht="15.75" x14ac:dyDescent="0.25">
      <c r="A11" s="17">
        <v>4</v>
      </c>
      <c r="B11" s="42"/>
      <c r="C11" s="19"/>
      <c r="D11" s="18"/>
      <c r="E11" s="18"/>
      <c r="F11" s="18"/>
      <c r="G11" s="20"/>
    </row>
    <row r="12" spans="1:10" ht="15.75" x14ac:dyDescent="0.25">
      <c r="A12" s="17">
        <v>5</v>
      </c>
      <c r="B12" s="42"/>
      <c r="C12" s="19"/>
      <c r="D12" s="18"/>
      <c r="E12" s="23"/>
      <c r="F12" s="18"/>
      <c r="G12" s="20"/>
    </row>
    <row r="13" spans="1:10" ht="15.75" x14ac:dyDescent="0.25">
      <c r="A13" s="17">
        <v>6</v>
      </c>
      <c r="B13" s="42"/>
      <c r="C13" s="19"/>
      <c r="D13" s="18"/>
      <c r="E13" s="23"/>
      <c r="F13" s="18"/>
      <c r="G13" s="20"/>
    </row>
    <row r="14" spans="1:10" ht="15.75" x14ac:dyDescent="0.25">
      <c r="A14" s="17">
        <v>7</v>
      </c>
      <c r="B14" s="42"/>
      <c r="C14" s="19"/>
      <c r="D14" s="18"/>
      <c r="E14" s="23"/>
      <c r="F14" s="18"/>
      <c r="G14" s="20"/>
    </row>
    <row r="15" spans="1:10" ht="15.75" x14ac:dyDescent="0.25">
      <c r="A15" s="17">
        <v>8</v>
      </c>
      <c r="B15" s="42"/>
      <c r="C15" s="19"/>
      <c r="D15" s="24"/>
      <c r="E15" s="23"/>
      <c r="F15" s="18"/>
      <c r="G15" s="20"/>
    </row>
    <row r="16" spans="1:10" ht="15.75" x14ac:dyDescent="0.25">
      <c r="A16" s="6"/>
      <c r="B16" s="20"/>
      <c r="C16" s="7"/>
      <c r="D16" s="26"/>
      <c r="E16" s="26"/>
      <c r="F16" s="26"/>
      <c r="G16" s="7"/>
    </row>
    <row r="17" spans="1:13" ht="15.75" x14ac:dyDescent="0.25">
      <c r="A17" s="6"/>
      <c r="B17" s="11" t="s">
        <v>20</v>
      </c>
    </row>
    <row r="18" spans="1:13" ht="15.75" thickBot="1" x14ac:dyDescent="0.3">
      <c r="A18" s="6"/>
      <c r="B18" s="13"/>
      <c r="C18" s="7"/>
      <c r="D18" s="7"/>
      <c r="E18" s="7"/>
      <c r="F18" s="7"/>
    </row>
    <row r="19" spans="1:13" x14ac:dyDescent="0.25">
      <c r="A19" s="14" t="s">
        <v>10</v>
      </c>
      <c r="B19" s="15" t="s">
        <v>21</v>
      </c>
      <c r="C19" s="15" t="s">
        <v>22</v>
      </c>
      <c r="D19" s="15" t="s">
        <v>13</v>
      </c>
      <c r="E19" s="15" t="s">
        <v>14</v>
      </c>
      <c r="F19" s="16" t="s">
        <v>15</v>
      </c>
    </row>
    <row r="20" spans="1:13" x14ac:dyDescent="0.25">
      <c r="A20" s="25">
        <v>1</v>
      </c>
      <c r="B20" s="19"/>
      <c r="C20" s="27"/>
      <c r="D20" s="28"/>
      <c r="E20" s="29"/>
      <c r="F20" s="25"/>
    </row>
    <row r="21" spans="1:13" ht="15.75" customHeight="1" x14ac:dyDescent="0.25">
      <c r="A21" s="25">
        <v>2</v>
      </c>
      <c r="B21" s="19"/>
      <c r="C21" s="29"/>
      <c r="D21" s="29"/>
      <c r="E21" s="39"/>
      <c r="F21" s="25"/>
      <c r="I21" s="31"/>
      <c r="J21" s="31"/>
      <c r="K21" s="31"/>
      <c r="L21" s="31"/>
      <c r="M21" s="31"/>
    </row>
    <row r="22" spans="1:13" ht="15.75" customHeight="1" x14ac:dyDescent="0.25">
      <c r="A22" s="25">
        <v>3</v>
      </c>
      <c r="B22" s="19"/>
      <c r="C22" s="27"/>
      <c r="D22" s="29"/>
      <c r="E22" s="39"/>
      <c r="F22" s="25"/>
      <c r="I22" s="31"/>
      <c r="J22" s="31"/>
      <c r="K22" s="31"/>
      <c r="L22" s="31"/>
      <c r="M22" s="31"/>
    </row>
    <row r="23" spans="1:13" ht="15.75" customHeight="1" x14ac:dyDescent="0.25">
      <c r="A23" s="25">
        <v>4</v>
      </c>
      <c r="B23" s="19"/>
      <c r="C23" s="27"/>
      <c r="D23" s="39"/>
      <c r="E23" s="39"/>
      <c r="F23" s="25"/>
      <c r="I23" s="31"/>
      <c r="J23" s="31"/>
      <c r="K23" s="31"/>
      <c r="L23" s="31"/>
      <c r="M23" s="31"/>
    </row>
    <row r="24" spans="1:13" ht="15.75" customHeight="1" x14ac:dyDescent="0.25">
      <c r="A24" s="25">
        <v>5</v>
      </c>
      <c r="B24" s="19"/>
      <c r="C24" s="27"/>
      <c r="D24" s="39"/>
      <c r="E24" s="39"/>
      <c r="F24" s="25"/>
      <c r="I24" s="31"/>
      <c r="J24" s="31"/>
      <c r="K24" s="31"/>
      <c r="L24" s="31"/>
      <c r="M24" s="31"/>
    </row>
    <row r="25" spans="1:13" ht="15.75" customHeight="1" x14ac:dyDescent="0.25">
      <c r="A25" s="25">
        <v>6</v>
      </c>
      <c r="B25" s="19"/>
      <c r="C25" s="27"/>
      <c r="D25" s="30"/>
      <c r="E25" s="30"/>
      <c r="F25" s="25"/>
      <c r="I25" s="31"/>
      <c r="J25" s="31"/>
      <c r="K25" s="31"/>
      <c r="L25" s="31"/>
      <c r="M25" s="31"/>
    </row>
    <row r="26" spans="1:13" ht="15.75" customHeight="1" x14ac:dyDescent="0.25">
      <c r="A26" s="25">
        <v>7</v>
      </c>
      <c r="B26" s="19"/>
      <c r="C26" s="27"/>
      <c r="D26" s="25"/>
      <c r="E26" s="30"/>
      <c r="F26" s="25"/>
      <c r="I26" s="31"/>
      <c r="J26" s="31"/>
      <c r="K26" s="31"/>
      <c r="L26" s="31"/>
      <c r="M26" s="31"/>
    </row>
    <row r="27" spans="1:13" x14ac:dyDescent="0.25">
      <c r="A27" s="25">
        <v>8</v>
      </c>
      <c r="B27" s="19"/>
      <c r="C27" s="27"/>
      <c r="D27" s="34"/>
      <c r="E27" s="30"/>
      <c r="F27" s="25"/>
    </row>
    <row r="28" spans="1:13" x14ac:dyDescent="0.25">
      <c r="A28" s="25">
        <v>9</v>
      </c>
      <c r="B28" s="19"/>
      <c r="C28" s="27"/>
      <c r="D28" s="28"/>
      <c r="E28" s="30"/>
      <c r="F28" s="25"/>
    </row>
    <row r="29" spans="1:13" x14ac:dyDescent="0.25">
      <c r="A29" s="25">
        <v>10</v>
      </c>
      <c r="B29" s="19"/>
      <c r="C29" s="33"/>
      <c r="D29" s="34"/>
      <c r="E29" s="30"/>
      <c r="F29" s="25"/>
    </row>
    <row r="30" spans="1:13" ht="15.75" customHeight="1" x14ac:dyDescent="0.25">
      <c r="A30" s="25">
        <v>11</v>
      </c>
      <c r="B30" s="19"/>
      <c r="C30" s="33"/>
      <c r="D30" s="46"/>
      <c r="E30" s="30"/>
      <c r="F30" s="25"/>
    </row>
    <row r="31" spans="1:13" ht="15.75" customHeight="1" x14ac:dyDescent="0.25">
      <c r="A31" s="35"/>
      <c r="B31" s="36"/>
      <c r="C31" s="37"/>
      <c r="D31"/>
      <c r="E31" s="38"/>
      <c r="F31" s="35"/>
    </row>
    <row r="32" spans="1:13" ht="15.75" x14ac:dyDescent="0.25">
      <c r="A32" s="6"/>
      <c r="B32" s="11" t="s">
        <v>23</v>
      </c>
      <c r="E32" s="7"/>
      <c r="F32" s="7"/>
    </row>
    <row r="33" spans="1:6" ht="15.75" thickBot="1" x14ac:dyDescent="0.3">
      <c r="A33" s="6"/>
      <c r="B33" s="13"/>
      <c r="C33" s="7"/>
      <c r="D33" s="7"/>
      <c r="E33" s="7"/>
      <c r="F33" s="7"/>
    </row>
    <row r="34" spans="1:6" x14ac:dyDescent="0.25">
      <c r="A34" s="14" t="s">
        <v>10</v>
      </c>
      <c r="B34" s="15" t="s">
        <v>24</v>
      </c>
      <c r="C34" s="15" t="s">
        <v>13</v>
      </c>
      <c r="D34" s="15" t="s">
        <v>25</v>
      </c>
      <c r="E34" s="15" t="s">
        <v>26</v>
      </c>
      <c r="F34" s="16" t="s">
        <v>15</v>
      </c>
    </row>
    <row r="35" spans="1:6" ht="15.75" customHeight="1" x14ac:dyDescent="0.25">
      <c r="A35" s="25">
        <v>1</v>
      </c>
      <c r="B35" s="19"/>
      <c r="C35" s="34"/>
      <c r="D35" s="34"/>
      <c r="E35" s="39"/>
      <c r="F35" s="39"/>
    </row>
    <row r="36" spans="1:6" ht="15.75" customHeight="1" x14ac:dyDescent="0.25">
      <c r="A36" s="25">
        <v>2</v>
      </c>
      <c r="B36" s="19"/>
      <c r="C36" s="28"/>
      <c r="D36" s="34"/>
      <c r="E36" s="39"/>
      <c r="F36" s="39"/>
    </row>
    <row r="37" spans="1:6" ht="15.75" customHeight="1" x14ac:dyDescent="0.25">
      <c r="A37" s="25">
        <v>3</v>
      </c>
      <c r="B37" s="19"/>
      <c r="C37" s="29"/>
      <c r="D37" s="29"/>
      <c r="E37" s="39"/>
      <c r="F37" s="39"/>
    </row>
    <row r="38" spans="1:6" ht="15.75" customHeight="1" x14ac:dyDescent="0.25">
      <c r="A38" s="25">
        <v>4</v>
      </c>
      <c r="B38" s="19"/>
      <c r="C38" s="29"/>
      <c r="D38" s="29"/>
      <c r="E38" s="39"/>
      <c r="F38" s="39"/>
    </row>
    <row r="39" spans="1:6" ht="15.75" customHeight="1" x14ac:dyDescent="0.25">
      <c r="A39" s="25">
        <v>5</v>
      </c>
      <c r="B39" s="19"/>
      <c r="C39" s="18"/>
      <c r="D39" s="18"/>
      <c r="E39" s="39"/>
      <c r="F39" s="39"/>
    </row>
    <row r="40" spans="1:6" x14ac:dyDescent="0.25">
      <c r="A40" s="40">
        <v>6</v>
      </c>
      <c r="B40" s="19"/>
      <c r="C40" s="25"/>
      <c r="D40" s="32"/>
      <c r="E40" s="29"/>
      <c r="F40" s="29"/>
    </row>
    <row r="41" spans="1:6" x14ac:dyDescent="0.25">
      <c r="A41" s="40">
        <v>7</v>
      </c>
      <c r="B41" s="19"/>
      <c r="C41" s="29"/>
      <c r="D41" s="25"/>
      <c r="E41" s="29"/>
      <c r="F41" s="25"/>
    </row>
    <row r="42" spans="1:6" x14ac:dyDescent="0.25">
      <c r="F42" s="41"/>
    </row>
  </sheetData>
  <mergeCells count="1">
    <mergeCell ref="A3:H3"/>
  </mergeCells>
  <dataValidations count="2">
    <dataValidation type="list" allowBlank="1" showInputMessage="1" showErrorMessage="1" sqref="F8:F15" xr:uid="{49196DC9-871A-49B7-B76F-217BE4312612}">
      <formula1>"20,40,45,50"</formula1>
      <formula2>0</formula2>
    </dataValidation>
    <dataValidation type="list" allowBlank="1" showInputMessage="1" showErrorMessage="1" sqref="F41 F16" xr:uid="{E6B381A0-C4BE-4983-9414-E5E4F42AD60C}">
      <formula1>"20,40,45,50"</formula1>
    </dataValidation>
  </dataValidations>
  <pageMargins left="0.31496062992125984" right="0.11811023622047245" top="0.74803149606299213" bottom="0.74803149606299213" header="0.31496062992125984" footer="0.31496062992125984"/>
  <pageSetup paperSize="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58D52-F617-4B72-ADA0-C765A313D71B}">
  <dimension ref="A1:M42"/>
  <sheetViews>
    <sheetView workbookViewId="0">
      <selection activeCell="F1" sqref="F1:J2"/>
    </sheetView>
  </sheetViews>
  <sheetFormatPr baseColWidth="10" defaultRowHeight="15" x14ac:dyDescent="0.25"/>
  <cols>
    <col min="1" max="1" width="3.140625" style="21" bestFit="1" customWidth="1"/>
    <col min="2" max="2" width="15.5703125" style="21" bestFit="1" customWidth="1"/>
    <col min="3" max="3" width="19.28515625" style="21" customWidth="1"/>
    <col min="4" max="4" width="19.140625" style="21" customWidth="1"/>
    <col min="5" max="5" width="14.28515625" style="21" customWidth="1"/>
    <col min="6" max="6" width="13.85546875" style="21" bestFit="1" customWidth="1"/>
    <col min="7" max="7" width="12.140625" style="21" bestFit="1" customWidth="1"/>
    <col min="8" max="10" width="11.42578125" style="21"/>
    <col min="11" max="11" width="14.7109375" style="21" bestFit="1" customWidth="1"/>
    <col min="12" max="16384" width="11.42578125" style="21"/>
  </cols>
  <sheetData>
    <row r="1" spans="1:10" s="7" customFormat="1" ht="15.75" x14ac:dyDescent="0.25">
      <c r="A1" s="6"/>
      <c r="H1" s="8">
        <f>COUNTIF(C8:C15,"&lt;&gt;")</f>
        <v>1</v>
      </c>
      <c r="I1" s="9" t="s">
        <v>6</v>
      </c>
    </row>
    <row r="2" spans="1:10" s="7" customFormat="1" ht="15.75" x14ac:dyDescent="0.25">
      <c r="A2" s="6"/>
      <c r="F2" s="8">
        <f>COUNTIFS(B20:B29,"&lt;&gt;",C20:C29,"VH")</f>
        <v>0</v>
      </c>
      <c r="G2" s="9" t="s">
        <v>7</v>
      </c>
      <c r="H2" s="8">
        <f>COUNTA(C20:C29)-F2</f>
        <v>7</v>
      </c>
      <c r="I2" s="9" t="s">
        <v>6</v>
      </c>
      <c r="J2" s="10">
        <f>COUNTIF(E20:E29,"VIDE")</f>
        <v>0</v>
      </c>
    </row>
    <row r="3" spans="1:10" s="7" customFormat="1" ht="25.5" x14ac:dyDescent="0.25">
      <c r="A3" s="99" t="s">
        <v>8</v>
      </c>
      <c r="B3" s="99"/>
      <c r="C3" s="99"/>
      <c r="D3" s="99"/>
      <c r="E3" s="99"/>
      <c r="F3" s="99"/>
      <c r="G3" s="99"/>
      <c r="H3" s="99"/>
    </row>
    <row r="4" spans="1:10" s="7" customFormat="1" ht="12.75" x14ac:dyDescent="0.25">
      <c r="A4" s="6"/>
    </row>
    <row r="5" spans="1:10" s="7" customFormat="1" ht="15.75" x14ac:dyDescent="0.25">
      <c r="A5" s="6"/>
      <c r="B5" s="11" t="s">
        <v>9</v>
      </c>
      <c r="G5" s="12">
        <v>46272</v>
      </c>
    </row>
    <row r="6" spans="1:10" s="7" customFormat="1" thickBot="1" x14ac:dyDescent="0.3">
      <c r="A6" s="6"/>
      <c r="B6" s="13"/>
    </row>
    <row r="7" spans="1:10" s="7" customFormat="1" ht="14.25" x14ac:dyDescent="0.25">
      <c r="A7" s="14" t="s">
        <v>10</v>
      </c>
      <c r="B7" s="15" t="s">
        <v>11</v>
      </c>
      <c r="C7" s="15" t="s">
        <v>12</v>
      </c>
      <c r="D7" s="15" t="s">
        <v>13</v>
      </c>
      <c r="E7" s="15" t="s">
        <v>14</v>
      </c>
      <c r="F7" s="16" t="s">
        <v>15</v>
      </c>
    </row>
    <row r="8" spans="1:10" ht="15.75" x14ac:dyDescent="0.25">
      <c r="A8" s="17">
        <v>1</v>
      </c>
      <c r="B8" s="17" t="s">
        <v>76</v>
      </c>
      <c r="C8" s="19">
        <v>7092026</v>
      </c>
      <c r="D8" s="52" t="s">
        <v>73</v>
      </c>
      <c r="E8" s="52" t="s">
        <v>74</v>
      </c>
      <c r="F8" s="18">
        <v>20</v>
      </c>
      <c r="G8" s="20" t="s">
        <v>75</v>
      </c>
    </row>
    <row r="9" spans="1:10" ht="15.75" x14ac:dyDescent="0.25">
      <c r="A9" s="17">
        <v>2</v>
      </c>
      <c r="B9" s="53"/>
      <c r="C9" s="47"/>
      <c r="D9" s="22"/>
      <c r="E9" s="18"/>
      <c r="F9" s="18"/>
      <c r="G9" s="20"/>
    </row>
    <row r="10" spans="1:10" ht="15.75" x14ac:dyDescent="0.25">
      <c r="A10" s="17">
        <v>3</v>
      </c>
      <c r="B10" s="42"/>
      <c r="C10" s="19"/>
      <c r="D10" s="18"/>
      <c r="E10" s="18"/>
      <c r="F10" s="18"/>
      <c r="G10" s="20"/>
    </row>
    <row r="11" spans="1:10" ht="15.75" x14ac:dyDescent="0.25">
      <c r="A11" s="17">
        <v>4</v>
      </c>
      <c r="B11" s="42"/>
      <c r="C11" s="19"/>
      <c r="D11" s="18"/>
      <c r="E11" s="18"/>
      <c r="F11" s="18"/>
      <c r="G11" s="20"/>
    </row>
    <row r="12" spans="1:10" ht="15.75" x14ac:dyDescent="0.25">
      <c r="A12" s="17">
        <v>5</v>
      </c>
      <c r="B12" s="42"/>
      <c r="C12" s="19"/>
      <c r="D12" s="18"/>
      <c r="E12" s="23"/>
      <c r="F12" s="18"/>
      <c r="G12" s="20"/>
    </row>
    <row r="13" spans="1:10" ht="15.75" x14ac:dyDescent="0.25">
      <c r="A13" s="17">
        <v>6</v>
      </c>
      <c r="B13" s="42"/>
      <c r="C13" s="19"/>
      <c r="D13" s="18"/>
      <c r="E13" s="23"/>
      <c r="F13" s="18"/>
      <c r="G13" s="20"/>
    </row>
    <row r="14" spans="1:10" ht="15.75" x14ac:dyDescent="0.25">
      <c r="A14" s="17">
        <v>7</v>
      </c>
      <c r="B14" s="42"/>
      <c r="C14" s="19"/>
      <c r="D14" s="18"/>
      <c r="E14" s="23"/>
      <c r="F14" s="18"/>
      <c r="G14" s="20"/>
    </row>
    <row r="15" spans="1:10" ht="15.75" x14ac:dyDescent="0.25">
      <c r="A15" s="17">
        <v>8</v>
      </c>
      <c r="B15" s="42"/>
      <c r="C15" s="19"/>
      <c r="D15" s="24"/>
      <c r="E15" s="23"/>
      <c r="F15" s="18"/>
      <c r="G15" s="20"/>
    </row>
    <row r="16" spans="1:10" ht="15.75" x14ac:dyDescent="0.25">
      <c r="A16" s="6"/>
      <c r="B16" s="20"/>
      <c r="C16" s="7"/>
      <c r="D16" s="26"/>
      <c r="E16" s="26"/>
      <c r="F16" s="26"/>
      <c r="G16" s="7"/>
    </row>
    <row r="17" spans="1:13" ht="15.75" x14ac:dyDescent="0.25">
      <c r="A17" s="6"/>
      <c r="B17" s="11" t="s">
        <v>20</v>
      </c>
    </row>
    <row r="18" spans="1:13" ht="15.75" thickBot="1" x14ac:dyDescent="0.3">
      <c r="A18" s="6"/>
      <c r="B18" s="13"/>
      <c r="C18" s="7"/>
      <c r="D18" s="7"/>
      <c r="E18" s="7"/>
      <c r="F18" s="7"/>
    </row>
    <row r="19" spans="1:13" x14ac:dyDescent="0.25">
      <c r="A19" s="14" t="s">
        <v>10</v>
      </c>
      <c r="B19" s="15" t="s">
        <v>21</v>
      </c>
      <c r="C19" s="15" t="s">
        <v>22</v>
      </c>
      <c r="D19" s="15" t="s">
        <v>13</v>
      </c>
      <c r="E19" s="15" t="s">
        <v>14</v>
      </c>
      <c r="F19" s="16" t="s">
        <v>15</v>
      </c>
    </row>
    <row r="20" spans="1:13" x14ac:dyDescent="0.25">
      <c r="A20" s="25">
        <v>1</v>
      </c>
      <c r="B20" s="19">
        <v>7092026</v>
      </c>
      <c r="C20" s="27" t="s">
        <v>79</v>
      </c>
      <c r="D20" s="28" t="s">
        <v>78</v>
      </c>
      <c r="E20" s="29">
        <v>3994</v>
      </c>
      <c r="F20" s="25">
        <v>40</v>
      </c>
    </row>
    <row r="21" spans="1:13" ht="15.75" customHeight="1" x14ac:dyDescent="0.25">
      <c r="A21" s="25">
        <v>2</v>
      </c>
      <c r="B21" s="19">
        <v>7092026</v>
      </c>
      <c r="C21" s="29" t="s">
        <v>92</v>
      </c>
      <c r="D21" s="18" t="s">
        <v>80</v>
      </c>
      <c r="E21" s="58" t="s">
        <v>81</v>
      </c>
      <c r="F21" s="25">
        <v>20</v>
      </c>
      <c r="I21" s="31"/>
      <c r="J21" s="31"/>
      <c r="K21" s="31"/>
      <c r="L21" s="31"/>
      <c r="M21" s="31"/>
    </row>
    <row r="22" spans="1:13" ht="15.75" customHeight="1" x14ac:dyDescent="0.25">
      <c r="A22" s="25">
        <v>3</v>
      </c>
      <c r="B22" s="19">
        <v>7092026</v>
      </c>
      <c r="C22" s="27" t="s">
        <v>93</v>
      </c>
      <c r="D22" s="18" t="s">
        <v>82</v>
      </c>
      <c r="E22" s="58" t="s">
        <v>83</v>
      </c>
      <c r="F22" s="25">
        <v>20</v>
      </c>
      <c r="I22" s="31"/>
      <c r="J22" s="31"/>
      <c r="K22" s="31"/>
      <c r="L22" s="31"/>
      <c r="M22" s="31"/>
    </row>
    <row r="23" spans="1:13" ht="15.75" customHeight="1" x14ac:dyDescent="0.25">
      <c r="A23" s="25">
        <v>4</v>
      </c>
      <c r="B23" s="19">
        <v>7092026</v>
      </c>
      <c r="C23" s="29" t="s">
        <v>92</v>
      </c>
      <c r="D23" s="18" t="s">
        <v>84</v>
      </c>
      <c r="E23" s="23" t="s">
        <v>85</v>
      </c>
      <c r="F23" s="25">
        <v>20</v>
      </c>
      <c r="I23" s="31"/>
      <c r="J23" s="31"/>
      <c r="K23" s="31"/>
      <c r="L23" s="31"/>
      <c r="M23" s="31"/>
    </row>
    <row r="24" spans="1:13" ht="15.75" customHeight="1" x14ac:dyDescent="0.25">
      <c r="A24" s="25">
        <v>5</v>
      </c>
      <c r="B24" s="19">
        <v>7092026</v>
      </c>
      <c r="C24" s="29" t="s">
        <v>92</v>
      </c>
      <c r="D24" s="18" t="s">
        <v>86</v>
      </c>
      <c r="E24" s="59" t="s">
        <v>87</v>
      </c>
      <c r="F24" s="25">
        <v>20</v>
      </c>
      <c r="I24" s="31"/>
      <c r="J24" s="31"/>
      <c r="K24" s="31"/>
      <c r="L24" s="31"/>
      <c r="M24" s="31"/>
    </row>
    <row r="25" spans="1:13" ht="15.75" customHeight="1" x14ac:dyDescent="0.25">
      <c r="A25" s="25">
        <v>6</v>
      </c>
      <c r="B25" s="19">
        <v>7092026</v>
      </c>
      <c r="C25" s="27" t="s">
        <v>93</v>
      </c>
      <c r="D25" s="18" t="s">
        <v>88</v>
      </c>
      <c r="E25" s="23" t="s">
        <v>89</v>
      </c>
      <c r="F25" s="25">
        <v>20</v>
      </c>
      <c r="I25" s="31"/>
      <c r="J25" s="31"/>
      <c r="K25" s="31"/>
      <c r="L25" s="31"/>
      <c r="M25" s="31"/>
    </row>
    <row r="26" spans="1:13" ht="15.75" customHeight="1" x14ac:dyDescent="0.25">
      <c r="A26" s="25">
        <v>7</v>
      </c>
      <c r="B26" s="19">
        <v>7092026</v>
      </c>
      <c r="C26" s="29" t="s">
        <v>92</v>
      </c>
      <c r="D26" s="24" t="s">
        <v>90</v>
      </c>
      <c r="E26" s="23" t="s">
        <v>91</v>
      </c>
      <c r="F26" s="25">
        <v>20</v>
      </c>
      <c r="I26" s="31"/>
      <c r="J26" s="31"/>
      <c r="K26" s="31"/>
      <c r="L26" s="31"/>
      <c r="M26" s="31"/>
    </row>
    <row r="27" spans="1:13" x14ac:dyDescent="0.25">
      <c r="A27" s="25">
        <v>8</v>
      </c>
      <c r="B27" s="19"/>
      <c r="C27" s="27"/>
      <c r="D27" s="34"/>
      <c r="E27" s="30"/>
      <c r="F27" s="25"/>
    </row>
    <row r="28" spans="1:13" x14ac:dyDescent="0.25">
      <c r="A28" s="25">
        <v>9</v>
      </c>
      <c r="B28" s="19"/>
      <c r="C28" s="27"/>
      <c r="D28" s="28"/>
      <c r="E28" s="30"/>
      <c r="F28" s="25"/>
    </row>
    <row r="29" spans="1:13" x14ac:dyDescent="0.25">
      <c r="A29" s="25">
        <v>10</v>
      </c>
      <c r="B29" s="19"/>
      <c r="C29" s="33"/>
      <c r="D29" s="34"/>
      <c r="E29" s="30"/>
      <c r="F29" s="25"/>
    </row>
    <row r="30" spans="1:13" ht="15.75" customHeight="1" x14ac:dyDescent="0.25">
      <c r="A30" s="25">
        <v>11</v>
      </c>
      <c r="B30" s="19"/>
      <c r="C30" s="33"/>
      <c r="D30" s="46"/>
      <c r="E30" s="30"/>
      <c r="F30" s="25"/>
    </row>
    <row r="31" spans="1:13" ht="15.75" customHeight="1" x14ac:dyDescent="0.25">
      <c r="A31" s="35"/>
      <c r="B31" s="36"/>
      <c r="C31" s="37"/>
      <c r="D31"/>
      <c r="E31" s="38"/>
      <c r="F31" s="35"/>
    </row>
    <row r="32" spans="1:13" ht="15.75" x14ac:dyDescent="0.25">
      <c r="A32" s="6"/>
      <c r="B32" s="11" t="s">
        <v>23</v>
      </c>
      <c r="E32" s="7"/>
      <c r="F32" s="7"/>
    </row>
    <row r="33" spans="1:6" ht="15.75" thickBot="1" x14ac:dyDescent="0.3">
      <c r="A33" s="6"/>
      <c r="B33" s="13"/>
      <c r="C33" s="7"/>
      <c r="D33" s="7"/>
      <c r="E33" s="7"/>
      <c r="F33" s="7"/>
    </row>
    <row r="34" spans="1:6" x14ac:dyDescent="0.25">
      <c r="A34" s="14" t="s">
        <v>10</v>
      </c>
      <c r="B34" s="15" t="s">
        <v>24</v>
      </c>
      <c r="C34" s="15" t="s">
        <v>13</v>
      </c>
      <c r="D34" s="15" t="s">
        <v>25</v>
      </c>
      <c r="E34" s="15" t="s">
        <v>26</v>
      </c>
      <c r="F34" s="16" t="s">
        <v>15</v>
      </c>
    </row>
    <row r="35" spans="1:6" ht="15.75" customHeight="1" x14ac:dyDescent="0.25">
      <c r="A35" s="25">
        <v>1</v>
      </c>
      <c r="B35" s="19"/>
      <c r="C35" s="34"/>
      <c r="D35" s="34"/>
      <c r="E35" s="39"/>
      <c r="F35" s="39"/>
    </row>
    <row r="36" spans="1:6" ht="15.75" customHeight="1" x14ac:dyDescent="0.25">
      <c r="A36" s="25">
        <v>2</v>
      </c>
      <c r="B36" s="19"/>
      <c r="C36" s="28"/>
      <c r="D36" s="34"/>
      <c r="E36" s="39"/>
      <c r="F36" s="39"/>
    </row>
    <row r="37" spans="1:6" ht="15.75" customHeight="1" x14ac:dyDescent="0.25">
      <c r="A37" s="25">
        <v>3</v>
      </c>
      <c r="B37" s="19"/>
      <c r="C37" s="29"/>
      <c r="D37" s="29"/>
      <c r="E37" s="39"/>
      <c r="F37" s="39"/>
    </row>
    <row r="38" spans="1:6" ht="15.75" customHeight="1" x14ac:dyDescent="0.25">
      <c r="A38" s="25">
        <v>4</v>
      </c>
      <c r="B38" s="19"/>
      <c r="C38" s="29"/>
      <c r="D38" s="29"/>
      <c r="E38" s="39"/>
      <c r="F38" s="39"/>
    </row>
    <row r="39" spans="1:6" ht="15.75" customHeight="1" x14ac:dyDescent="0.25">
      <c r="A39" s="25">
        <v>5</v>
      </c>
      <c r="B39" s="19"/>
      <c r="C39" s="18"/>
      <c r="D39" s="18"/>
      <c r="E39" s="39"/>
      <c r="F39" s="39"/>
    </row>
    <row r="40" spans="1:6" x14ac:dyDescent="0.25">
      <c r="A40" s="40">
        <v>6</v>
      </c>
      <c r="B40" s="19"/>
      <c r="C40" s="25"/>
      <c r="D40" s="32"/>
      <c r="E40" s="29"/>
      <c r="F40" s="29"/>
    </row>
    <row r="41" spans="1:6" x14ac:dyDescent="0.25">
      <c r="A41" s="40">
        <v>7</v>
      </c>
      <c r="B41" s="19"/>
      <c r="C41" s="29"/>
      <c r="D41" s="25"/>
      <c r="E41" s="29"/>
      <c r="F41" s="25"/>
    </row>
    <row r="42" spans="1:6" x14ac:dyDescent="0.25">
      <c r="F42" s="41"/>
    </row>
  </sheetData>
  <mergeCells count="1">
    <mergeCell ref="A3:H3"/>
  </mergeCells>
  <dataValidations count="2">
    <dataValidation type="list" allowBlank="1" showInputMessage="1" showErrorMessage="1" sqref="F41 F16" xr:uid="{CE340E61-1C9A-4626-AE21-92A800AC9FC7}">
      <formula1>"20,40,45,50"</formula1>
    </dataValidation>
    <dataValidation type="list" allowBlank="1" showInputMessage="1" showErrorMessage="1" sqref="F8:F15" xr:uid="{11B51B2B-7C69-4E18-85F6-9C40A9E67DBF}">
      <formula1>"20,40,45,50"</formula1>
      <formula2>0</formula2>
    </dataValidation>
  </dataValidations>
  <pageMargins left="0.31496062992125984" right="0.11811023622047245" top="0.74803149606299213" bottom="0.74803149606299213" header="0.31496062992125984" footer="0.31496062992125984"/>
  <pageSetup paperSize="9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11B97-4126-4C83-B74A-4E710002A39D}">
  <dimension ref="A1:M42"/>
  <sheetViews>
    <sheetView topLeftCell="A12" workbookViewId="0">
      <selection activeCell="A12" sqref="A1:XFD1048576"/>
    </sheetView>
  </sheetViews>
  <sheetFormatPr baseColWidth="10" defaultRowHeight="15" x14ac:dyDescent="0.25"/>
  <cols>
    <col min="1" max="1" width="3.140625" style="21" bestFit="1" customWidth="1"/>
    <col min="2" max="2" width="15.5703125" style="21" bestFit="1" customWidth="1"/>
    <col min="3" max="3" width="19.28515625" style="21" customWidth="1"/>
    <col min="4" max="4" width="19.140625" style="21" customWidth="1"/>
    <col min="5" max="5" width="14.28515625" style="21" customWidth="1"/>
    <col min="6" max="6" width="13.85546875" style="21" bestFit="1" customWidth="1"/>
    <col min="7" max="7" width="12.140625" style="21" bestFit="1" customWidth="1"/>
    <col min="8" max="10" width="11.42578125" style="21"/>
    <col min="11" max="11" width="14.7109375" style="21" bestFit="1" customWidth="1"/>
    <col min="12" max="16384" width="11.42578125" style="21"/>
  </cols>
  <sheetData>
    <row r="1" spans="1:10" s="7" customFormat="1" ht="15.75" x14ac:dyDescent="0.25">
      <c r="A1" s="6"/>
      <c r="H1" s="8">
        <f>COUNTIF(C8:C15,"&lt;&gt;")</f>
        <v>0</v>
      </c>
      <c r="I1" s="9" t="s">
        <v>6</v>
      </c>
    </row>
    <row r="2" spans="1:10" s="7" customFormat="1" ht="15.75" x14ac:dyDescent="0.25">
      <c r="A2" s="6"/>
      <c r="F2" s="8">
        <f>COUNTIFS(B20:B29,"&lt;&gt;",C20:C29,"VH")</f>
        <v>0</v>
      </c>
      <c r="G2" s="9" t="s">
        <v>7</v>
      </c>
      <c r="H2" s="8">
        <f>COUNTA(C20:C29)-F2</f>
        <v>0</v>
      </c>
      <c r="I2" s="9" t="s">
        <v>6</v>
      </c>
      <c r="J2" s="10">
        <f>COUNTIF(E20:E29,"VIDE")</f>
        <v>0</v>
      </c>
    </row>
    <row r="3" spans="1:10" s="7" customFormat="1" ht="25.5" x14ac:dyDescent="0.25">
      <c r="A3" s="99" t="s">
        <v>8</v>
      </c>
      <c r="B3" s="99"/>
      <c r="C3" s="99"/>
      <c r="D3" s="99"/>
      <c r="E3" s="99"/>
      <c r="F3" s="99"/>
      <c r="G3" s="99"/>
      <c r="H3" s="99"/>
    </row>
    <row r="4" spans="1:10" s="7" customFormat="1" ht="12.75" x14ac:dyDescent="0.25">
      <c r="A4" s="6"/>
    </row>
    <row r="5" spans="1:10" s="7" customFormat="1" ht="15.75" x14ac:dyDescent="0.25">
      <c r="A5" s="6"/>
      <c r="B5" s="11" t="s">
        <v>9</v>
      </c>
      <c r="G5" s="12">
        <v>46273</v>
      </c>
    </row>
    <row r="6" spans="1:10" s="7" customFormat="1" thickBot="1" x14ac:dyDescent="0.3">
      <c r="A6" s="6"/>
      <c r="B6" s="13"/>
    </row>
    <row r="7" spans="1:10" s="7" customFormat="1" ht="14.25" x14ac:dyDescent="0.25">
      <c r="A7" s="14" t="s">
        <v>10</v>
      </c>
      <c r="B7" s="15" t="s">
        <v>11</v>
      </c>
      <c r="C7" s="15" t="s">
        <v>12</v>
      </c>
      <c r="D7" s="15" t="s">
        <v>13</v>
      </c>
      <c r="E7" s="15" t="s">
        <v>14</v>
      </c>
      <c r="F7" s="16" t="s">
        <v>15</v>
      </c>
    </row>
    <row r="8" spans="1:10" ht="15.75" x14ac:dyDescent="0.25">
      <c r="A8" s="17">
        <v>1</v>
      </c>
      <c r="B8" s="17"/>
      <c r="C8" s="19"/>
      <c r="D8" s="52"/>
      <c r="E8" s="52"/>
      <c r="F8" s="18"/>
      <c r="G8" s="20"/>
    </row>
    <row r="9" spans="1:10" ht="15.75" x14ac:dyDescent="0.25">
      <c r="A9" s="17">
        <v>2</v>
      </c>
      <c r="B9" s="53"/>
      <c r="C9" s="47"/>
      <c r="D9" s="22"/>
      <c r="E9" s="18"/>
      <c r="F9" s="18"/>
      <c r="G9" s="20"/>
    </row>
    <row r="10" spans="1:10" ht="15.75" x14ac:dyDescent="0.25">
      <c r="A10" s="17">
        <v>3</v>
      </c>
      <c r="B10" s="42"/>
      <c r="C10" s="19"/>
      <c r="D10" s="18"/>
      <c r="E10" s="18"/>
      <c r="F10" s="18"/>
      <c r="G10" s="20"/>
    </row>
    <row r="11" spans="1:10" ht="15.75" x14ac:dyDescent="0.25">
      <c r="A11" s="17">
        <v>4</v>
      </c>
      <c r="B11" s="42"/>
      <c r="C11" s="19"/>
      <c r="D11" s="18"/>
      <c r="E11" s="18"/>
      <c r="F11" s="18"/>
      <c r="G11" s="20"/>
    </row>
    <row r="12" spans="1:10" ht="15.75" x14ac:dyDescent="0.25">
      <c r="A12" s="17">
        <v>5</v>
      </c>
      <c r="B12" s="42"/>
      <c r="C12" s="19"/>
      <c r="D12" s="18"/>
      <c r="E12" s="23"/>
      <c r="F12" s="18"/>
      <c r="G12" s="20"/>
    </row>
    <row r="13" spans="1:10" ht="15.75" x14ac:dyDescent="0.25">
      <c r="A13" s="17">
        <v>6</v>
      </c>
      <c r="B13" s="42"/>
      <c r="C13" s="19"/>
      <c r="D13" s="18"/>
      <c r="E13" s="23"/>
      <c r="F13" s="18"/>
      <c r="G13" s="20"/>
    </row>
    <row r="14" spans="1:10" ht="15.75" x14ac:dyDescent="0.25">
      <c r="A14" s="17">
        <v>7</v>
      </c>
      <c r="B14" s="42"/>
      <c r="C14" s="19"/>
      <c r="D14" s="18"/>
      <c r="E14" s="23"/>
      <c r="F14" s="18"/>
      <c r="G14" s="20"/>
    </row>
    <row r="15" spans="1:10" ht="15.75" x14ac:dyDescent="0.25">
      <c r="A15" s="17">
        <v>8</v>
      </c>
      <c r="B15" s="42"/>
      <c r="C15" s="19"/>
      <c r="D15" s="24"/>
      <c r="E15" s="23"/>
      <c r="F15" s="18"/>
      <c r="G15" s="20"/>
    </row>
    <row r="16" spans="1:10" ht="15.75" x14ac:dyDescent="0.25">
      <c r="A16" s="6"/>
      <c r="B16" s="20"/>
      <c r="C16" s="7"/>
      <c r="D16" s="26"/>
      <c r="E16" s="26"/>
      <c r="F16" s="26"/>
      <c r="G16" s="7"/>
    </row>
    <row r="17" spans="1:13" ht="15.75" x14ac:dyDescent="0.25">
      <c r="A17" s="6"/>
      <c r="B17" s="11" t="s">
        <v>20</v>
      </c>
    </row>
    <row r="18" spans="1:13" ht="15.75" thickBot="1" x14ac:dyDescent="0.3">
      <c r="A18" s="6"/>
      <c r="B18" s="13"/>
      <c r="C18" s="7"/>
      <c r="D18" s="7"/>
      <c r="E18" s="7"/>
      <c r="F18" s="7"/>
    </row>
    <row r="19" spans="1:13" x14ac:dyDescent="0.25">
      <c r="A19" s="14" t="s">
        <v>10</v>
      </c>
      <c r="B19" s="15" t="s">
        <v>21</v>
      </c>
      <c r="C19" s="15" t="s">
        <v>22</v>
      </c>
      <c r="D19" s="15" t="s">
        <v>13</v>
      </c>
      <c r="E19" s="15" t="s">
        <v>14</v>
      </c>
      <c r="F19" s="16" t="s">
        <v>15</v>
      </c>
    </row>
    <row r="20" spans="1:13" x14ac:dyDescent="0.25">
      <c r="A20" s="25">
        <v>1</v>
      </c>
      <c r="B20" s="19"/>
      <c r="C20" s="27"/>
      <c r="D20" s="28"/>
      <c r="E20" s="29"/>
      <c r="F20" s="25"/>
    </row>
    <row r="21" spans="1:13" ht="15.75" customHeight="1" x14ac:dyDescent="0.25">
      <c r="A21" s="25">
        <v>2</v>
      </c>
      <c r="B21" s="19"/>
      <c r="C21" s="29"/>
      <c r="D21" s="18"/>
      <c r="E21" s="58"/>
      <c r="F21" s="25"/>
      <c r="I21" s="31"/>
      <c r="J21" s="31"/>
      <c r="K21" s="31"/>
      <c r="L21" s="31"/>
      <c r="M21" s="31"/>
    </row>
    <row r="22" spans="1:13" ht="15.75" customHeight="1" x14ac:dyDescent="0.25">
      <c r="A22" s="25">
        <v>3</v>
      </c>
      <c r="B22" s="19"/>
      <c r="C22" s="27"/>
      <c r="D22" s="18"/>
      <c r="E22" s="58"/>
      <c r="F22" s="25"/>
      <c r="I22" s="31"/>
      <c r="J22" s="31"/>
      <c r="K22" s="31"/>
      <c r="L22" s="31"/>
      <c r="M22" s="31"/>
    </row>
    <row r="23" spans="1:13" ht="15.75" customHeight="1" x14ac:dyDescent="0.25">
      <c r="A23" s="25">
        <v>4</v>
      </c>
      <c r="B23" s="19"/>
      <c r="C23" s="29"/>
      <c r="D23" s="18"/>
      <c r="E23" s="23"/>
      <c r="F23" s="25"/>
      <c r="I23" s="31"/>
      <c r="J23" s="31"/>
      <c r="K23" s="31"/>
      <c r="L23" s="31"/>
      <c r="M23" s="31"/>
    </row>
    <row r="24" spans="1:13" ht="15.75" customHeight="1" x14ac:dyDescent="0.25">
      <c r="A24" s="25">
        <v>5</v>
      </c>
      <c r="B24" s="19"/>
      <c r="C24" s="29"/>
      <c r="D24" s="18"/>
      <c r="E24" s="59"/>
      <c r="F24" s="25"/>
      <c r="I24" s="31"/>
      <c r="J24" s="31"/>
      <c r="K24" s="31"/>
      <c r="L24" s="31"/>
      <c r="M24" s="31"/>
    </row>
    <row r="25" spans="1:13" ht="15.75" customHeight="1" x14ac:dyDescent="0.25">
      <c r="A25" s="25">
        <v>6</v>
      </c>
      <c r="B25" s="19"/>
      <c r="C25" s="27"/>
      <c r="D25" s="18"/>
      <c r="E25" s="23"/>
      <c r="F25" s="25"/>
      <c r="I25" s="31"/>
      <c r="J25" s="31"/>
      <c r="K25" s="31"/>
      <c r="L25" s="31"/>
      <c r="M25" s="31"/>
    </row>
    <row r="26" spans="1:13" ht="15.75" customHeight="1" x14ac:dyDescent="0.25">
      <c r="A26" s="25">
        <v>7</v>
      </c>
      <c r="B26" s="19"/>
      <c r="C26" s="29"/>
      <c r="D26" s="24"/>
      <c r="E26" s="23"/>
      <c r="F26" s="25"/>
      <c r="I26" s="31"/>
      <c r="J26" s="31"/>
      <c r="K26" s="31"/>
      <c r="L26" s="31"/>
      <c r="M26" s="31"/>
    </row>
    <row r="27" spans="1:13" x14ac:dyDescent="0.25">
      <c r="A27" s="25">
        <v>8</v>
      </c>
      <c r="B27" s="19"/>
      <c r="C27" s="27"/>
      <c r="D27" s="34"/>
      <c r="E27" s="30"/>
      <c r="F27" s="25"/>
    </row>
    <row r="28" spans="1:13" x14ac:dyDescent="0.25">
      <c r="A28" s="25">
        <v>9</v>
      </c>
      <c r="B28" s="19"/>
      <c r="C28" s="27"/>
      <c r="D28" s="28"/>
      <c r="E28" s="30"/>
      <c r="F28" s="25"/>
    </row>
    <row r="29" spans="1:13" x14ac:dyDescent="0.25">
      <c r="A29" s="25">
        <v>10</v>
      </c>
      <c r="B29" s="19"/>
      <c r="C29" s="33"/>
      <c r="D29" s="34"/>
      <c r="E29" s="30"/>
      <c r="F29" s="25"/>
    </row>
    <row r="30" spans="1:13" ht="15.75" customHeight="1" x14ac:dyDescent="0.25">
      <c r="A30" s="25">
        <v>11</v>
      </c>
      <c r="B30" s="19"/>
      <c r="C30" s="33"/>
      <c r="D30" s="46"/>
      <c r="E30" s="30"/>
      <c r="F30" s="25"/>
    </row>
    <row r="31" spans="1:13" ht="15.75" customHeight="1" x14ac:dyDescent="0.25">
      <c r="A31" s="35"/>
      <c r="B31" s="36"/>
      <c r="C31" s="37"/>
      <c r="D31"/>
      <c r="E31" s="38"/>
      <c r="F31" s="35"/>
    </row>
    <row r="32" spans="1:13" ht="15.75" x14ac:dyDescent="0.25">
      <c r="A32" s="6"/>
      <c r="B32" s="11" t="s">
        <v>23</v>
      </c>
      <c r="E32" s="7"/>
      <c r="F32" s="7"/>
    </row>
    <row r="33" spans="1:6" ht="15.75" thickBot="1" x14ac:dyDescent="0.3">
      <c r="A33" s="6"/>
      <c r="B33" s="13"/>
      <c r="C33" s="7"/>
      <c r="D33" s="7"/>
      <c r="E33" s="7"/>
      <c r="F33" s="7"/>
    </row>
    <row r="34" spans="1:6" x14ac:dyDescent="0.25">
      <c r="A34" s="14" t="s">
        <v>10</v>
      </c>
      <c r="B34" s="15" t="s">
        <v>24</v>
      </c>
      <c r="C34" s="15" t="s">
        <v>13</v>
      </c>
      <c r="D34" s="15" t="s">
        <v>25</v>
      </c>
      <c r="E34" s="15" t="s">
        <v>26</v>
      </c>
      <c r="F34" s="16" t="s">
        <v>15</v>
      </c>
    </row>
    <row r="35" spans="1:6" ht="15.75" customHeight="1" x14ac:dyDescent="0.25">
      <c r="A35" s="25">
        <v>1</v>
      </c>
      <c r="B35" s="19">
        <v>9092026</v>
      </c>
      <c r="C35" s="34" t="s">
        <v>94</v>
      </c>
      <c r="D35" s="34" t="s">
        <v>95</v>
      </c>
      <c r="E35" s="39">
        <v>3577</v>
      </c>
      <c r="F35" s="39">
        <v>40</v>
      </c>
    </row>
    <row r="36" spans="1:6" ht="15.75" customHeight="1" x14ac:dyDescent="0.25">
      <c r="A36" s="25">
        <v>2</v>
      </c>
      <c r="B36" s="19"/>
      <c r="C36" s="28"/>
      <c r="D36" s="34"/>
      <c r="E36" s="39"/>
      <c r="F36" s="39"/>
    </row>
    <row r="37" spans="1:6" ht="15.75" customHeight="1" x14ac:dyDescent="0.25">
      <c r="A37" s="25">
        <v>3</v>
      </c>
      <c r="B37" s="19"/>
      <c r="C37" s="29"/>
      <c r="D37" s="29"/>
      <c r="E37" s="39"/>
      <c r="F37" s="39"/>
    </row>
    <row r="38" spans="1:6" ht="15.75" customHeight="1" x14ac:dyDescent="0.25">
      <c r="A38" s="25">
        <v>4</v>
      </c>
      <c r="B38" s="19"/>
      <c r="C38" s="29"/>
      <c r="D38" s="29"/>
      <c r="E38" s="39"/>
      <c r="F38" s="39"/>
    </row>
    <row r="39" spans="1:6" ht="15.75" customHeight="1" x14ac:dyDescent="0.25">
      <c r="A39" s="25">
        <v>5</v>
      </c>
      <c r="B39" s="19"/>
      <c r="C39" s="18"/>
      <c r="D39" s="18"/>
      <c r="E39" s="39"/>
      <c r="F39" s="39"/>
    </row>
    <row r="40" spans="1:6" x14ac:dyDescent="0.25">
      <c r="A40" s="40">
        <v>6</v>
      </c>
      <c r="B40" s="19"/>
      <c r="C40" s="25"/>
      <c r="D40" s="32"/>
      <c r="E40" s="29"/>
      <c r="F40" s="29"/>
    </row>
    <row r="41" spans="1:6" x14ac:dyDescent="0.25">
      <c r="A41" s="40">
        <v>7</v>
      </c>
      <c r="B41" s="19"/>
      <c r="C41" s="29"/>
      <c r="D41" s="25"/>
      <c r="E41" s="29"/>
      <c r="F41" s="25"/>
    </row>
    <row r="42" spans="1:6" x14ac:dyDescent="0.25">
      <c r="F42" s="41"/>
    </row>
  </sheetData>
  <mergeCells count="1">
    <mergeCell ref="A3:H3"/>
  </mergeCells>
  <dataValidations count="2">
    <dataValidation type="list" allowBlank="1" showInputMessage="1" showErrorMessage="1" sqref="F8:F15" xr:uid="{2EC0EC5B-7C08-4C22-AA95-368F2D69FED9}">
      <formula1>"20,40,45,50"</formula1>
      <formula2>0</formula2>
    </dataValidation>
    <dataValidation type="list" allowBlank="1" showInputMessage="1" showErrorMessage="1" sqref="F41 F16" xr:uid="{14D22049-3295-498F-9836-6B814172B93A}">
      <formula1>"20,40,45,50"</formula1>
    </dataValidation>
  </dataValidations>
  <pageMargins left="0.31496062992125984" right="0.11811023622047245" top="0.74803149606299213" bottom="0.74803149606299213" header="0.31496062992125984" footer="0.31496062992125984"/>
  <pageSetup paperSize="9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55FDF-6DCB-4DDA-B827-6D1FD6BE3879}">
  <dimension ref="A1:M42"/>
  <sheetViews>
    <sheetView workbookViewId="0">
      <selection activeCell="D8" sqref="D8"/>
    </sheetView>
  </sheetViews>
  <sheetFormatPr baseColWidth="10" defaultRowHeight="15" x14ac:dyDescent="0.25"/>
  <cols>
    <col min="1" max="1" width="3.140625" style="21" bestFit="1" customWidth="1"/>
    <col min="2" max="2" width="15.5703125" style="21" bestFit="1" customWidth="1"/>
    <col min="3" max="3" width="19.28515625" style="21" customWidth="1"/>
    <col min="4" max="4" width="19.140625" style="21" customWidth="1"/>
    <col min="5" max="5" width="14.28515625" style="21" customWidth="1"/>
    <col min="6" max="6" width="13.85546875" style="21" bestFit="1" customWidth="1"/>
    <col min="7" max="7" width="12.140625" style="21" bestFit="1" customWidth="1"/>
    <col min="8" max="10" width="11.42578125" style="21"/>
    <col min="11" max="11" width="14.7109375" style="21" bestFit="1" customWidth="1"/>
    <col min="12" max="16384" width="11.42578125" style="21"/>
  </cols>
  <sheetData>
    <row r="1" spans="1:10" s="7" customFormat="1" ht="15.75" x14ac:dyDescent="0.25">
      <c r="A1" s="6"/>
      <c r="H1" s="8">
        <f>COUNTIF(C8:C24,"&lt;&gt;")</f>
        <v>11</v>
      </c>
      <c r="I1" s="9" t="s">
        <v>6</v>
      </c>
    </row>
    <row r="2" spans="1:10" s="7" customFormat="1" ht="15.75" x14ac:dyDescent="0.25">
      <c r="A2" s="6"/>
      <c r="F2" s="8">
        <f>COUNTIFS(B29:B30,"&lt;&gt;",C29:C30,"VH")</f>
        <v>0</v>
      </c>
      <c r="G2" s="9" t="s">
        <v>7</v>
      </c>
      <c r="H2" s="8">
        <f>COUNTA(C29:C30)-F2</f>
        <v>0</v>
      </c>
      <c r="I2" s="9" t="s">
        <v>6</v>
      </c>
      <c r="J2" s="10">
        <f>COUNTIF(E29:E30,"VIDE")</f>
        <v>0</v>
      </c>
    </row>
    <row r="3" spans="1:10" s="7" customFormat="1" ht="25.5" x14ac:dyDescent="0.25">
      <c r="A3" s="99" t="s">
        <v>8</v>
      </c>
      <c r="B3" s="99"/>
      <c r="C3" s="99"/>
      <c r="D3" s="99"/>
      <c r="E3" s="99"/>
      <c r="F3" s="99"/>
      <c r="G3" s="99"/>
      <c r="H3" s="99"/>
    </row>
    <row r="4" spans="1:10" s="7" customFormat="1" ht="12.75" x14ac:dyDescent="0.25">
      <c r="A4" s="6"/>
    </row>
    <row r="5" spans="1:10" s="7" customFormat="1" ht="15.75" x14ac:dyDescent="0.25">
      <c r="A5" s="6"/>
      <c r="B5" s="11" t="s">
        <v>9</v>
      </c>
      <c r="G5" s="12">
        <v>46274</v>
      </c>
    </row>
    <row r="6" spans="1:10" s="7" customFormat="1" thickBot="1" x14ac:dyDescent="0.3">
      <c r="A6" s="6"/>
      <c r="B6" s="13"/>
    </row>
    <row r="7" spans="1:10" s="7" customFormat="1" thickBot="1" x14ac:dyDescent="0.3">
      <c r="A7" s="14" t="s">
        <v>10</v>
      </c>
      <c r="B7" s="15" t="s">
        <v>11</v>
      </c>
      <c r="C7" s="15" t="s">
        <v>12</v>
      </c>
      <c r="D7" s="15" t="s">
        <v>13</v>
      </c>
      <c r="E7" s="15" t="s">
        <v>14</v>
      </c>
      <c r="F7" s="16" t="s">
        <v>15</v>
      </c>
      <c r="G7" s="16" t="s">
        <v>141</v>
      </c>
    </row>
    <row r="8" spans="1:10" ht="15.75" x14ac:dyDescent="0.25">
      <c r="A8" s="17">
        <v>1</v>
      </c>
      <c r="B8" s="45" t="s">
        <v>96</v>
      </c>
      <c r="C8" s="19">
        <v>9092026</v>
      </c>
      <c r="D8" s="52" t="s">
        <v>97</v>
      </c>
      <c r="E8" s="52" t="s">
        <v>98</v>
      </c>
      <c r="F8" s="18" t="s">
        <v>16</v>
      </c>
      <c r="G8" s="61"/>
    </row>
    <row r="9" spans="1:10" ht="15.75" x14ac:dyDescent="0.25">
      <c r="A9" s="17">
        <v>2</v>
      </c>
      <c r="B9" s="60" t="s">
        <v>99</v>
      </c>
      <c r="C9" s="19">
        <v>9092026</v>
      </c>
      <c r="D9" s="18" t="s">
        <v>100</v>
      </c>
      <c r="E9" s="18" t="s">
        <v>101</v>
      </c>
      <c r="F9" s="18" t="s">
        <v>16</v>
      </c>
      <c r="G9" s="61"/>
    </row>
    <row r="10" spans="1:10" ht="15.75" x14ac:dyDescent="0.25">
      <c r="A10" s="17">
        <v>3</v>
      </c>
      <c r="B10" s="60" t="s">
        <v>102</v>
      </c>
      <c r="C10" s="19">
        <v>9092026</v>
      </c>
      <c r="D10" s="18" t="s">
        <v>103</v>
      </c>
      <c r="E10" s="18" t="s">
        <v>104</v>
      </c>
      <c r="F10" s="18" t="s">
        <v>16</v>
      </c>
      <c r="G10" s="61"/>
    </row>
    <row r="11" spans="1:10" ht="15.75" x14ac:dyDescent="0.25">
      <c r="A11" s="17">
        <v>4</v>
      </c>
      <c r="B11" s="60" t="s">
        <v>105</v>
      </c>
      <c r="C11" s="19">
        <v>9092026</v>
      </c>
      <c r="D11" s="18" t="s">
        <v>340</v>
      </c>
      <c r="E11" s="18" t="s">
        <v>107</v>
      </c>
      <c r="F11" s="18" t="s">
        <v>70</v>
      </c>
      <c r="G11" s="61">
        <v>46262</v>
      </c>
    </row>
    <row r="12" spans="1:10" ht="15.75" x14ac:dyDescent="0.25">
      <c r="A12" s="17">
        <v>5</v>
      </c>
      <c r="B12" s="60" t="s">
        <v>108</v>
      </c>
      <c r="C12" s="19">
        <v>9092026</v>
      </c>
      <c r="D12" s="18" t="s">
        <v>109</v>
      </c>
      <c r="E12" s="18" t="s">
        <v>110</v>
      </c>
      <c r="F12" s="18" t="s">
        <v>70</v>
      </c>
      <c r="G12" s="61"/>
    </row>
    <row r="13" spans="1:10" ht="15.75" x14ac:dyDescent="0.25">
      <c r="A13" s="17">
        <v>6</v>
      </c>
      <c r="B13" s="60" t="s">
        <v>111</v>
      </c>
      <c r="C13" s="64"/>
      <c r="D13" s="18" t="s">
        <v>112</v>
      </c>
      <c r="E13" s="18">
        <v>313157</v>
      </c>
      <c r="F13" s="18">
        <v>40</v>
      </c>
      <c r="G13" s="61"/>
    </row>
    <row r="14" spans="1:10" ht="15.75" x14ac:dyDescent="0.25">
      <c r="A14" s="17">
        <v>7</v>
      </c>
      <c r="B14" s="60" t="s">
        <v>113</v>
      </c>
      <c r="C14" s="19">
        <v>9092026</v>
      </c>
      <c r="D14" s="24" t="s">
        <v>114</v>
      </c>
      <c r="E14" s="18" t="s">
        <v>115</v>
      </c>
      <c r="F14" s="18" t="s">
        <v>16</v>
      </c>
      <c r="G14" s="61"/>
    </row>
    <row r="15" spans="1:10" ht="15.75" x14ac:dyDescent="0.25">
      <c r="A15" s="17">
        <v>8</v>
      </c>
      <c r="B15" s="100" t="s">
        <v>116</v>
      </c>
      <c r="C15" s="64"/>
      <c r="D15" s="24" t="s">
        <v>117</v>
      </c>
      <c r="E15" s="18" t="s">
        <v>118</v>
      </c>
      <c r="F15" s="18" t="s">
        <v>17</v>
      </c>
      <c r="G15" s="61"/>
    </row>
    <row r="16" spans="1:10" ht="15.75" x14ac:dyDescent="0.25">
      <c r="A16" s="17">
        <v>9</v>
      </c>
      <c r="B16" s="101"/>
      <c r="C16" s="64"/>
      <c r="D16" s="24" t="s">
        <v>119</v>
      </c>
      <c r="E16" s="18" t="s">
        <v>120</v>
      </c>
      <c r="F16" s="18" t="s">
        <v>16</v>
      </c>
      <c r="G16" s="61"/>
    </row>
    <row r="17" spans="1:13" ht="15.75" x14ac:dyDescent="0.25">
      <c r="A17" s="17">
        <v>10</v>
      </c>
      <c r="B17" s="101"/>
      <c r="C17" s="64"/>
      <c r="D17" s="18" t="s">
        <v>121</v>
      </c>
      <c r="E17" s="18" t="s">
        <v>122</v>
      </c>
      <c r="F17" s="18" t="s">
        <v>16</v>
      </c>
      <c r="G17" s="61"/>
    </row>
    <row r="18" spans="1:13" ht="15.75" x14ac:dyDescent="0.25">
      <c r="A18" s="17">
        <v>11</v>
      </c>
      <c r="B18" s="101"/>
      <c r="C18" s="64"/>
      <c r="D18" s="18" t="s">
        <v>123</v>
      </c>
      <c r="E18" s="18" t="s">
        <v>124</v>
      </c>
      <c r="F18" s="18" t="s">
        <v>16</v>
      </c>
      <c r="G18" s="61"/>
    </row>
    <row r="19" spans="1:13" ht="15.75" x14ac:dyDescent="0.25">
      <c r="A19" s="17">
        <v>12</v>
      </c>
      <c r="B19" s="101"/>
      <c r="C19" s="19">
        <v>9092026</v>
      </c>
      <c r="D19" s="18" t="s">
        <v>125</v>
      </c>
      <c r="E19" s="18" t="s">
        <v>126</v>
      </c>
      <c r="F19" s="18" t="s">
        <v>70</v>
      </c>
      <c r="G19" s="61"/>
    </row>
    <row r="20" spans="1:13" ht="15.75" x14ac:dyDescent="0.25">
      <c r="A20" s="17">
        <v>13</v>
      </c>
      <c r="B20" s="102"/>
      <c r="C20" s="19">
        <v>9092026</v>
      </c>
      <c r="D20" s="18" t="s">
        <v>127</v>
      </c>
      <c r="E20" s="18" t="s">
        <v>128</v>
      </c>
      <c r="F20" s="18">
        <v>40</v>
      </c>
      <c r="G20" s="61"/>
    </row>
    <row r="21" spans="1:13" ht="15.75" x14ac:dyDescent="0.25">
      <c r="A21" s="17">
        <v>14</v>
      </c>
      <c r="B21" s="60" t="s">
        <v>129</v>
      </c>
      <c r="C21" s="19">
        <v>9092026</v>
      </c>
      <c r="D21" s="18" t="s">
        <v>130</v>
      </c>
      <c r="E21" s="18" t="s">
        <v>131</v>
      </c>
      <c r="F21" s="18">
        <v>40</v>
      </c>
      <c r="G21" s="61"/>
    </row>
    <row r="22" spans="1:13" ht="15.75" x14ac:dyDescent="0.25">
      <c r="A22" s="17">
        <v>15</v>
      </c>
      <c r="B22" s="60" t="s">
        <v>132</v>
      </c>
      <c r="C22" s="19">
        <v>9092026</v>
      </c>
      <c r="D22" s="24" t="s">
        <v>133</v>
      </c>
      <c r="E22" s="24" t="s">
        <v>134</v>
      </c>
      <c r="F22" s="18">
        <v>40</v>
      </c>
      <c r="G22" s="61"/>
    </row>
    <row r="23" spans="1:13" ht="15.75" x14ac:dyDescent="0.25">
      <c r="A23" s="17">
        <v>16</v>
      </c>
      <c r="B23" s="60" t="s">
        <v>135</v>
      </c>
      <c r="C23" s="19">
        <v>9092026</v>
      </c>
      <c r="D23" s="24" t="s">
        <v>136</v>
      </c>
      <c r="E23" s="24" t="s">
        <v>137</v>
      </c>
      <c r="F23" s="18" t="s">
        <v>16</v>
      </c>
      <c r="G23" s="61"/>
    </row>
    <row r="24" spans="1:13" ht="15.75" x14ac:dyDescent="0.25">
      <c r="A24" s="17">
        <v>17</v>
      </c>
      <c r="B24" s="60" t="s">
        <v>138</v>
      </c>
      <c r="C24" s="64"/>
      <c r="D24" s="24" t="s">
        <v>139</v>
      </c>
      <c r="E24" s="24" t="s">
        <v>140</v>
      </c>
      <c r="F24" s="18">
        <v>20</v>
      </c>
      <c r="G24" s="61"/>
    </row>
    <row r="25" spans="1:13" ht="15.75" x14ac:dyDescent="0.25">
      <c r="A25" s="6"/>
      <c r="B25" s="20"/>
      <c r="C25" s="7"/>
      <c r="D25" s="26"/>
      <c r="E25" s="26"/>
      <c r="F25" s="26"/>
      <c r="G25" s="7"/>
    </row>
    <row r="26" spans="1:13" ht="15.75" x14ac:dyDescent="0.25">
      <c r="A26" s="6"/>
      <c r="B26" s="11" t="s">
        <v>20</v>
      </c>
    </row>
    <row r="27" spans="1:13" ht="15.75" thickBot="1" x14ac:dyDescent="0.3">
      <c r="A27" s="6"/>
      <c r="B27" s="13"/>
      <c r="C27" s="7"/>
      <c r="D27" s="7"/>
      <c r="E27" s="7"/>
      <c r="F27" s="7"/>
    </row>
    <row r="28" spans="1:13" x14ac:dyDescent="0.25">
      <c r="A28" s="14" t="s">
        <v>10</v>
      </c>
      <c r="B28" s="15" t="s">
        <v>21</v>
      </c>
      <c r="C28" s="15" t="s">
        <v>22</v>
      </c>
      <c r="D28" s="15" t="s">
        <v>13</v>
      </c>
      <c r="E28" s="15" t="s">
        <v>14</v>
      </c>
      <c r="F28" s="16" t="s">
        <v>15</v>
      </c>
    </row>
    <row r="29" spans="1:13" x14ac:dyDescent="0.25">
      <c r="A29" s="25">
        <v>1</v>
      </c>
      <c r="B29" s="19"/>
      <c r="C29" s="27"/>
      <c r="D29" s="28"/>
      <c r="E29" s="29"/>
      <c r="F29" s="25"/>
    </row>
    <row r="30" spans="1:13" ht="15.75" customHeight="1" x14ac:dyDescent="0.25">
      <c r="A30" s="25">
        <v>2</v>
      </c>
      <c r="B30" s="19"/>
      <c r="C30" s="29"/>
      <c r="D30" s="18"/>
      <c r="E30" s="58"/>
      <c r="F30" s="25"/>
      <c r="I30" s="31"/>
      <c r="J30" s="31"/>
      <c r="K30" s="31"/>
      <c r="L30" s="31"/>
      <c r="M30" s="31"/>
    </row>
    <row r="31" spans="1:13" ht="15.75" customHeight="1" x14ac:dyDescent="0.25">
      <c r="A31" s="35"/>
      <c r="B31" s="36"/>
      <c r="C31" s="37"/>
      <c r="D31"/>
      <c r="E31" s="38"/>
      <c r="F31" s="35"/>
    </row>
    <row r="32" spans="1:13" ht="15.75" x14ac:dyDescent="0.25">
      <c r="A32" s="6"/>
      <c r="B32" s="11" t="s">
        <v>23</v>
      </c>
      <c r="E32" s="7"/>
      <c r="F32" s="7"/>
    </row>
    <row r="33" spans="1:6" ht="15.75" thickBot="1" x14ac:dyDescent="0.3">
      <c r="A33" s="6"/>
      <c r="B33" s="13"/>
      <c r="C33" s="7"/>
      <c r="D33" s="7"/>
      <c r="E33" s="7"/>
      <c r="F33" s="7"/>
    </row>
    <row r="34" spans="1:6" x14ac:dyDescent="0.25">
      <c r="A34" s="14" t="s">
        <v>10</v>
      </c>
      <c r="B34" s="15" t="s">
        <v>24</v>
      </c>
      <c r="C34" s="15" t="s">
        <v>13</v>
      </c>
      <c r="D34" s="15" t="s">
        <v>25</v>
      </c>
      <c r="E34" s="15" t="s">
        <v>26</v>
      </c>
      <c r="F34" s="16" t="s">
        <v>15</v>
      </c>
    </row>
    <row r="35" spans="1:6" ht="15.75" customHeight="1" x14ac:dyDescent="0.25">
      <c r="A35" s="25">
        <v>1</v>
      </c>
      <c r="B35" s="19">
        <v>9092026</v>
      </c>
      <c r="C35" s="34" t="s">
        <v>94</v>
      </c>
      <c r="D35" s="34" t="s">
        <v>95</v>
      </c>
      <c r="E35" s="39">
        <v>3577</v>
      </c>
      <c r="F35" s="39">
        <v>40</v>
      </c>
    </row>
    <row r="36" spans="1:6" ht="15.75" customHeight="1" x14ac:dyDescent="0.25">
      <c r="A36" s="25">
        <v>2</v>
      </c>
      <c r="B36" s="19"/>
      <c r="C36" s="28"/>
      <c r="D36" s="34"/>
      <c r="E36" s="39"/>
      <c r="F36" s="39"/>
    </row>
    <row r="37" spans="1:6" ht="15.75" customHeight="1" x14ac:dyDescent="0.25">
      <c r="A37" s="25">
        <v>3</v>
      </c>
      <c r="B37" s="19"/>
      <c r="C37" s="29"/>
      <c r="D37" s="29"/>
      <c r="E37" s="39"/>
      <c r="F37" s="39"/>
    </row>
    <row r="38" spans="1:6" ht="15.75" customHeight="1" x14ac:dyDescent="0.25">
      <c r="A38" s="25">
        <v>4</v>
      </c>
      <c r="B38" s="19"/>
      <c r="C38" s="29"/>
      <c r="D38" s="29"/>
      <c r="E38" s="39"/>
      <c r="F38" s="39"/>
    </row>
    <row r="39" spans="1:6" ht="15.75" customHeight="1" x14ac:dyDescent="0.25">
      <c r="A39" s="25">
        <v>5</v>
      </c>
      <c r="B39" s="19"/>
      <c r="C39" s="18"/>
      <c r="D39" s="18"/>
      <c r="E39" s="39"/>
      <c r="F39" s="39"/>
    </row>
    <row r="40" spans="1:6" x14ac:dyDescent="0.25">
      <c r="A40" s="40">
        <v>6</v>
      </c>
      <c r="B40" s="19"/>
      <c r="C40" s="25"/>
      <c r="D40" s="32"/>
      <c r="E40" s="29"/>
      <c r="F40" s="29"/>
    </row>
    <row r="41" spans="1:6" x14ac:dyDescent="0.25">
      <c r="A41" s="40">
        <v>7</v>
      </c>
      <c r="B41" s="19"/>
      <c r="C41" s="29"/>
      <c r="D41" s="25"/>
      <c r="E41" s="29"/>
      <c r="F41" s="25"/>
    </row>
    <row r="42" spans="1:6" x14ac:dyDescent="0.25">
      <c r="F42" s="41"/>
    </row>
  </sheetData>
  <mergeCells count="2">
    <mergeCell ref="A3:H3"/>
    <mergeCell ref="B15:B20"/>
  </mergeCells>
  <dataValidations count="2">
    <dataValidation type="list" allowBlank="1" showInputMessage="1" showErrorMessage="1" sqref="F41 F25" xr:uid="{C60EBE37-60DD-4590-A805-1B082306F56F}">
      <formula1>"20,40,45,50"</formula1>
    </dataValidation>
    <dataValidation type="list" allowBlank="1" showInputMessage="1" showErrorMessage="1" sqref="F8:F24" xr:uid="{38E0B31F-E63B-4BBF-A034-5D91A0C57AEC}">
      <formula1>"20,40,45,50"</formula1>
      <formula2>0</formula2>
    </dataValidation>
  </dataValidations>
  <pageMargins left="0.11811023622047245" right="0.11811023622047245" top="0.74803149606299213" bottom="0.74803149606299213" header="0.31496062992125984" footer="0.31496062992125984"/>
  <pageSetup paperSize="9"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81CCA-C2A4-4E26-88A6-3C25B115BC82}">
  <dimension ref="A1:M44"/>
  <sheetViews>
    <sheetView workbookViewId="0">
      <selection activeCell="F1" sqref="F1:J2"/>
    </sheetView>
  </sheetViews>
  <sheetFormatPr baseColWidth="10" defaultRowHeight="15" x14ac:dyDescent="0.25"/>
  <cols>
    <col min="1" max="1" width="3.140625" style="21" bestFit="1" customWidth="1"/>
    <col min="2" max="2" width="15.5703125" style="21" bestFit="1" customWidth="1"/>
    <col min="3" max="3" width="19.28515625" style="21" customWidth="1"/>
    <col min="4" max="4" width="19.140625" style="21" customWidth="1"/>
    <col min="5" max="5" width="14.28515625" style="21" customWidth="1"/>
    <col min="6" max="6" width="13.85546875" style="21" bestFit="1" customWidth="1"/>
    <col min="7" max="7" width="12.140625" style="21" bestFit="1" customWidth="1"/>
    <col min="8" max="10" width="11.42578125" style="21"/>
    <col min="11" max="11" width="14.7109375" style="21" bestFit="1" customWidth="1"/>
    <col min="12" max="16384" width="11.42578125" style="21"/>
  </cols>
  <sheetData>
    <row r="1" spans="1:10" s="7" customFormat="1" ht="15.75" x14ac:dyDescent="0.25">
      <c r="A1" s="6"/>
      <c r="H1" s="8">
        <f>COUNTIF(C8:C17,"&lt;&gt;")</f>
        <v>7</v>
      </c>
      <c r="I1" s="9" t="s">
        <v>6</v>
      </c>
    </row>
    <row r="2" spans="1:10" s="7" customFormat="1" ht="15.75" x14ac:dyDescent="0.25">
      <c r="A2" s="6"/>
      <c r="F2" s="8">
        <f>COUNTIFS(B22:B31,"&lt;&gt;",C22:C31,"VH")</f>
        <v>0</v>
      </c>
      <c r="G2" s="9" t="s">
        <v>7</v>
      </c>
      <c r="H2" s="8">
        <f>COUNTA(C22:C31)-F2</f>
        <v>1</v>
      </c>
      <c r="I2" s="9" t="s">
        <v>6</v>
      </c>
      <c r="J2" s="10">
        <f>COUNTIF(E22:E31,"VIDE")</f>
        <v>0</v>
      </c>
    </row>
    <row r="3" spans="1:10" s="7" customFormat="1" ht="25.5" x14ac:dyDescent="0.25">
      <c r="A3" s="99" t="s">
        <v>8</v>
      </c>
      <c r="B3" s="99"/>
      <c r="C3" s="99"/>
      <c r="D3" s="99"/>
      <c r="E3" s="99"/>
      <c r="F3" s="99"/>
      <c r="G3" s="99"/>
      <c r="H3" s="99"/>
    </row>
    <row r="4" spans="1:10" s="7" customFormat="1" ht="12.75" x14ac:dyDescent="0.25">
      <c r="A4" s="6"/>
    </row>
    <row r="5" spans="1:10" s="7" customFormat="1" ht="15.75" x14ac:dyDescent="0.25">
      <c r="A5" s="6"/>
      <c r="B5" s="11" t="s">
        <v>9</v>
      </c>
      <c r="G5" s="12">
        <v>46275</v>
      </c>
    </row>
    <row r="6" spans="1:10" s="7" customFormat="1" thickBot="1" x14ac:dyDescent="0.3">
      <c r="A6" s="6"/>
      <c r="B6" s="13"/>
    </row>
    <row r="7" spans="1:10" s="7" customFormat="1" ht="14.25" x14ac:dyDescent="0.25">
      <c r="A7" s="14" t="s">
        <v>10</v>
      </c>
      <c r="B7" s="15" t="s">
        <v>11</v>
      </c>
      <c r="C7" s="15" t="s">
        <v>12</v>
      </c>
      <c r="D7" s="15" t="s">
        <v>13</v>
      </c>
      <c r="E7" s="15" t="s">
        <v>14</v>
      </c>
      <c r="F7" s="16" t="s">
        <v>15</v>
      </c>
      <c r="G7" s="16" t="s">
        <v>141</v>
      </c>
    </row>
    <row r="8" spans="1:10" x14ac:dyDescent="0.25">
      <c r="A8" s="17">
        <v>1</v>
      </c>
      <c r="B8" s="53" t="s">
        <v>138</v>
      </c>
      <c r="C8" s="19">
        <v>10092026</v>
      </c>
      <c r="D8" s="24" t="s">
        <v>139</v>
      </c>
      <c r="E8" s="24" t="s">
        <v>140</v>
      </c>
      <c r="F8" s="18">
        <v>20</v>
      </c>
      <c r="G8" s="62" t="s">
        <v>147</v>
      </c>
    </row>
    <row r="9" spans="1:10" ht="15.75" x14ac:dyDescent="0.25">
      <c r="A9" s="17">
        <v>2</v>
      </c>
      <c r="B9" s="103" t="s">
        <v>142</v>
      </c>
      <c r="C9" s="19">
        <v>10092026</v>
      </c>
      <c r="D9" s="18" t="s">
        <v>143</v>
      </c>
      <c r="E9" s="23" t="s">
        <v>144</v>
      </c>
      <c r="F9" s="18" t="s">
        <v>16</v>
      </c>
      <c r="G9" s="61"/>
    </row>
    <row r="10" spans="1:10" ht="15.75" x14ac:dyDescent="0.25">
      <c r="A10" s="17">
        <v>3</v>
      </c>
      <c r="B10" s="103"/>
      <c r="C10" s="19">
        <v>10092026</v>
      </c>
      <c r="D10" s="18" t="s">
        <v>145</v>
      </c>
      <c r="E10" s="18" t="s">
        <v>146</v>
      </c>
      <c r="F10" s="18" t="s">
        <v>16</v>
      </c>
      <c r="G10" s="61"/>
    </row>
    <row r="11" spans="1:10" x14ac:dyDescent="0.25">
      <c r="A11" s="17">
        <v>4</v>
      </c>
      <c r="B11" s="103" t="s">
        <v>116</v>
      </c>
      <c r="C11" s="19">
        <v>10092026</v>
      </c>
      <c r="D11" s="18" t="s">
        <v>117</v>
      </c>
      <c r="E11" s="18" t="s">
        <v>118</v>
      </c>
      <c r="F11" s="18">
        <v>20</v>
      </c>
      <c r="G11" s="62" t="s">
        <v>147</v>
      </c>
    </row>
    <row r="12" spans="1:10" x14ac:dyDescent="0.25">
      <c r="A12" s="17">
        <v>5</v>
      </c>
      <c r="B12" s="103"/>
      <c r="C12" s="19">
        <v>10092026</v>
      </c>
      <c r="D12" s="18" t="s">
        <v>119</v>
      </c>
      <c r="E12" s="18" t="s">
        <v>120</v>
      </c>
      <c r="F12" s="18" t="s">
        <v>16</v>
      </c>
      <c r="G12" s="62" t="s">
        <v>147</v>
      </c>
    </row>
    <row r="13" spans="1:10" x14ac:dyDescent="0.25">
      <c r="A13" s="17">
        <v>6</v>
      </c>
      <c r="B13" s="103"/>
      <c r="C13" s="19">
        <v>10092026</v>
      </c>
      <c r="D13" s="18" t="s">
        <v>121</v>
      </c>
      <c r="E13" s="18" t="s">
        <v>122</v>
      </c>
      <c r="F13" s="18" t="s">
        <v>16</v>
      </c>
      <c r="G13" s="62" t="s">
        <v>147</v>
      </c>
    </row>
    <row r="14" spans="1:10" x14ac:dyDescent="0.25">
      <c r="A14" s="17">
        <v>7</v>
      </c>
      <c r="B14" s="103"/>
      <c r="C14" s="19">
        <v>10092026</v>
      </c>
      <c r="D14" s="24" t="s">
        <v>123</v>
      </c>
      <c r="E14" s="24" t="s">
        <v>124</v>
      </c>
      <c r="F14" s="18" t="s">
        <v>16</v>
      </c>
      <c r="G14" s="62" t="s">
        <v>147</v>
      </c>
    </row>
    <row r="15" spans="1:10" x14ac:dyDescent="0.25">
      <c r="A15" s="17"/>
      <c r="B15" s="53"/>
      <c r="C15" s="19"/>
      <c r="D15" s="24"/>
      <c r="E15" s="24"/>
      <c r="F15" s="18"/>
      <c r="G15" s="62"/>
    </row>
    <row r="16" spans="1:10" x14ac:dyDescent="0.25">
      <c r="A16" s="17"/>
      <c r="B16" s="53"/>
      <c r="C16" s="19"/>
      <c r="D16" s="24"/>
      <c r="E16" s="24"/>
      <c r="F16" s="18"/>
      <c r="G16" s="62"/>
    </row>
    <row r="17" spans="1:13" ht="15.75" x14ac:dyDescent="0.25">
      <c r="A17" s="17">
        <v>8</v>
      </c>
      <c r="B17" s="42"/>
      <c r="C17" s="19"/>
      <c r="D17" s="24"/>
      <c r="E17" s="23"/>
      <c r="F17" s="18"/>
      <c r="G17" s="61"/>
    </row>
    <row r="18" spans="1:13" ht="15.75" x14ac:dyDescent="0.25">
      <c r="A18" s="6"/>
      <c r="B18" s="20"/>
      <c r="C18" s="7"/>
      <c r="D18" s="26"/>
      <c r="E18" s="26"/>
      <c r="F18" s="26"/>
      <c r="G18" s="7"/>
    </row>
    <row r="19" spans="1:13" ht="15.75" x14ac:dyDescent="0.25">
      <c r="A19" s="6"/>
      <c r="B19" s="11" t="s">
        <v>20</v>
      </c>
    </row>
    <row r="20" spans="1:13" ht="15.75" thickBot="1" x14ac:dyDescent="0.3">
      <c r="A20" s="6"/>
      <c r="B20" s="13"/>
      <c r="C20" s="7"/>
      <c r="D20" s="7"/>
      <c r="E20" s="7"/>
      <c r="F20" s="7"/>
    </row>
    <row r="21" spans="1:13" x14ac:dyDescent="0.25">
      <c r="A21" s="14" t="s">
        <v>10</v>
      </c>
      <c r="B21" s="15" t="s">
        <v>21</v>
      </c>
      <c r="C21" s="15" t="s">
        <v>22</v>
      </c>
      <c r="D21" s="15" t="s">
        <v>13</v>
      </c>
      <c r="E21" s="15" t="s">
        <v>14</v>
      </c>
      <c r="F21" s="16" t="s">
        <v>15</v>
      </c>
    </row>
    <row r="22" spans="1:13" x14ac:dyDescent="0.25">
      <c r="A22" s="25">
        <v>1</v>
      </c>
      <c r="B22" s="19">
        <v>10092026</v>
      </c>
      <c r="C22" s="27" t="s">
        <v>152</v>
      </c>
      <c r="D22" s="34" t="s">
        <v>94</v>
      </c>
      <c r="E22" s="29">
        <v>3577</v>
      </c>
      <c r="F22" s="25">
        <v>40</v>
      </c>
    </row>
    <row r="23" spans="1:13" ht="15.75" customHeight="1" x14ac:dyDescent="0.25">
      <c r="A23" s="25">
        <v>2</v>
      </c>
      <c r="B23" s="19"/>
      <c r="C23" s="29"/>
      <c r="D23" s="18"/>
      <c r="E23" s="58"/>
      <c r="F23" s="25"/>
      <c r="I23" s="31"/>
      <c r="J23" s="31"/>
      <c r="K23" s="31"/>
      <c r="L23" s="31"/>
      <c r="M23" s="31"/>
    </row>
    <row r="24" spans="1:13" ht="15.75" customHeight="1" x14ac:dyDescent="0.25">
      <c r="A24" s="25">
        <v>3</v>
      </c>
      <c r="B24" s="19"/>
      <c r="C24" s="27"/>
      <c r="D24" s="18"/>
      <c r="E24" s="58"/>
      <c r="F24" s="25"/>
      <c r="I24" s="31"/>
      <c r="J24" s="31"/>
      <c r="K24" s="31"/>
      <c r="L24" s="31"/>
      <c r="M24" s="31"/>
    </row>
    <row r="25" spans="1:13" ht="15.75" customHeight="1" x14ac:dyDescent="0.25">
      <c r="A25" s="25">
        <v>4</v>
      </c>
      <c r="B25" s="19"/>
      <c r="C25" s="29"/>
      <c r="D25" s="18"/>
      <c r="E25" s="23"/>
      <c r="F25" s="25"/>
      <c r="I25" s="31"/>
      <c r="J25" s="31"/>
      <c r="K25" s="31"/>
      <c r="L25" s="31"/>
      <c r="M25" s="31"/>
    </row>
    <row r="26" spans="1:13" ht="15.75" customHeight="1" x14ac:dyDescent="0.25">
      <c r="A26" s="25">
        <v>5</v>
      </c>
      <c r="B26" s="19"/>
      <c r="C26" s="29"/>
      <c r="D26" s="18"/>
      <c r="E26" s="59"/>
      <c r="F26" s="25"/>
      <c r="I26" s="31"/>
      <c r="J26" s="31"/>
      <c r="K26" s="31"/>
      <c r="L26" s="31"/>
      <c r="M26" s="31"/>
    </row>
    <row r="27" spans="1:13" ht="15.75" customHeight="1" x14ac:dyDescent="0.25">
      <c r="A27" s="25">
        <v>6</v>
      </c>
      <c r="B27" s="19"/>
      <c r="C27" s="27"/>
      <c r="D27" s="18"/>
      <c r="E27" s="23"/>
      <c r="F27" s="25"/>
      <c r="I27" s="31"/>
      <c r="J27" s="31"/>
      <c r="K27" s="31"/>
      <c r="L27" s="31"/>
      <c r="M27" s="31"/>
    </row>
    <row r="28" spans="1:13" ht="15.75" customHeight="1" x14ac:dyDescent="0.25">
      <c r="A28" s="25">
        <v>7</v>
      </c>
      <c r="B28" s="19"/>
      <c r="C28" s="29"/>
      <c r="D28" s="24"/>
      <c r="E28" s="23"/>
      <c r="F28" s="25"/>
      <c r="I28" s="31"/>
      <c r="J28" s="31"/>
      <c r="K28" s="31"/>
      <c r="L28" s="31"/>
      <c r="M28" s="31"/>
    </row>
    <row r="29" spans="1:13" x14ac:dyDescent="0.25">
      <c r="A29" s="25">
        <v>8</v>
      </c>
      <c r="B29" s="19"/>
      <c r="C29" s="27"/>
      <c r="D29" s="34"/>
      <c r="E29" s="30"/>
      <c r="F29" s="25"/>
    </row>
    <row r="30" spans="1:13" x14ac:dyDescent="0.25">
      <c r="A30" s="25">
        <v>9</v>
      </c>
      <c r="B30" s="19"/>
      <c r="C30" s="27"/>
      <c r="D30" s="28"/>
      <c r="E30" s="30"/>
      <c r="F30" s="25"/>
    </row>
    <row r="31" spans="1:13" x14ac:dyDescent="0.25">
      <c r="A31" s="25">
        <v>10</v>
      </c>
      <c r="B31" s="19"/>
      <c r="C31" s="33"/>
      <c r="D31" s="34"/>
      <c r="E31" s="30"/>
      <c r="F31" s="25"/>
    </row>
    <row r="32" spans="1:13" ht="15.75" customHeight="1" x14ac:dyDescent="0.25">
      <c r="A32" s="25">
        <v>11</v>
      </c>
      <c r="B32" s="19"/>
      <c r="C32" s="33"/>
      <c r="D32" s="46"/>
      <c r="E32" s="30"/>
      <c r="F32" s="25"/>
    </row>
    <row r="33" spans="1:6" ht="15.75" customHeight="1" x14ac:dyDescent="0.25">
      <c r="A33" s="35"/>
      <c r="B33" s="36"/>
      <c r="C33" s="37"/>
      <c r="D33"/>
      <c r="E33" s="38"/>
      <c r="F33" s="35"/>
    </row>
    <row r="34" spans="1:6" ht="15.75" x14ac:dyDescent="0.25">
      <c r="A34" s="6"/>
      <c r="B34" s="11" t="s">
        <v>23</v>
      </c>
      <c r="E34" s="7"/>
      <c r="F34" s="7"/>
    </row>
    <row r="35" spans="1:6" ht="15.75" thickBot="1" x14ac:dyDescent="0.3">
      <c r="A35" s="6"/>
      <c r="B35" s="13"/>
      <c r="C35" s="7"/>
      <c r="D35" s="7"/>
      <c r="E35" s="7"/>
      <c r="F35" s="7"/>
    </row>
    <row r="36" spans="1:6" x14ac:dyDescent="0.25">
      <c r="A36" s="14" t="s">
        <v>10</v>
      </c>
      <c r="B36" s="15" t="s">
        <v>24</v>
      </c>
      <c r="C36" s="15" t="s">
        <v>13</v>
      </c>
      <c r="D36" s="15" t="s">
        <v>25</v>
      </c>
      <c r="E36" s="15" t="s">
        <v>26</v>
      </c>
      <c r="F36" s="16" t="s">
        <v>15</v>
      </c>
    </row>
    <row r="37" spans="1:6" ht="15.75" customHeight="1" x14ac:dyDescent="0.25">
      <c r="A37" s="25">
        <v>1</v>
      </c>
      <c r="B37" s="19">
        <v>10092026</v>
      </c>
      <c r="C37" s="24" t="s">
        <v>148</v>
      </c>
      <c r="D37" s="24" t="s">
        <v>149</v>
      </c>
      <c r="E37" s="39">
        <v>3552</v>
      </c>
      <c r="F37" s="39">
        <v>40</v>
      </c>
    </row>
    <row r="38" spans="1:6" ht="15.75" customHeight="1" x14ac:dyDescent="0.25">
      <c r="A38" s="25">
        <v>2</v>
      </c>
      <c r="B38" s="19">
        <v>10092026</v>
      </c>
      <c r="C38" s="18" t="s">
        <v>150</v>
      </c>
      <c r="D38" s="18" t="s">
        <v>151</v>
      </c>
      <c r="E38" s="39">
        <v>3551</v>
      </c>
      <c r="F38" s="39">
        <v>40</v>
      </c>
    </row>
    <row r="39" spans="1:6" ht="15.75" customHeight="1" x14ac:dyDescent="0.25">
      <c r="A39" s="25">
        <v>3</v>
      </c>
      <c r="B39" s="19"/>
      <c r="C39" s="29"/>
      <c r="D39" s="29"/>
      <c r="E39" s="39"/>
      <c r="F39" s="39"/>
    </row>
    <row r="40" spans="1:6" ht="15.75" customHeight="1" x14ac:dyDescent="0.25">
      <c r="A40" s="25">
        <v>4</v>
      </c>
      <c r="B40" s="19"/>
      <c r="C40" s="29"/>
      <c r="D40" s="29"/>
      <c r="E40" s="39"/>
      <c r="F40" s="39"/>
    </row>
    <row r="41" spans="1:6" ht="15.75" customHeight="1" x14ac:dyDescent="0.25">
      <c r="A41" s="25">
        <v>5</v>
      </c>
      <c r="B41" s="19"/>
      <c r="C41" s="18"/>
      <c r="D41" s="18"/>
      <c r="E41" s="39"/>
      <c r="F41" s="39"/>
    </row>
    <row r="42" spans="1:6" x14ac:dyDescent="0.25">
      <c r="A42" s="40">
        <v>6</v>
      </c>
      <c r="B42" s="19"/>
      <c r="C42" s="25"/>
      <c r="D42" s="32"/>
      <c r="E42" s="29"/>
      <c r="F42" s="29"/>
    </row>
    <row r="43" spans="1:6" x14ac:dyDescent="0.25">
      <c r="A43" s="40">
        <v>7</v>
      </c>
      <c r="B43" s="19"/>
      <c r="C43" s="29"/>
      <c r="D43" s="25"/>
      <c r="E43" s="29"/>
      <c r="F43" s="25"/>
    </row>
    <row r="44" spans="1:6" x14ac:dyDescent="0.25">
      <c r="F44" s="41"/>
    </row>
  </sheetData>
  <mergeCells count="3">
    <mergeCell ref="A3:H3"/>
    <mergeCell ref="B9:B10"/>
    <mergeCell ref="B11:B14"/>
  </mergeCells>
  <dataValidations count="2">
    <dataValidation type="list" allowBlank="1" showInputMessage="1" showErrorMessage="1" sqref="F43 F18" xr:uid="{2C76199B-A1FF-4695-A4B3-E9AFCFD4BC11}">
      <formula1>"20,40,45,50"</formula1>
    </dataValidation>
    <dataValidation type="list" allowBlank="1" showInputMessage="1" showErrorMessage="1" sqref="F8:F17" xr:uid="{6AE38A2C-D536-43A6-874D-A17F73BC6B4C}">
      <formula1>"20,40,45,50"</formula1>
      <formula2>0</formula2>
    </dataValidation>
  </dataValidations>
  <pageMargins left="0.11811023622047245" right="0.11811023622047245" top="0.74803149606299213" bottom="0.74803149606299213" header="0.31496062992125984" footer="0.31496062992125984"/>
  <pageSetup paperSize="9" orientation="portrait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8F5FD-19B1-4E48-8880-94629C3B00D2}">
  <dimension ref="A1:O44"/>
  <sheetViews>
    <sheetView workbookViewId="0">
      <selection activeCell="F37" activeCellId="2" sqref="C37:C39 E37:E39 F37:F39"/>
    </sheetView>
  </sheetViews>
  <sheetFormatPr baseColWidth="10" defaultRowHeight="15" x14ac:dyDescent="0.25"/>
  <cols>
    <col min="1" max="1" width="3.140625" style="21" bestFit="1" customWidth="1"/>
    <col min="2" max="2" width="15.5703125" style="21" bestFit="1" customWidth="1"/>
    <col min="3" max="3" width="19.28515625" style="21" customWidth="1"/>
    <col min="4" max="4" width="17.7109375" style="21" customWidth="1"/>
    <col min="5" max="5" width="14.28515625" style="21" customWidth="1"/>
    <col min="6" max="6" width="13.85546875" style="21" bestFit="1" customWidth="1"/>
    <col min="7" max="7" width="12.140625" style="21" bestFit="1" customWidth="1"/>
    <col min="8" max="10" width="11.42578125" style="21"/>
    <col min="11" max="11" width="14.7109375" style="21" bestFit="1" customWidth="1"/>
    <col min="12" max="16384" width="11.42578125" style="21"/>
  </cols>
  <sheetData>
    <row r="1" spans="1:10" s="7" customFormat="1" ht="15.75" x14ac:dyDescent="0.25">
      <c r="A1" s="6"/>
      <c r="H1" s="8">
        <f>COUNTIF(C8:C17,"&lt;&gt;")</f>
        <v>0</v>
      </c>
      <c r="I1" s="9" t="s">
        <v>6</v>
      </c>
    </row>
    <row r="2" spans="1:10" s="7" customFormat="1" ht="15.75" x14ac:dyDescent="0.25">
      <c r="A2" s="6"/>
      <c r="F2" s="8">
        <f>COUNTIFS(B22:B31,"&lt;&gt;",C22:C31,"VH")</f>
        <v>0</v>
      </c>
      <c r="G2" s="9" t="s">
        <v>7</v>
      </c>
      <c r="H2" s="8">
        <f>COUNTA(C22:C31)-F2</f>
        <v>2</v>
      </c>
      <c r="I2" s="9" t="s">
        <v>6</v>
      </c>
      <c r="J2" s="10">
        <f>COUNTIF(E22:E31,"VIDE")</f>
        <v>0</v>
      </c>
    </row>
    <row r="3" spans="1:10" s="7" customFormat="1" ht="25.5" x14ac:dyDescent="0.25">
      <c r="A3" s="99" t="s">
        <v>8</v>
      </c>
      <c r="B3" s="99"/>
      <c r="C3" s="99"/>
      <c r="D3" s="99"/>
      <c r="E3" s="99"/>
      <c r="F3" s="99"/>
      <c r="G3" s="99"/>
      <c r="H3" s="99"/>
    </row>
    <row r="4" spans="1:10" s="7" customFormat="1" ht="12.75" x14ac:dyDescent="0.25">
      <c r="A4" s="6"/>
    </row>
    <row r="5" spans="1:10" s="7" customFormat="1" ht="15.75" x14ac:dyDescent="0.25">
      <c r="A5" s="6"/>
      <c r="B5" s="11" t="s">
        <v>9</v>
      </c>
      <c r="G5" s="12">
        <v>46278</v>
      </c>
    </row>
    <row r="6" spans="1:10" s="7" customFormat="1" thickBot="1" x14ac:dyDescent="0.3">
      <c r="A6" s="6"/>
      <c r="B6" s="13"/>
    </row>
    <row r="7" spans="1:10" s="7" customFormat="1" ht="14.25" x14ac:dyDescent="0.25">
      <c r="A7" s="14" t="s">
        <v>10</v>
      </c>
      <c r="B7" s="15" t="s">
        <v>11</v>
      </c>
      <c r="C7" s="15" t="s">
        <v>12</v>
      </c>
      <c r="D7" s="15" t="s">
        <v>13</v>
      </c>
      <c r="E7" s="15" t="s">
        <v>14</v>
      </c>
      <c r="F7" s="16" t="s">
        <v>15</v>
      </c>
    </row>
    <row r="8" spans="1:10" x14ac:dyDescent="0.25">
      <c r="A8" s="17">
        <v>1</v>
      </c>
      <c r="B8" s="53"/>
      <c r="C8" s="19"/>
      <c r="D8" s="24"/>
      <c r="E8" s="24"/>
      <c r="F8" s="18"/>
    </row>
    <row r="9" spans="1:10" x14ac:dyDescent="0.25">
      <c r="A9" s="17">
        <v>2</v>
      </c>
      <c r="B9" s="63"/>
      <c r="C9" s="19"/>
      <c r="D9" s="18"/>
      <c r="E9" s="23"/>
      <c r="F9" s="18"/>
    </row>
    <row r="10" spans="1:10" x14ac:dyDescent="0.25">
      <c r="A10" s="17">
        <v>3</v>
      </c>
      <c r="B10" s="63"/>
      <c r="C10" s="19"/>
      <c r="D10" s="18"/>
      <c r="E10" s="18"/>
      <c r="F10" s="18"/>
    </row>
    <row r="11" spans="1:10" x14ac:dyDescent="0.25">
      <c r="A11" s="17">
        <v>4</v>
      </c>
      <c r="B11" s="63"/>
      <c r="C11" s="19"/>
      <c r="D11" s="18"/>
      <c r="E11" s="18"/>
      <c r="F11" s="18"/>
    </row>
    <row r="12" spans="1:10" x14ac:dyDescent="0.25">
      <c r="A12" s="17">
        <v>5</v>
      </c>
      <c r="B12" s="63"/>
      <c r="C12" s="19"/>
      <c r="D12" s="18"/>
      <c r="E12" s="18"/>
      <c r="F12" s="18"/>
    </row>
    <row r="13" spans="1:10" x14ac:dyDescent="0.25">
      <c r="A13" s="17">
        <v>6</v>
      </c>
      <c r="B13" s="63"/>
      <c r="C13" s="19"/>
      <c r="D13" s="18"/>
      <c r="E13" s="18"/>
      <c r="F13" s="18"/>
    </row>
    <row r="14" spans="1:10" x14ac:dyDescent="0.25">
      <c r="A14" s="17">
        <v>7</v>
      </c>
      <c r="B14" s="63"/>
      <c r="C14" s="19"/>
      <c r="D14" s="24"/>
      <c r="E14" s="24"/>
      <c r="F14" s="18"/>
    </row>
    <row r="15" spans="1:10" x14ac:dyDescent="0.25">
      <c r="A15" s="17"/>
      <c r="B15" s="53"/>
      <c r="C15" s="19"/>
      <c r="D15" s="24"/>
      <c r="E15" s="24"/>
      <c r="F15" s="18"/>
    </row>
    <row r="16" spans="1:10" x14ac:dyDescent="0.25">
      <c r="A16" s="17"/>
      <c r="B16" s="53"/>
      <c r="C16" s="19"/>
      <c r="D16" s="24"/>
      <c r="E16" s="24"/>
      <c r="F16" s="18"/>
    </row>
    <row r="17" spans="1:15" x14ac:dyDescent="0.25">
      <c r="A17" s="17">
        <v>8</v>
      </c>
      <c r="B17" s="42"/>
      <c r="C17" s="19"/>
      <c r="D17" s="24"/>
      <c r="E17" s="23"/>
      <c r="F17" s="18"/>
    </row>
    <row r="18" spans="1:15" ht="15.75" x14ac:dyDescent="0.25">
      <c r="A18" s="6"/>
      <c r="B18" s="20"/>
      <c r="C18" s="7"/>
      <c r="D18" s="26"/>
      <c r="E18" s="26"/>
      <c r="F18" s="26"/>
      <c r="G18" s="7"/>
    </row>
    <row r="19" spans="1:15" ht="15.75" x14ac:dyDescent="0.25">
      <c r="A19" s="6"/>
      <c r="B19" s="11" t="s">
        <v>20</v>
      </c>
    </row>
    <row r="20" spans="1:15" ht="15.75" thickBot="1" x14ac:dyDescent="0.3">
      <c r="A20" s="6"/>
      <c r="B20" s="13"/>
      <c r="C20" s="7"/>
      <c r="D20" s="7"/>
      <c r="E20" s="7"/>
      <c r="F20" s="7"/>
    </row>
    <row r="21" spans="1:15" x14ac:dyDescent="0.25">
      <c r="A21" s="14" t="s">
        <v>10</v>
      </c>
      <c r="B21" s="15" t="s">
        <v>21</v>
      </c>
      <c r="C21" s="15" t="s">
        <v>22</v>
      </c>
      <c r="D21" s="15" t="s">
        <v>13</v>
      </c>
      <c r="E21" s="15" t="s">
        <v>14</v>
      </c>
      <c r="F21" s="16" t="s">
        <v>15</v>
      </c>
    </row>
    <row r="22" spans="1:15" x14ac:dyDescent="0.25">
      <c r="A22" s="25">
        <v>1</v>
      </c>
      <c r="B22" s="19">
        <v>13092026</v>
      </c>
      <c r="C22" s="27" t="s">
        <v>159</v>
      </c>
      <c r="D22" s="28" t="s">
        <v>54</v>
      </c>
      <c r="E22" s="29">
        <v>3575</v>
      </c>
      <c r="F22" s="25">
        <v>40</v>
      </c>
    </row>
    <row r="23" spans="1:15" ht="15.75" customHeight="1" x14ac:dyDescent="0.25">
      <c r="A23" s="25">
        <v>2</v>
      </c>
      <c r="B23" s="19">
        <v>13092026</v>
      </c>
      <c r="C23" s="29" t="s">
        <v>160</v>
      </c>
      <c r="D23" s="28" t="s">
        <v>55</v>
      </c>
      <c r="E23" s="58">
        <v>3576</v>
      </c>
      <c r="F23" s="25">
        <v>40</v>
      </c>
      <c r="I23" s="31"/>
      <c r="J23" s="31"/>
      <c r="K23" s="31"/>
      <c r="L23" s="31"/>
      <c r="M23" s="31"/>
    </row>
    <row r="24" spans="1:15" ht="15.75" customHeight="1" x14ac:dyDescent="0.25">
      <c r="A24" s="25">
        <v>3</v>
      </c>
      <c r="B24" s="19"/>
      <c r="C24" s="27"/>
      <c r="D24" s="18"/>
      <c r="E24" s="58"/>
      <c r="F24" s="25"/>
      <c r="I24" s="31"/>
      <c r="J24" s="31"/>
      <c r="K24" s="31"/>
      <c r="L24" s="31"/>
      <c r="M24" s="31"/>
    </row>
    <row r="25" spans="1:15" ht="15.75" customHeight="1" x14ac:dyDescent="0.25">
      <c r="A25" s="25">
        <v>4</v>
      </c>
      <c r="B25" s="19"/>
      <c r="C25" s="29"/>
      <c r="D25" s="18"/>
      <c r="E25" s="23"/>
      <c r="F25" s="25"/>
      <c r="I25" s="31"/>
      <c r="J25" s="31"/>
      <c r="K25" s="31"/>
      <c r="L25" s="31"/>
      <c r="M25" s="31"/>
    </row>
    <row r="26" spans="1:15" ht="15.75" customHeight="1" x14ac:dyDescent="0.25">
      <c r="A26" s="25">
        <v>5</v>
      </c>
      <c r="B26" s="19"/>
      <c r="C26" s="29"/>
      <c r="D26" s="18"/>
      <c r="E26" s="59"/>
      <c r="F26" s="25"/>
      <c r="I26" s="31"/>
      <c r="J26" s="31"/>
      <c r="K26" s="31"/>
      <c r="L26" s="31"/>
      <c r="M26" s="31"/>
    </row>
    <row r="27" spans="1:15" ht="15.75" customHeight="1" x14ac:dyDescent="0.25">
      <c r="A27" s="25">
        <v>6</v>
      </c>
      <c r="B27" s="19"/>
      <c r="C27" s="27"/>
      <c r="D27" s="18"/>
      <c r="E27" s="23"/>
      <c r="F27" s="25"/>
      <c r="I27" s="31"/>
      <c r="J27" s="31"/>
      <c r="K27" s="31"/>
      <c r="L27" s="31"/>
      <c r="M27" s="31"/>
    </row>
    <row r="28" spans="1:15" ht="15.75" customHeight="1" x14ac:dyDescent="0.25">
      <c r="A28" s="25">
        <v>7</v>
      </c>
      <c r="B28" s="19"/>
      <c r="C28" s="29"/>
      <c r="D28" s="24"/>
      <c r="E28" s="23"/>
      <c r="F28" s="25"/>
      <c r="I28" s="31"/>
      <c r="J28" s="31"/>
      <c r="K28" s="31"/>
      <c r="L28" s="31"/>
      <c r="M28" s="31"/>
    </row>
    <row r="29" spans="1:15" x14ac:dyDescent="0.25">
      <c r="A29" s="25">
        <v>8</v>
      </c>
      <c r="B29" s="19"/>
      <c r="C29" s="27"/>
      <c r="D29" s="34"/>
      <c r="E29" s="30"/>
      <c r="F29" s="25"/>
    </row>
    <row r="30" spans="1:15" x14ac:dyDescent="0.25">
      <c r="A30" s="25">
        <v>9</v>
      </c>
      <c r="B30" s="19"/>
      <c r="C30" s="27"/>
      <c r="D30" s="28"/>
      <c r="E30" s="30"/>
      <c r="F30" s="25"/>
    </row>
    <row r="31" spans="1:15" x14ac:dyDescent="0.25">
      <c r="A31" s="25">
        <v>10</v>
      </c>
      <c r="B31" s="19"/>
      <c r="C31" s="33"/>
      <c r="D31" s="34"/>
      <c r="E31" s="30"/>
      <c r="F31" s="25"/>
      <c r="L31" s="31"/>
      <c r="M31" s="31"/>
      <c r="N31" s="31"/>
      <c r="O31" s="31"/>
    </row>
    <row r="32" spans="1:15" ht="15.75" customHeight="1" x14ac:dyDescent="0.25">
      <c r="A32" s="25">
        <v>11</v>
      </c>
      <c r="B32" s="19"/>
      <c r="C32" s="33"/>
      <c r="D32" s="46"/>
      <c r="E32" s="30"/>
      <c r="F32" s="25"/>
      <c r="L32" s="31"/>
      <c r="M32" s="31"/>
      <c r="N32" s="31"/>
      <c r="O32" s="31"/>
    </row>
    <row r="33" spans="1:6" ht="15.75" customHeight="1" x14ac:dyDescent="0.25">
      <c r="A33" s="35"/>
      <c r="B33" s="36"/>
      <c r="C33" s="37"/>
      <c r="D33"/>
      <c r="E33" s="38"/>
      <c r="F33" s="35"/>
    </row>
    <row r="34" spans="1:6" ht="15.75" x14ac:dyDescent="0.25">
      <c r="A34" s="6"/>
      <c r="B34" s="11" t="s">
        <v>23</v>
      </c>
      <c r="E34" s="7"/>
      <c r="F34" s="7"/>
    </row>
    <row r="35" spans="1:6" ht="15.75" thickBot="1" x14ac:dyDescent="0.3">
      <c r="A35" s="6"/>
      <c r="B35" s="13"/>
      <c r="C35" s="7"/>
      <c r="D35" s="7"/>
      <c r="E35" s="7"/>
      <c r="F35" s="7"/>
    </row>
    <row r="36" spans="1:6" x14ac:dyDescent="0.25">
      <c r="A36" s="14" t="s">
        <v>10</v>
      </c>
      <c r="B36" s="15" t="s">
        <v>24</v>
      </c>
      <c r="C36" s="15" t="s">
        <v>13</v>
      </c>
      <c r="D36" s="15" t="s">
        <v>25</v>
      </c>
      <c r="E36" s="15" t="s">
        <v>26</v>
      </c>
      <c r="F36" s="16" t="s">
        <v>15</v>
      </c>
    </row>
    <row r="37" spans="1:6" ht="15.75" customHeight="1" x14ac:dyDescent="0.25">
      <c r="A37" s="25">
        <v>1</v>
      </c>
      <c r="B37" s="19">
        <v>13092026</v>
      </c>
      <c r="C37" s="65" t="s">
        <v>153</v>
      </c>
      <c r="D37" s="65" t="s">
        <v>154</v>
      </c>
      <c r="E37" s="29">
        <v>3554</v>
      </c>
      <c r="F37" s="66">
        <v>20</v>
      </c>
    </row>
    <row r="38" spans="1:6" ht="15.75" customHeight="1" x14ac:dyDescent="0.25">
      <c r="A38" s="25">
        <v>2</v>
      </c>
      <c r="B38" s="19">
        <v>13092026</v>
      </c>
      <c r="C38" s="67" t="s">
        <v>155</v>
      </c>
      <c r="D38" s="66" t="s">
        <v>156</v>
      </c>
      <c r="E38" s="29">
        <v>0</v>
      </c>
      <c r="F38" s="66" t="s">
        <v>157</v>
      </c>
    </row>
    <row r="39" spans="1:6" ht="15.75" customHeight="1" x14ac:dyDescent="0.25">
      <c r="A39" s="25">
        <v>3</v>
      </c>
      <c r="B39" s="19">
        <v>13092026</v>
      </c>
      <c r="C39" s="66" t="s">
        <v>158</v>
      </c>
      <c r="D39" s="66" t="s">
        <v>156</v>
      </c>
      <c r="E39" s="29">
        <v>0</v>
      </c>
      <c r="F39" s="66" t="s">
        <v>157</v>
      </c>
    </row>
    <row r="40" spans="1:6" ht="15.75" customHeight="1" x14ac:dyDescent="0.25">
      <c r="A40" s="25">
        <v>4</v>
      </c>
      <c r="B40" s="19"/>
      <c r="C40" s="29"/>
      <c r="D40" s="29"/>
      <c r="E40" s="29"/>
      <c r="F40" s="39"/>
    </row>
    <row r="41" spans="1:6" ht="15.75" customHeight="1" x14ac:dyDescent="0.25">
      <c r="A41" s="25">
        <v>5</v>
      </c>
      <c r="B41" s="19"/>
      <c r="C41" s="18"/>
      <c r="D41" s="18"/>
      <c r="E41" s="29"/>
      <c r="F41" s="39"/>
    </row>
    <row r="42" spans="1:6" x14ac:dyDescent="0.25">
      <c r="A42" s="40">
        <v>6</v>
      </c>
      <c r="B42" s="19"/>
      <c r="C42" s="25"/>
      <c r="D42" s="32"/>
      <c r="E42" s="29"/>
      <c r="F42" s="29"/>
    </row>
    <row r="43" spans="1:6" x14ac:dyDescent="0.25">
      <c r="A43" s="40">
        <v>7</v>
      </c>
      <c r="B43" s="19"/>
      <c r="C43" s="29"/>
      <c r="D43" s="25"/>
      <c r="E43" s="29"/>
      <c r="F43" s="25"/>
    </row>
    <row r="44" spans="1:6" x14ac:dyDescent="0.25">
      <c r="F44" s="41"/>
    </row>
  </sheetData>
  <mergeCells count="1">
    <mergeCell ref="A3:H3"/>
  </mergeCells>
  <dataValidations count="2">
    <dataValidation type="list" allowBlank="1" showInputMessage="1" showErrorMessage="1" sqref="F8:F17 F37:F39" xr:uid="{477DA8D9-A8D5-4C4E-8278-E67C3D88C529}">
      <formula1>"20,40,45,50"</formula1>
      <formula2>0</formula2>
    </dataValidation>
    <dataValidation type="list" allowBlank="1" showInputMessage="1" showErrorMessage="1" sqref="F43 F18" xr:uid="{5853D75A-A2FC-46E5-9849-55E8D1E71EC6}">
      <formula1>"20,40,45,50"</formula1>
    </dataValidation>
  </dataValidations>
  <pageMargins left="0.31496062992125984" right="0.31496062992125984" top="0.74803149606299213" bottom="0.74803149606299213" header="0.31496062992125984" footer="0.31496062992125984"/>
  <pageSetup paperSize="9" orientation="portrait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4228C-535B-4DB4-808D-EEA54E82FBF2}">
  <dimension ref="A1:O44"/>
  <sheetViews>
    <sheetView workbookViewId="0">
      <selection activeCell="F1" sqref="F1:J2"/>
    </sheetView>
  </sheetViews>
  <sheetFormatPr baseColWidth="10" defaultRowHeight="15" x14ac:dyDescent="0.25"/>
  <cols>
    <col min="1" max="1" width="3.140625" style="21" bestFit="1" customWidth="1"/>
    <col min="2" max="2" width="15.5703125" style="21" bestFit="1" customWidth="1"/>
    <col min="3" max="3" width="19.28515625" style="21" customWidth="1"/>
    <col min="4" max="4" width="19.140625" style="21" customWidth="1"/>
    <col min="5" max="5" width="14.28515625" style="21" customWidth="1"/>
    <col min="6" max="6" width="13.85546875" style="21" bestFit="1" customWidth="1"/>
    <col min="7" max="7" width="12.140625" style="21" bestFit="1" customWidth="1"/>
    <col min="8" max="10" width="11.42578125" style="21"/>
    <col min="11" max="11" width="14.7109375" style="21" bestFit="1" customWidth="1"/>
    <col min="12" max="16384" width="11.42578125" style="21"/>
  </cols>
  <sheetData>
    <row r="1" spans="1:10" s="7" customFormat="1" ht="15.75" x14ac:dyDescent="0.25">
      <c r="A1" s="6"/>
      <c r="H1" s="8">
        <f>COUNTIF(C8:C17,"&lt;&gt;")</f>
        <v>1</v>
      </c>
      <c r="I1" s="9" t="s">
        <v>6</v>
      </c>
    </row>
    <row r="2" spans="1:10" s="7" customFormat="1" ht="15.75" x14ac:dyDescent="0.25">
      <c r="A2" s="6"/>
      <c r="F2" s="8">
        <f>COUNTIFS(B22:B31,"&lt;&gt;",C22:C31,"VH")</f>
        <v>0</v>
      </c>
      <c r="G2" s="9" t="s">
        <v>7</v>
      </c>
      <c r="H2" s="8">
        <f>COUNTA(C22:C31)-F2</f>
        <v>0</v>
      </c>
      <c r="I2" s="9" t="s">
        <v>6</v>
      </c>
      <c r="J2" s="10">
        <f>COUNTIF(E22:E31,"VIDE")</f>
        <v>0</v>
      </c>
    </row>
    <row r="3" spans="1:10" s="7" customFormat="1" ht="25.5" x14ac:dyDescent="0.25">
      <c r="A3" s="99" t="s">
        <v>8</v>
      </c>
      <c r="B3" s="99"/>
      <c r="C3" s="99"/>
      <c r="D3" s="99"/>
      <c r="E3" s="99"/>
      <c r="F3" s="99"/>
      <c r="G3" s="99"/>
      <c r="H3" s="99"/>
    </row>
    <row r="4" spans="1:10" s="7" customFormat="1" ht="12.75" x14ac:dyDescent="0.25">
      <c r="A4" s="6"/>
    </row>
    <row r="5" spans="1:10" s="7" customFormat="1" ht="15.75" x14ac:dyDescent="0.25">
      <c r="A5" s="6"/>
      <c r="B5" s="11" t="s">
        <v>9</v>
      </c>
      <c r="G5" s="12">
        <v>46279</v>
      </c>
    </row>
    <row r="6" spans="1:10" s="7" customFormat="1" thickBot="1" x14ac:dyDescent="0.3">
      <c r="A6" s="6"/>
      <c r="B6" s="13"/>
    </row>
    <row r="7" spans="1:10" s="7" customFormat="1" ht="14.25" x14ac:dyDescent="0.25">
      <c r="A7" s="14" t="s">
        <v>10</v>
      </c>
      <c r="B7" s="15" t="s">
        <v>11</v>
      </c>
      <c r="C7" s="15" t="s">
        <v>12</v>
      </c>
      <c r="D7" s="15" t="s">
        <v>13</v>
      </c>
      <c r="E7" s="15" t="s">
        <v>14</v>
      </c>
      <c r="F7" s="16" t="s">
        <v>15</v>
      </c>
    </row>
    <row r="8" spans="1:10" x14ac:dyDescent="0.25">
      <c r="A8" s="17">
        <v>1</v>
      </c>
      <c r="B8" s="60" t="s">
        <v>111</v>
      </c>
      <c r="C8" s="19">
        <v>14092026</v>
      </c>
      <c r="D8" s="18" t="s">
        <v>112</v>
      </c>
      <c r="E8" s="18">
        <v>313157</v>
      </c>
      <c r="F8" s="18">
        <v>40</v>
      </c>
    </row>
    <row r="9" spans="1:10" x14ac:dyDescent="0.25">
      <c r="A9" s="17">
        <v>2</v>
      </c>
      <c r="B9" s="63"/>
      <c r="C9" s="19"/>
      <c r="D9" s="18"/>
      <c r="E9" s="23"/>
      <c r="F9" s="18"/>
    </row>
    <row r="10" spans="1:10" x14ac:dyDescent="0.25">
      <c r="A10" s="17">
        <v>3</v>
      </c>
      <c r="B10" s="63"/>
      <c r="C10" s="19"/>
      <c r="D10" s="18"/>
      <c r="E10" s="18"/>
      <c r="F10" s="18"/>
    </row>
    <row r="11" spans="1:10" x14ac:dyDescent="0.25">
      <c r="A11" s="17">
        <v>4</v>
      </c>
      <c r="B11" s="63"/>
      <c r="C11" s="19"/>
      <c r="D11" s="18"/>
      <c r="E11" s="18"/>
      <c r="F11" s="18"/>
    </row>
    <row r="12" spans="1:10" x14ac:dyDescent="0.25">
      <c r="A12" s="17">
        <v>5</v>
      </c>
      <c r="B12" s="63"/>
      <c r="C12" s="19"/>
      <c r="D12" s="18"/>
      <c r="E12" s="18"/>
      <c r="F12" s="18"/>
    </row>
    <row r="13" spans="1:10" x14ac:dyDescent="0.25">
      <c r="A13" s="17">
        <v>6</v>
      </c>
      <c r="B13" s="63"/>
      <c r="C13" s="19"/>
      <c r="D13" s="18"/>
      <c r="E13" s="18"/>
      <c r="F13" s="18"/>
    </row>
    <row r="14" spans="1:10" x14ac:dyDescent="0.25">
      <c r="A14" s="17">
        <v>7</v>
      </c>
      <c r="B14" s="63"/>
      <c r="C14" s="19"/>
      <c r="D14" s="24"/>
      <c r="E14" s="24"/>
      <c r="F14" s="18"/>
    </row>
    <row r="15" spans="1:10" x14ac:dyDescent="0.25">
      <c r="A15" s="17"/>
      <c r="B15" s="53"/>
      <c r="C15" s="19"/>
      <c r="D15" s="24"/>
      <c r="E15" s="24"/>
      <c r="F15" s="18"/>
    </row>
    <row r="16" spans="1:10" x14ac:dyDescent="0.25">
      <c r="A16" s="17"/>
      <c r="B16" s="53"/>
      <c r="C16" s="19"/>
      <c r="D16" s="24"/>
      <c r="E16" s="24"/>
      <c r="F16" s="18"/>
    </row>
    <row r="17" spans="1:15" x14ac:dyDescent="0.25">
      <c r="A17" s="17">
        <v>8</v>
      </c>
      <c r="B17" s="42"/>
      <c r="C17" s="19"/>
      <c r="D17" s="24"/>
      <c r="E17" s="23"/>
      <c r="F17" s="18"/>
    </row>
    <row r="18" spans="1:15" ht="15.75" x14ac:dyDescent="0.25">
      <c r="A18" s="6"/>
      <c r="B18" s="20"/>
      <c r="C18" s="7"/>
      <c r="D18" s="26"/>
      <c r="E18" s="26"/>
      <c r="F18" s="26"/>
      <c r="G18" s="7"/>
    </row>
    <row r="19" spans="1:15" ht="15.75" x14ac:dyDescent="0.25">
      <c r="A19" s="6"/>
      <c r="B19" s="11" t="s">
        <v>20</v>
      </c>
    </row>
    <row r="20" spans="1:15" ht="15.75" thickBot="1" x14ac:dyDescent="0.3">
      <c r="A20" s="6"/>
      <c r="B20" s="13"/>
      <c r="C20" s="7"/>
      <c r="D20" s="7"/>
      <c r="E20" s="7"/>
      <c r="F20" s="7"/>
    </row>
    <row r="21" spans="1:15" x14ac:dyDescent="0.25">
      <c r="A21" s="14" t="s">
        <v>10</v>
      </c>
      <c r="B21" s="15" t="s">
        <v>21</v>
      </c>
      <c r="C21" s="15" t="s">
        <v>22</v>
      </c>
      <c r="D21" s="15" t="s">
        <v>13</v>
      </c>
      <c r="E21" s="15" t="s">
        <v>14</v>
      </c>
      <c r="F21" s="16" t="s">
        <v>15</v>
      </c>
    </row>
    <row r="22" spans="1:15" x14ac:dyDescent="0.25">
      <c r="A22" s="25">
        <v>1</v>
      </c>
      <c r="B22" s="19">
        <v>13092026</v>
      </c>
      <c r="C22" s="27"/>
      <c r="D22" s="24" t="s">
        <v>148</v>
      </c>
      <c r="E22" s="29">
        <v>3552</v>
      </c>
      <c r="F22" s="25">
        <v>40</v>
      </c>
    </row>
    <row r="23" spans="1:15" ht="15.75" customHeight="1" x14ac:dyDescent="0.25">
      <c r="A23" s="25">
        <v>2</v>
      </c>
      <c r="B23" s="19">
        <v>13092026</v>
      </c>
      <c r="C23" s="29"/>
      <c r="D23" s="18" t="s">
        <v>150</v>
      </c>
      <c r="E23" s="58">
        <v>3551</v>
      </c>
      <c r="F23" s="25">
        <v>40</v>
      </c>
      <c r="I23" s="31"/>
      <c r="J23" s="31"/>
      <c r="K23" s="31"/>
      <c r="L23" s="31"/>
      <c r="M23" s="31"/>
    </row>
    <row r="24" spans="1:15" ht="15.75" customHeight="1" x14ac:dyDescent="0.25">
      <c r="A24" s="25">
        <v>3</v>
      </c>
      <c r="B24" s="19"/>
      <c r="C24" s="27"/>
      <c r="D24" s="18"/>
      <c r="E24" s="58"/>
      <c r="F24" s="25"/>
      <c r="I24" s="31"/>
      <c r="J24" s="31"/>
      <c r="K24" s="31"/>
      <c r="L24" s="31"/>
      <c r="M24" s="31"/>
    </row>
    <row r="25" spans="1:15" ht="15.75" customHeight="1" x14ac:dyDescent="0.25">
      <c r="A25" s="25">
        <v>4</v>
      </c>
      <c r="B25" s="19"/>
      <c r="C25" s="29"/>
      <c r="D25" s="18"/>
      <c r="E25" s="23"/>
      <c r="F25" s="25"/>
      <c r="I25" s="31"/>
      <c r="J25" s="31"/>
      <c r="K25" s="31"/>
      <c r="L25" s="31"/>
      <c r="M25" s="31"/>
    </row>
    <row r="26" spans="1:15" ht="15.75" customHeight="1" x14ac:dyDescent="0.25">
      <c r="A26" s="25">
        <v>5</v>
      </c>
      <c r="B26" s="19"/>
      <c r="C26" s="29"/>
      <c r="D26" s="18"/>
      <c r="E26" s="59"/>
      <c r="F26" s="25"/>
      <c r="I26" s="31"/>
      <c r="J26" s="31"/>
      <c r="K26" s="31"/>
      <c r="L26" s="31"/>
      <c r="M26" s="31"/>
    </row>
    <row r="27" spans="1:15" ht="15.75" customHeight="1" x14ac:dyDescent="0.25">
      <c r="A27" s="25">
        <v>6</v>
      </c>
      <c r="B27" s="19"/>
      <c r="C27" s="27"/>
      <c r="D27" s="18"/>
      <c r="E27" s="23"/>
      <c r="F27" s="25"/>
      <c r="I27" s="31"/>
      <c r="J27" s="31"/>
      <c r="K27" s="31"/>
      <c r="L27" s="31"/>
      <c r="M27" s="31"/>
    </row>
    <row r="28" spans="1:15" ht="15.75" customHeight="1" x14ac:dyDescent="0.25">
      <c r="A28" s="25">
        <v>7</v>
      </c>
      <c r="B28" s="19"/>
      <c r="C28" s="29"/>
      <c r="D28" s="24"/>
      <c r="E28" s="23"/>
      <c r="F28" s="25"/>
      <c r="I28" s="31"/>
      <c r="J28" s="31"/>
      <c r="K28" s="31"/>
      <c r="L28" s="31"/>
      <c r="M28" s="31"/>
    </row>
    <row r="29" spans="1:15" x14ac:dyDescent="0.25">
      <c r="A29" s="25">
        <v>8</v>
      </c>
      <c r="B29" s="19"/>
      <c r="C29" s="27"/>
      <c r="D29" s="34"/>
      <c r="E29" s="30"/>
      <c r="F29" s="25"/>
    </row>
    <row r="30" spans="1:15" x14ac:dyDescent="0.25">
      <c r="A30" s="25">
        <v>9</v>
      </c>
      <c r="B30" s="19"/>
      <c r="C30" s="27"/>
      <c r="D30" s="28"/>
      <c r="E30" s="30"/>
      <c r="F30" s="25"/>
    </row>
    <row r="31" spans="1:15" x14ac:dyDescent="0.25">
      <c r="A31" s="25">
        <v>10</v>
      </c>
      <c r="B31" s="19"/>
      <c r="C31" s="33"/>
      <c r="D31" s="34"/>
      <c r="E31" s="30"/>
      <c r="F31" s="25"/>
      <c r="L31" s="31"/>
      <c r="M31" s="31"/>
      <c r="N31" s="31"/>
      <c r="O31" s="31"/>
    </row>
    <row r="32" spans="1:15" ht="15.75" customHeight="1" x14ac:dyDescent="0.25">
      <c r="A32" s="25">
        <v>11</v>
      </c>
      <c r="B32" s="19"/>
      <c r="C32" s="33"/>
      <c r="D32" s="46"/>
      <c r="E32" s="30"/>
      <c r="F32" s="25"/>
      <c r="L32" s="31"/>
      <c r="M32" s="31"/>
      <c r="N32" s="31"/>
      <c r="O32" s="31"/>
    </row>
    <row r="33" spans="1:6" ht="15.75" customHeight="1" x14ac:dyDescent="0.25">
      <c r="A33" s="35"/>
      <c r="B33" s="36"/>
      <c r="C33" s="37"/>
      <c r="D33"/>
      <c r="E33" s="38"/>
      <c r="F33" s="35"/>
    </row>
    <row r="34" spans="1:6" ht="15.75" x14ac:dyDescent="0.25">
      <c r="A34" s="6"/>
      <c r="B34" s="11" t="s">
        <v>23</v>
      </c>
      <c r="E34" s="7"/>
      <c r="F34" s="7"/>
    </row>
    <row r="35" spans="1:6" ht="15.75" thickBot="1" x14ac:dyDescent="0.3">
      <c r="A35" s="6"/>
      <c r="B35" s="13"/>
      <c r="C35" s="7"/>
      <c r="D35" s="7"/>
      <c r="E35" s="7"/>
      <c r="F35" s="7"/>
    </row>
    <row r="36" spans="1:6" x14ac:dyDescent="0.25">
      <c r="A36" s="14" t="s">
        <v>10</v>
      </c>
      <c r="B36" s="15" t="s">
        <v>24</v>
      </c>
      <c r="C36" s="15" t="s">
        <v>13</v>
      </c>
      <c r="D36" s="15" t="s">
        <v>25</v>
      </c>
      <c r="E36" s="15" t="s">
        <v>26</v>
      </c>
      <c r="F36" s="16" t="s">
        <v>15</v>
      </c>
    </row>
    <row r="37" spans="1:6" ht="15.75" customHeight="1" x14ac:dyDescent="0.25">
      <c r="A37" s="25">
        <v>1</v>
      </c>
      <c r="B37" s="19"/>
      <c r="C37" s="65"/>
      <c r="D37" s="65"/>
      <c r="E37" s="29"/>
      <c r="F37" s="66"/>
    </row>
    <row r="38" spans="1:6" ht="15.75" customHeight="1" x14ac:dyDescent="0.25">
      <c r="A38" s="25">
        <v>2</v>
      </c>
      <c r="B38" s="19"/>
      <c r="C38" s="67"/>
      <c r="D38" s="66"/>
      <c r="E38" s="29"/>
      <c r="F38" s="66"/>
    </row>
    <row r="39" spans="1:6" ht="15.75" customHeight="1" x14ac:dyDescent="0.25">
      <c r="A39" s="25">
        <v>3</v>
      </c>
      <c r="B39" s="19"/>
      <c r="C39" s="66"/>
      <c r="D39" s="66"/>
      <c r="E39" s="29"/>
      <c r="F39" s="66"/>
    </row>
    <row r="40" spans="1:6" ht="15.75" customHeight="1" x14ac:dyDescent="0.25">
      <c r="A40" s="25">
        <v>4</v>
      </c>
      <c r="B40" s="19"/>
      <c r="C40" s="29"/>
      <c r="D40" s="29"/>
      <c r="E40" s="29"/>
      <c r="F40" s="39"/>
    </row>
    <row r="41" spans="1:6" ht="15.75" customHeight="1" x14ac:dyDescent="0.25">
      <c r="A41" s="25">
        <v>5</v>
      </c>
      <c r="B41" s="19"/>
      <c r="C41" s="18"/>
      <c r="D41" s="18"/>
      <c r="E41" s="29"/>
      <c r="F41" s="39"/>
    </row>
    <row r="42" spans="1:6" x14ac:dyDescent="0.25">
      <c r="A42" s="40">
        <v>6</v>
      </c>
      <c r="B42" s="19"/>
      <c r="C42" s="25"/>
      <c r="D42" s="32"/>
      <c r="E42" s="29"/>
      <c r="F42" s="29"/>
    </row>
    <row r="43" spans="1:6" x14ac:dyDescent="0.25">
      <c r="A43" s="40">
        <v>7</v>
      </c>
      <c r="B43" s="19"/>
      <c r="C43" s="29"/>
      <c r="D43" s="25"/>
      <c r="E43" s="29"/>
      <c r="F43" s="25"/>
    </row>
    <row r="44" spans="1:6" x14ac:dyDescent="0.25">
      <c r="F44" s="41"/>
    </row>
  </sheetData>
  <mergeCells count="1">
    <mergeCell ref="A3:H3"/>
  </mergeCells>
  <dataValidations count="2">
    <dataValidation type="list" allowBlank="1" showInputMessage="1" showErrorMessage="1" sqref="F43 F18" xr:uid="{0AFD59BA-583F-4C95-AC51-CAAF9556C872}">
      <formula1>"20,40,45,50"</formula1>
    </dataValidation>
    <dataValidation type="list" allowBlank="1" showInputMessage="1" showErrorMessage="1" sqref="F37:F39 F8:F17" xr:uid="{F399C93B-FD8F-4D0D-8BEC-B79CC3D65A0A}">
      <formula1>"20,40,45,50"</formula1>
      <formula2>0</formula2>
    </dataValidation>
  </dataValidations>
  <pageMargins left="0.31496062992125984" right="0.11811023622047245" top="0.74803149606299213" bottom="0.74803149606299213" header="0.31496062992125984" footer="0.31496062992125984"/>
  <pageSetup paperSize="9" orientation="portrait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54D21-9CAD-4065-B54D-D0B6ECCC7A19}">
  <dimension ref="A1:O46"/>
  <sheetViews>
    <sheetView workbookViewId="0">
      <selection activeCell="D11" sqref="D11:E11"/>
    </sheetView>
  </sheetViews>
  <sheetFormatPr baseColWidth="10" defaultRowHeight="15" x14ac:dyDescent="0.25"/>
  <cols>
    <col min="1" max="1" width="3.140625" style="21" bestFit="1" customWidth="1"/>
    <col min="2" max="2" width="15.5703125" style="21" bestFit="1" customWidth="1"/>
    <col min="3" max="3" width="19.28515625" style="21" customWidth="1"/>
    <col min="4" max="4" width="19.140625" style="21" customWidth="1"/>
    <col min="5" max="5" width="14.28515625" style="21" customWidth="1"/>
    <col min="6" max="6" width="13.85546875" style="21" bestFit="1" customWidth="1"/>
    <col min="7" max="7" width="12.140625" style="21" bestFit="1" customWidth="1"/>
    <col min="8" max="10" width="11.42578125" style="21"/>
    <col min="11" max="11" width="14.7109375" style="21" bestFit="1" customWidth="1"/>
    <col min="12" max="16384" width="11.42578125" style="21"/>
  </cols>
  <sheetData>
    <row r="1" spans="1:10" s="7" customFormat="1" ht="15.75" x14ac:dyDescent="0.25">
      <c r="A1" s="6"/>
      <c r="H1" s="8">
        <f>COUNTIF(C8:C17,"&lt;&gt;")</f>
        <v>4</v>
      </c>
      <c r="I1" s="9" t="s">
        <v>6</v>
      </c>
    </row>
    <row r="2" spans="1:10" s="7" customFormat="1" ht="15.75" x14ac:dyDescent="0.25">
      <c r="A2" s="6"/>
      <c r="F2" s="8">
        <f>COUNTIFS(B22:B31,"&lt;&gt;",C22:C31,"VH")</f>
        <v>0</v>
      </c>
      <c r="G2" s="9" t="s">
        <v>7</v>
      </c>
      <c r="H2" s="8">
        <f>COUNTA(C22:C31)-F2</f>
        <v>0</v>
      </c>
      <c r="I2" s="9" t="s">
        <v>6</v>
      </c>
      <c r="J2" s="10">
        <f>COUNTIF(E22:E31,"VIDE")</f>
        <v>0</v>
      </c>
    </row>
    <row r="3" spans="1:10" s="7" customFormat="1" ht="25.5" x14ac:dyDescent="0.25">
      <c r="A3" s="99" t="s">
        <v>8</v>
      </c>
      <c r="B3" s="99"/>
      <c r="C3" s="99"/>
      <c r="D3" s="99"/>
      <c r="E3" s="99"/>
      <c r="F3" s="99"/>
      <c r="G3" s="99"/>
      <c r="H3" s="99"/>
    </row>
    <row r="4" spans="1:10" s="7" customFormat="1" ht="12.75" x14ac:dyDescent="0.25">
      <c r="A4" s="6"/>
    </row>
    <row r="5" spans="1:10" s="7" customFormat="1" ht="15.75" x14ac:dyDescent="0.25">
      <c r="A5" s="6"/>
      <c r="B5" s="11" t="s">
        <v>9</v>
      </c>
      <c r="G5" s="12">
        <v>46280</v>
      </c>
    </row>
    <row r="6" spans="1:10" s="7" customFormat="1" thickBot="1" x14ac:dyDescent="0.3">
      <c r="A6" s="6"/>
      <c r="B6" s="13"/>
    </row>
    <row r="7" spans="1:10" s="7" customFormat="1" ht="14.25" x14ac:dyDescent="0.25">
      <c r="A7" s="14" t="s">
        <v>10</v>
      </c>
      <c r="B7" s="15" t="s">
        <v>11</v>
      </c>
      <c r="C7" s="15" t="s">
        <v>12</v>
      </c>
      <c r="D7" s="69" t="s">
        <v>13</v>
      </c>
      <c r="E7" s="69" t="s">
        <v>14</v>
      </c>
      <c r="F7" s="69" t="s">
        <v>15</v>
      </c>
    </row>
    <row r="8" spans="1:10" x14ac:dyDescent="0.25">
      <c r="A8" s="17">
        <v>1</v>
      </c>
      <c r="B8" s="25" t="s">
        <v>179</v>
      </c>
      <c r="C8" s="68">
        <v>15092026</v>
      </c>
      <c r="D8" s="24" t="s">
        <v>171</v>
      </c>
      <c r="E8" s="24" t="s">
        <v>172</v>
      </c>
      <c r="F8" s="18" t="s">
        <v>16</v>
      </c>
    </row>
    <row r="9" spans="1:10" x14ac:dyDescent="0.25">
      <c r="A9" s="17">
        <v>2</v>
      </c>
      <c r="B9" s="70" t="s">
        <v>180</v>
      </c>
      <c r="C9" s="68">
        <v>15092026</v>
      </c>
      <c r="D9" s="18" t="s">
        <v>173</v>
      </c>
      <c r="E9" s="18" t="s">
        <v>174</v>
      </c>
      <c r="F9" s="18" t="s">
        <v>16</v>
      </c>
    </row>
    <row r="10" spans="1:10" x14ac:dyDescent="0.25">
      <c r="A10" s="17">
        <v>3</v>
      </c>
      <c r="B10" s="70" t="s">
        <v>181</v>
      </c>
      <c r="C10" s="68">
        <v>15092026</v>
      </c>
      <c r="D10" s="18" t="s">
        <v>175</v>
      </c>
      <c r="E10" s="18" t="s">
        <v>176</v>
      </c>
      <c r="F10" s="18" t="s">
        <v>16</v>
      </c>
    </row>
    <row r="11" spans="1:10" x14ac:dyDescent="0.25">
      <c r="A11" s="17">
        <v>4</v>
      </c>
      <c r="B11" s="70" t="s">
        <v>182</v>
      </c>
      <c r="C11" s="68">
        <v>15092026</v>
      </c>
      <c r="D11" s="18" t="s">
        <v>177</v>
      </c>
      <c r="E11" s="18" t="s">
        <v>178</v>
      </c>
      <c r="F11" s="18" t="s">
        <v>70</v>
      </c>
    </row>
    <row r="12" spans="1:10" x14ac:dyDescent="0.25">
      <c r="A12" s="17">
        <v>5</v>
      </c>
      <c r="B12" s="63"/>
      <c r="C12" s="68"/>
      <c r="D12" s="18"/>
      <c r="E12" s="18"/>
      <c r="F12" s="18"/>
    </row>
    <row r="13" spans="1:10" x14ac:dyDescent="0.25">
      <c r="A13" s="17">
        <v>6</v>
      </c>
      <c r="B13" s="63"/>
      <c r="C13" s="68"/>
      <c r="D13" s="18"/>
      <c r="E13" s="18"/>
      <c r="F13" s="18"/>
    </row>
    <row r="14" spans="1:10" x14ac:dyDescent="0.25">
      <c r="A14" s="17">
        <v>7</v>
      </c>
      <c r="B14" s="63"/>
      <c r="C14" s="68"/>
      <c r="D14" s="24"/>
      <c r="E14" s="24"/>
      <c r="F14" s="18"/>
    </row>
    <row r="15" spans="1:10" x14ac:dyDescent="0.25">
      <c r="A15" s="17"/>
      <c r="B15" s="53"/>
      <c r="C15" s="68"/>
      <c r="D15" s="24"/>
      <c r="E15" s="24"/>
      <c r="F15" s="18"/>
    </row>
    <row r="16" spans="1:10" x14ac:dyDescent="0.25">
      <c r="A16" s="17"/>
      <c r="B16" s="53"/>
      <c r="C16" s="68"/>
      <c r="D16" s="24"/>
      <c r="E16" s="24"/>
      <c r="F16" s="18"/>
    </row>
    <row r="17" spans="1:15" x14ac:dyDescent="0.25">
      <c r="A17" s="17">
        <v>8</v>
      </c>
      <c r="B17" s="42"/>
      <c r="C17" s="68"/>
      <c r="D17" s="24"/>
      <c r="E17" s="23"/>
      <c r="F17" s="18"/>
    </row>
    <row r="18" spans="1:15" ht="15.75" x14ac:dyDescent="0.25">
      <c r="A18" s="6"/>
      <c r="B18" s="20"/>
      <c r="C18" s="7"/>
      <c r="D18" s="26"/>
      <c r="E18" s="26"/>
      <c r="F18" s="26"/>
      <c r="G18" s="7"/>
    </row>
    <row r="19" spans="1:15" ht="15.75" x14ac:dyDescent="0.25">
      <c r="A19" s="6"/>
      <c r="B19" s="11" t="s">
        <v>20</v>
      </c>
    </row>
    <row r="20" spans="1:15" ht="15.75" thickBot="1" x14ac:dyDescent="0.3">
      <c r="A20" s="6"/>
      <c r="B20" s="13"/>
      <c r="C20" s="7"/>
      <c r="D20" s="7"/>
      <c r="E20" s="7"/>
      <c r="F20" s="7"/>
    </row>
    <row r="21" spans="1:15" x14ac:dyDescent="0.25">
      <c r="A21" s="14" t="s">
        <v>10</v>
      </c>
      <c r="B21" s="15" t="s">
        <v>21</v>
      </c>
      <c r="C21" s="15" t="s">
        <v>22</v>
      </c>
      <c r="D21" s="15" t="s">
        <v>13</v>
      </c>
      <c r="E21" s="15" t="s">
        <v>14</v>
      </c>
      <c r="F21" s="16" t="s">
        <v>15</v>
      </c>
    </row>
    <row r="22" spans="1:15" x14ac:dyDescent="0.25">
      <c r="A22" s="25">
        <v>1</v>
      </c>
      <c r="B22" s="19"/>
      <c r="C22" s="27"/>
      <c r="D22" s="24"/>
      <c r="E22" s="29"/>
      <c r="F22" s="25"/>
    </row>
    <row r="23" spans="1:15" ht="15.75" customHeight="1" x14ac:dyDescent="0.25">
      <c r="A23" s="25">
        <v>2</v>
      </c>
      <c r="B23" s="19"/>
      <c r="C23" s="29"/>
      <c r="D23" s="18"/>
      <c r="E23" s="58"/>
      <c r="F23" s="25"/>
      <c r="I23" s="31"/>
      <c r="J23" s="31"/>
      <c r="K23" s="31"/>
      <c r="L23" s="31"/>
      <c r="M23" s="31"/>
    </row>
    <row r="24" spans="1:15" ht="15.75" customHeight="1" x14ac:dyDescent="0.25">
      <c r="A24" s="25">
        <v>3</v>
      </c>
      <c r="B24" s="19"/>
      <c r="C24" s="27"/>
      <c r="D24" s="18"/>
      <c r="E24" s="58"/>
      <c r="F24" s="25"/>
      <c r="I24" s="31"/>
      <c r="J24" s="31"/>
      <c r="K24" s="31"/>
      <c r="L24" s="31"/>
      <c r="M24" s="31"/>
    </row>
    <row r="25" spans="1:15" ht="15.75" customHeight="1" x14ac:dyDescent="0.25">
      <c r="A25" s="25">
        <v>4</v>
      </c>
      <c r="B25" s="19"/>
      <c r="C25" s="29"/>
      <c r="D25" s="18"/>
      <c r="E25" s="23"/>
      <c r="F25" s="25"/>
      <c r="I25" s="31"/>
      <c r="J25" s="31"/>
      <c r="K25" s="31"/>
      <c r="L25" s="31"/>
      <c r="M25" s="31"/>
    </row>
    <row r="26" spans="1:15" ht="15.75" customHeight="1" x14ac:dyDescent="0.25">
      <c r="A26" s="25">
        <v>5</v>
      </c>
      <c r="B26" s="19"/>
      <c r="C26" s="29"/>
      <c r="D26" s="18"/>
      <c r="E26" s="59"/>
      <c r="F26" s="25"/>
      <c r="I26" s="31"/>
      <c r="J26" s="31"/>
      <c r="K26" s="31"/>
      <c r="L26" s="31"/>
      <c r="M26" s="31"/>
    </row>
    <row r="27" spans="1:15" ht="15.75" customHeight="1" x14ac:dyDescent="0.25">
      <c r="A27" s="25">
        <v>6</v>
      </c>
      <c r="B27" s="19"/>
      <c r="C27" s="27"/>
      <c r="D27" s="18"/>
      <c r="E27" s="23"/>
      <c r="F27" s="25"/>
      <c r="I27" s="31"/>
      <c r="J27" s="31"/>
      <c r="K27" s="31"/>
      <c r="L27" s="31"/>
      <c r="M27" s="31"/>
    </row>
    <row r="28" spans="1:15" ht="15.75" customHeight="1" x14ac:dyDescent="0.25">
      <c r="A28" s="25">
        <v>7</v>
      </c>
      <c r="B28" s="19"/>
      <c r="C28" s="29"/>
      <c r="D28" s="24"/>
      <c r="E28" s="23"/>
      <c r="F28" s="25"/>
      <c r="I28" s="31"/>
      <c r="J28" s="31"/>
      <c r="K28" s="31"/>
      <c r="L28" s="31"/>
      <c r="M28" s="31"/>
    </row>
    <row r="29" spans="1:15" x14ac:dyDescent="0.25">
      <c r="A29" s="25">
        <v>8</v>
      </c>
      <c r="B29" s="19"/>
      <c r="C29" s="27"/>
      <c r="D29" s="34"/>
      <c r="E29" s="30"/>
      <c r="F29" s="25"/>
    </row>
    <row r="30" spans="1:15" x14ac:dyDescent="0.25">
      <c r="A30" s="25">
        <v>9</v>
      </c>
      <c r="B30" s="19"/>
      <c r="C30" s="27"/>
      <c r="D30" s="28"/>
      <c r="E30" s="30"/>
      <c r="F30" s="25"/>
    </row>
    <row r="31" spans="1:15" x14ac:dyDescent="0.25">
      <c r="A31" s="25">
        <v>10</v>
      </c>
      <c r="B31" s="19"/>
      <c r="C31" s="33"/>
      <c r="D31" s="34"/>
      <c r="E31" s="30"/>
      <c r="F31" s="25"/>
      <c r="L31" s="31"/>
      <c r="M31" s="31"/>
      <c r="N31" s="31"/>
      <c r="O31" s="31"/>
    </row>
    <row r="32" spans="1:15" ht="15.75" customHeight="1" x14ac:dyDescent="0.25">
      <c r="A32" s="25">
        <v>11</v>
      </c>
      <c r="B32" s="19"/>
      <c r="C32" s="33"/>
      <c r="D32" s="46"/>
      <c r="E32" s="30"/>
      <c r="F32" s="25"/>
      <c r="L32" s="31"/>
      <c r="M32" s="31"/>
      <c r="N32" s="31"/>
      <c r="O32" s="31"/>
    </row>
    <row r="33" spans="1:7" ht="15.75" customHeight="1" x14ac:dyDescent="0.25">
      <c r="A33" s="35"/>
      <c r="B33" s="36"/>
      <c r="C33" s="37"/>
      <c r="D33"/>
      <c r="E33" s="38"/>
      <c r="F33" s="35"/>
    </row>
    <row r="34" spans="1:7" ht="15.75" x14ac:dyDescent="0.25">
      <c r="A34" s="6"/>
      <c r="B34" s="11" t="s">
        <v>23</v>
      </c>
      <c r="E34" s="7"/>
      <c r="F34" s="7"/>
    </row>
    <row r="35" spans="1:7" ht="15.75" thickBot="1" x14ac:dyDescent="0.3">
      <c r="A35" s="6"/>
      <c r="B35" s="13"/>
      <c r="C35" s="7"/>
      <c r="D35" s="7"/>
      <c r="E35" s="7"/>
      <c r="F35" s="7"/>
    </row>
    <row r="36" spans="1:7" x14ac:dyDescent="0.25">
      <c r="A36" s="14" t="s">
        <v>10</v>
      </c>
      <c r="B36" s="15" t="s">
        <v>24</v>
      </c>
      <c r="C36" s="15" t="s">
        <v>13</v>
      </c>
      <c r="D36" s="15" t="s">
        <v>25</v>
      </c>
      <c r="E36" s="15" t="s">
        <v>26</v>
      </c>
      <c r="F36" s="16" t="s">
        <v>15</v>
      </c>
    </row>
    <row r="37" spans="1:7" ht="15.75" customHeight="1" x14ac:dyDescent="0.25">
      <c r="A37" s="25">
        <v>1</v>
      </c>
      <c r="B37" s="19">
        <v>15092026</v>
      </c>
      <c r="C37" s="34" t="s">
        <v>161</v>
      </c>
      <c r="D37" s="46"/>
      <c r="E37" s="29">
        <v>3602</v>
      </c>
      <c r="F37" s="66">
        <v>20</v>
      </c>
      <c r="G37" s="104" t="s">
        <v>183</v>
      </c>
    </row>
    <row r="38" spans="1:7" ht="15.75" customHeight="1" x14ac:dyDescent="0.25">
      <c r="A38" s="25">
        <v>2</v>
      </c>
      <c r="B38" s="19">
        <v>15092026</v>
      </c>
      <c r="C38" s="34" t="s">
        <v>162</v>
      </c>
      <c r="D38" s="46"/>
      <c r="E38" s="29">
        <v>3603</v>
      </c>
      <c r="F38" s="66">
        <v>20</v>
      </c>
      <c r="G38" s="104"/>
    </row>
    <row r="39" spans="1:7" ht="15.75" customHeight="1" x14ac:dyDescent="0.25">
      <c r="A39" s="25">
        <v>3</v>
      </c>
      <c r="B39" s="19">
        <v>15092026</v>
      </c>
      <c r="C39" s="34" t="s">
        <v>163</v>
      </c>
      <c r="D39" s="46"/>
      <c r="E39" s="29">
        <v>3601</v>
      </c>
      <c r="F39" s="66">
        <v>20</v>
      </c>
      <c r="G39" s="104"/>
    </row>
    <row r="40" spans="1:7" ht="15.75" customHeight="1" x14ac:dyDescent="0.25">
      <c r="A40" s="25">
        <v>4</v>
      </c>
      <c r="B40" s="19">
        <v>15092026</v>
      </c>
      <c r="C40" s="34" t="s">
        <v>164</v>
      </c>
      <c r="D40" s="46"/>
      <c r="E40" s="29">
        <v>3609</v>
      </c>
      <c r="F40" s="39">
        <v>20</v>
      </c>
      <c r="G40" s="104"/>
    </row>
    <row r="41" spans="1:7" ht="15.75" customHeight="1" x14ac:dyDescent="0.25">
      <c r="A41" s="25">
        <v>5</v>
      </c>
      <c r="B41" s="19">
        <v>15092026</v>
      </c>
      <c r="C41" s="34" t="s">
        <v>165</v>
      </c>
      <c r="D41" s="29">
        <v>3606</v>
      </c>
      <c r="E41" s="29">
        <v>3553</v>
      </c>
      <c r="F41" s="29">
        <v>20</v>
      </c>
      <c r="G41" s="104"/>
    </row>
    <row r="42" spans="1:7" x14ac:dyDescent="0.25">
      <c r="A42" s="25">
        <v>6</v>
      </c>
      <c r="B42" s="19">
        <v>15092026</v>
      </c>
      <c r="C42" s="34" t="s">
        <v>166</v>
      </c>
      <c r="D42" s="46"/>
      <c r="E42" s="29">
        <v>3607</v>
      </c>
      <c r="F42" s="29">
        <v>20</v>
      </c>
      <c r="G42" s="104"/>
    </row>
    <row r="43" spans="1:7" x14ac:dyDescent="0.25">
      <c r="A43" s="25">
        <v>7</v>
      </c>
      <c r="B43" s="19">
        <v>15092026</v>
      </c>
      <c r="C43" s="34" t="s">
        <v>167</v>
      </c>
      <c r="D43" s="46"/>
      <c r="E43" s="29">
        <v>3605</v>
      </c>
      <c r="F43" s="29">
        <v>20</v>
      </c>
      <c r="G43" s="104"/>
    </row>
    <row r="44" spans="1:7" x14ac:dyDescent="0.25">
      <c r="A44" s="25">
        <v>8</v>
      </c>
      <c r="B44" s="19">
        <v>15092026</v>
      </c>
      <c r="C44" s="34" t="s">
        <v>168</v>
      </c>
      <c r="D44" s="46"/>
      <c r="E44" s="29">
        <v>3610</v>
      </c>
      <c r="F44" s="29">
        <v>20</v>
      </c>
      <c r="G44" s="104"/>
    </row>
    <row r="45" spans="1:7" x14ac:dyDescent="0.25">
      <c r="A45" s="25">
        <v>9</v>
      </c>
      <c r="B45" s="19">
        <v>15092026</v>
      </c>
      <c r="C45" s="34" t="s">
        <v>169</v>
      </c>
      <c r="D45" s="46"/>
      <c r="E45" s="29">
        <v>3608</v>
      </c>
      <c r="F45" s="29">
        <v>20</v>
      </c>
      <c r="G45" s="104"/>
    </row>
    <row r="46" spans="1:7" x14ac:dyDescent="0.25">
      <c r="A46" s="25">
        <v>10</v>
      </c>
      <c r="B46" s="19">
        <v>15092026</v>
      </c>
      <c r="C46" s="34" t="s">
        <v>170</v>
      </c>
      <c r="D46" s="46"/>
      <c r="E46" s="29">
        <v>3604</v>
      </c>
      <c r="F46" s="29">
        <v>20</v>
      </c>
      <c r="G46" s="104"/>
    </row>
  </sheetData>
  <mergeCells count="2">
    <mergeCell ref="G37:G46"/>
    <mergeCell ref="A3:H3"/>
  </mergeCells>
  <dataValidations count="2">
    <dataValidation type="list" allowBlank="1" showInputMessage="1" showErrorMessage="1" sqref="F37:F39 F8:F17" xr:uid="{BE976A68-E648-4F40-966B-6A401B30B1D2}">
      <formula1>"20,40,45,50"</formula1>
      <formula2>0</formula2>
    </dataValidation>
    <dataValidation type="list" allowBlank="1" showInputMessage="1" showErrorMessage="1" sqref="F18" xr:uid="{A6C20A5E-C2BD-41E8-A206-5A78C74926B4}">
      <formula1>"20,40,45,50"</formula1>
    </dataValidation>
  </dataValidations>
  <pageMargins left="0.31496062992125984" right="0.11811023622047245" top="0.74803149606299213" bottom="0.74803149606299213" header="0.31496062992125984" footer="0.31496062992125984"/>
  <pageSetup paperSize="9" orientation="portrait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EFD95-392C-46D2-BEA6-1E5A8A7942D2}">
  <dimension ref="A1:N47"/>
  <sheetViews>
    <sheetView workbookViewId="0">
      <selection activeCell="F39" activeCellId="2" sqref="C39 E39 F39"/>
    </sheetView>
  </sheetViews>
  <sheetFormatPr baseColWidth="10" defaultRowHeight="15" x14ac:dyDescent="0.25"/>
  <cols>
    <col min="1" max="1" width="3.140625" style="21" bestFit="1" customWidth="1"/>
    <col min="2" max="2" width="15.5703125" style="21" bestFit="1" customWidth="1"/>
    <col min="3" max="3" width="19.28515625" style="21" customWidth="1"/>
    <col min="4" max="4" width="19.140625" style="21" customWidth="1"/>
    <col min="5" max="5" width="14.28515625" style="21" customWidth="1"/>
    <col min="6" max="6" width="13.85546875" style="21" bestFit="1" customWidth="1"/>
    <col min="7" max="7" width="12.140625" style="21" bestFit="1" customWidth="1"/>
    <col min="8" max="10" width="11.42578125" style="21"/>
    <col min="11" max="11" width="14.7109375" style="21" bestFit="1" customWidth="1"/>
    <col min="12" max="16384" width="11.42578125" style="21"/>
  </cols>
  <sheetData>
    <row r="1" spans="1:10" s="7" customFormat="1" ht="15.75" x14ac:dyDescent="0.25">
      <c r="A1" s="6"/>
      <c r="H1" s="8">
        <f>COUNTIF(C8:C17,"&lt;&gt;")</f>
        <v>0</v>
      </c>
      <c r="I1" s="9" t="s">
        <v>6</v>
      </c>
    </row>
    <row r="2" spans="1:10" s="7" customFormat="1" ht="15.75" x14ac:dyDescent="0.25">
      <c r="A2" s="6"/>
      <c r="F2" s="8">
        <f>COUNTIFS(B22:B29,"&lt;&gt;",C22:C29,"VH")</f>
        <v>0</v>
      </c>
      <c r="G2" s="9" t="s">
        <v>7</v>
      </c>
      <c r="H2" s="8">
        <f>COUNTA(C22:C33)-F2</f>
        <v>12</v>
      </c>
      <c r="I2" s="9" t="s">
        <v>6</v>
      </c>
      <c r="J2" s="10">
        <f>COUNTIF(E22:E29,"VIDE")</f>
        <v>0</v>
      </c>
    </row>
    <row r="3" spans="1:10" s="7" customFormat="1" ht="25.5" x14ac:dyDescent="0.25">
      <c r="A3" s="99" t="s">
        <v>8</v>
      </c>
      <c r="B3" s="99"/>
      <c r="C3" s="99"/>
      <c r="D3" s="99"/>
      <c r="E3" s="99"/>
      <c r="F3" s="99"/>
      <c r="G3" s="99"/>
      <c r="H3" s="99"/>
    </row>
    <row r="4" spans="1:10" s="7" customFormat="1" ht="12.75" x14ac:dyDescent="0.25">
      <c r="A4" s="6"/>
    </row>
    <row r="5" spans="1:10" s="7" customFormat="1" ht="15.75" x14ac:dyDescent="0.25">
      <c r="A5" s="6"/>
      <c r="B5" s="11" t="s">
        <v>9</v>
      </c>
      <c r="G5" s="12">
        <v>46281</v>
      </c>
    </row>
    <row r="6" spans="1:10" s="7" customFormat="1" thickBot="1" x14ac:dyDescent="0.3">
      <c r="A6" s="6"/>
      <c r="B6" s="13"/>
    </row>
    <row r="7" spans="1:10" s="7" customFormat="1" ht="14.25" x14ac:dyDescent="0.25">
      <c r="A7" s="14" t="s">
        <v>10</v>
      </c>
      <c r="B7" s="15" t="s">
        <v>11</v>
      </c>
      <c r="C7" s="15" t="s">
        <v>12</v>
      </c>
      <c r="D7" s="69" t="s">
        <v>13</v>
      </c>
      <c r="E7" s="69" t="s">
        <v>14</v>
      </c>
      <c r="F7" s="69" t="s">
        <v>15</v>
      </c>
    </row>
    <row r="8" spans="1:10" x14ac:dyDescent="0.25">
      <c r="A8" s="17">
        <v>1</v>
      </c>
      <c r="B8" s="25"/>
      <c r="C8" s="68"/>
      <c r="D8" s="24"/>
      <c r="E8" s="24"/>
      <c r="F8" s="18"/>
    </row>
    <row r="9" spans="1:10" x14ac:dyDescent="0.25">
      <c r="A9" s="17">
        <v>2</v>
      </c>
      <c r="B9" s="70"/>
      <c r="C9" s="68"/>
      <c r="D9" s="18"/>
      <c r="E9" s="18"/>
      <c r="F9" s="18"/>
    </row>
    <row r="10" spans="1:10" x14ac:dyDescent="0.25">
      <c r="A10" s="17">
        <v>3</v>
      </c>
      <c r="B10" s="70"/>
      <c r="C10" s="68"/>
      <c r="D10" s="18"/>
      <c r="E10" s="18"/>
      <c r="F10" s="18"/>
    </row>
    <row r="11" spans="1:10" x14ac:dyDescent="0.25">
      <c r="A11" s="17">
        <v>4</v>
      </c>
      <c r="B11" s="70"/>
      <c r="C11" s="68"/>
      <c r="D11" s="18"/>
      <c r="E11" s="18"/>
      <c r="F11" s="18"/>
    </row>
    <row r="12" spans="1:10" x14ac:dyDescent="0.25">
      <c r="A12" s="17">
        <v>5</v>
      </c>
      <c r="B12" s="63"/>
      <c r="C12" s="68"/>
      <c r="D12" s="18"/>
      <c r="E12" s="18"/>
      <c r="F12" s="18"/>
    </row>
    <row r="13" spans="1:10" x14ac:dyDescent="0.25">
      <c r="A13" s="17">
        <v>6</v>
      </c>
      <c r="B13" s="63"/>
      <c r="C13" s="68"/>
      <c r="D13" s="18"/>
      <c r="E13" s="18"/>
      <c r="F13" s="18"/>
    </row>
    <row r="14" spans="1:10" x14ac:dyDescent="0.25">
      <c r="A14" s="17">
        <v>7</v>
      </c>
      <c r="B14" s="63"/>
      <c r="C14" s="68"/>
      <c r="D14" s="24"/>
      <c r="E14" s="24"/>
      <c r="F14" s="18"/>
    </row>
    <row r="15" spans="1:10" x14ac:dyDescent="0.25">
      <c r="A15" s="17"/>
      <c r="B15" s="53"/>
      <c r="C15" s="68"/>
      <c r="D15" s="24"/>
      <c r="E15" s="24"/>
      <c r="F15" s="18"/>
    </row>
    <row r="16" spans="1:10" x14ac:dyDescent="0.25">
      <c r="A16" s="17"/>
      <c r="B16" s="53"/>
      <c r="C16" s="68"/>
      <c r="D16" s="24"/>
      <c r="E16" s="24"/>
      <c r="F16" s="18"/>
    </row>
    <row r="17" spans="1:14" x14ac:dyDescent="0.25">
      <c r="A17" s="17">
        <v>8</v>
      </c>
      <c r="B17" s="42"/>
      <c r="C17" s="68"/>
      <c r="D17" s="24"/>
      <c r="E17" s="23"/>
      <c r="F17" s="18"/>
    </row>
    <row r="18" spans="1:14" ht="15.75" x14ac:dyDescent="0.25">
      <c r="A18" s="6"/>
      <c r="B18" s="20"/>
      <c r="C18" s="7"/>
      <c r="D18" s="26"/>
      <c r="E18" s="26"/>
      <c r="F18" s="26"/>
      <c r="G18" s="7"/>
    </row>
    <row r="19" spans="1:14" ht="15.75" x14ac:dyDescent="0.25">
      <c r="A19" s="6"/>
      <c r="B19" s="11" t="s">
        <v>20</v>
      </c>
    </row>
    <row r="20" spans="1:14" ht="15.75" thickBot="1" x14ac:dyDescent="0.3">
      <c r="A20" s="6"/>
      <c r="B20" s="13"/>
      <c r="C20" s="7"/>
      <c r="D20" s="7"/>
      <c r="E20" s="7"/>
      <c r="F20" s="7"/>
    </row>
    <row r="21" spans="1:14" x14ac:dyDescent="0.25">
      <c r="A21" s="14" t="s">
        <v>10</v>
      </c>
      <c r="B21" s="15" t="s">
        <v>21</v>
      </c>
      <c r="C21" s="15" t="s">
        <v>22</v>
      </c>
      <c r="D21" s="15" t="s">
        <v>13</v>
      </c>
      <c r="E21" s="15" t="s">
        <v>14</v>
      </c>
      <c r="F21" s="16" t="s">
        <v>15</v>
      </c>
    </row>
    <row r="22" spans="1:14" x14ac:dyDescent="0.25">
      <c r="A22" s="25">
        <v>1</v>
      </c>
      <c r="B22" s="19">
        <v>16092026</v>
      </c>
      <c r="C22" s="27" t="s">
        <v>205</v>
      </c>
      <c r="D22" s="71" t="s">
        <v>184</v>
      </c>
      <c r="E22" s="39">
        <v>3561</v>
      </c>
      <c r="F22" s="32">
        <v>40</v>
      </c>
    </row>
    <row r="23" spans="1:14" x14ac:dyDescent="0.25">
      <c r="A23" s="25">
        <v>2</v>
      </c>
      <c r="B23" s="19">
        <v>16092026</v>
      </c>
      <c r="C23" s="27" t="s">
        <v>202</v>
      </c>
      <c r="D23" s="71" t="s">
        <v>185</v>
      </c>
      <c r="E23" s="39">
        <v>3562</v>
      </c>
      <c r="F23" s="32">
        <v>40</v>
      </c>
    </row>
    <row r="24" spans="1:14" x14ac:dyDescent="0.25">
      <c r="A24" s="25">
        <v>3</v>
      </c>
      <c r="B24" s="19">
        <v>16092026</v>
      </c>
      <c r="C24" s="27" t="s">
        <v>206</v>
      </c>
      <c r="D24" s="24" t="s">
        <v>188</v>
      </c>
      <c r="E24" s="39">
        <v>3565</v>
      </c>
      <c r="F24" s="32">
        <v>40</v>
      </c>
    </row>
    <row r="25" spans="1:14" ht="15.75" customHeight="1" x14ac:dyDescent="0.25">
      <c r="A25" s="25">
        <v>4</v>
      </c>
      <c r="B25" s="19">
        <v>16092026</v>
      </c>
      <c r="C25" s="29" t="s">
        <v>203</v>
      </c>
      <c r="D25" s="24" t="s">
        <v>190</v>
      </c>
      <c r="E25" s="39">
        <v>3567</v>
      </c>
      <c r="F25" s="32">
        <v>40</v>
      </c>
      <c r="H25" s="31"/>
      <c r="I25" s="31"/>
      <c r="J25" s="31"/>
      <c r="K25" s="31"/>
    </row>
    <row r="26" spans="1:14" ht="15.75" customHeight="1" x14ac:dyDescent="0.25">
      <c r="A26" s="25">
        <v>5</v>
      </c>
      <c r="B26" s="19">
        <v>16092026</v>
      </c>
      <c r="C26" s="27" t="s">
        <v>204</v>
      </c>
      <c r="D26" s="24" t="s">
        <v>198</v>
      </c>
      <c r="E26" s="39">
        <v>3568</v>
      </c>
      <c r="F26" s="72">
        <v>40</v>
      </c>
      <c r="H26" s="31"/>
      <c r="I26" s="31"/>
      <c r="J26" s="31"/>
      <c r="K26" s="31"/>
    </row>
    <row r="27" spans="1:14" ht="15.75" customHeight="1" x14ac:dyDescent="0.25">
      <c r="A27" s="25">
        <v>6</v>
      </c>
      <c r="B27" s="19">
        <v>16092026</v>
      </c>
      <c r="C27" s="29" t="s">
        <v>200</v>
      </c>
      <c r="D27" s="24" t="s">
        <v>192</v>
      </c>
      <c r="E27" s="39">
        <v>3570</v>
      </c>
      <c r="F27" s="32">
        <v>40</v>
      </c>
      <c r="H27" s="31"/>
      <c r="I27" s="31"/>
      <c r="J27" s="31"/>
      <c r="K27" s="31"/>
    </row>
    <row r="28" spans="1:14" ht="15.75" customHeight="1" x14ac:dyDescent="0.25">
      <c r="A28" s="25">
        <v>7</v>
      </c>
      <c r="B28" s="19">
        <v>16092026</v>
      </c>
      <c r="C28" s="29" t="s">
        <v>207</v>
      </c>
      <c r="D28" s="24" t="s">
        <v>194</v>
      </c>
      <c r="E28" s="39">
        <v>3502</v>
      </c>
      <c r="F28" s="32">
        <v>40</v>
      </c>
      <c r="H28" s="31"/>
      <c r="I28" s="31"/>
      <c r="J28" s="31"/>
      <c r="K28" s="31"/>
    </row>
    <row r="29" spans="1:14" x14ac:dyDescent="0.25">
      <c r="A29" s="25">
        <v>8</v>
      </c>
      <c r="B29" s="19">
        <v>16092026</v>
      </c>
      <c r="C29" s="33" t="s">
        <v>201</v>
      </c>
      <c r="D29" s="24" t="s">
        <v>196</v>
      </c>
      <c r="E29" s="39">
        <v>3580</v>
      </c>
      <c r="F29" s="32">
        <v>40</v>
      </c>
      <c r="K29" s="31"/>
      <c r="L29" s="31"/>
      <c r="M29" s="31"/>
    </row>
    <row r="30" spans="1:14" ht="15.75" customHeight="1" x14ac:dyDescent="0.25">
      <c r="A30" s="25">
        <v>9</v>
      </c>
      <c r="B30" s="19">
        <v>16092026</v>
      </c>
      <c r="C30" s="33" t="s">
        <v>210</v>
      </c>
      <c r="D30" s="65" t="s">
        <v>153</v>
      </c>
      <c r="E30" s="29">
        <v>3554</v>
      </c>
      <c r="F30" s="66">
        <v>20</v>
      </c>
      <c r="K30" s="31"/>
      <c r="L30" s="31"/>
      <c r="M30" s="31"/>
    </row>
    <row r="31" spans="1:14" ht="15.75" customHeight="1" x14ac:dyDescent="0.25">
      <c r="A31" s="25">
        <v>10</v>
      </c>
      <c r="B31" s="19">
        <v>16092026</v>
      </c>
      <c r="C31" s="33" t="s">
        <v>208</v>
      </c>
      <c r="D31" s="67" t="s">
        <v>155</v>
      </c>
      <c r="E31" s="29">
        <v>0</v>
      </c>
      <c r="F31" s="66" t="s">
        <v>157</v>
      </c>
      <c r="K31" s="31"/>
      <c r="L31" s="31"/>
      <c r="M31" s="31"/>
    </row>
    <row r="32" spans="1:14" ht="15.75" customHeight="1" x14ac:dyDescent="0.25">
      <c r="A32" s="25">
        <v>11</v>
      </c>
      <c r="B32" s="19">
        <v>16092026</v>
      </c>
      <c r="C32" s="33" t="s">
        <v>209</v>
      </c>
      <c r="D32" s="66" t="s">
        <v>158</v>
      </c>
      <c r="E32" s="29">
        <v>0</v>
      </c>
      <c r="F32" s="66" t="s">
        <v>157</v>
      </c>
      <c r="L32" s="31"/>
      <c r="M32" s="31"/>
      <c r="N32" s="31"/>
    </row>
    <row r="33" spans="1:7" ht="15.75" customHeight="1" x14ac:dyDescent="0.25">
      <c r="A33" s="25">
        <v>12</v>
      </c>
      <c r="B33" s="19">
        <v>16092026</v>
      </c>
      <c r="C33" s="33" t="s">
        <v>212</v>
      </c>
      <c r="D33" s="28" t="s">
        <v>211</v>
      </c>
      <c r="E33" s="25">
        <v>3943</v>
      </c>
      <c r="F33" s="73">
        <v>20</v>
      </c>
    </row>
    <row r="34" spans="1:7" ht="15.75" customHeight="1" x14ac:dyDescent="0.25">
      <c r="A34" s="35"/>
      <c r="B34" s="36"/>
      <c r="C34" s="37"/>
      <c r="D34" s="75"/>
      <c r="E34" s="35"/>
      <c r="F34" s="41"/>
    </row>
    <row r="35" spans="1:7" ht="15.75" x14ac:dyDescent="0.25">
      <c r="A35" s="6"/>
      <c r="B35" s="11" t="s">
        <v>23</v>
      </c>
      <c r="E35" s="7"/>
      <c r="F35" s="7"/>
    </row>
    <row r="36" spans="1:7" ht="15.75" thickBot="1" x14ac:dyDescent="0.3">
      <c r="A36" s="6"/>
      <c r="B36" s="13"/>
      <c r="C36" s="7"/>
      <c r="D36" s="7"/>
      <c r="E36" s="7"/>
      <c r="F36" s="7"/>
    </row>
    <row r="37" spans="1:7" x14ac:dyDescent="0.25">
      <c r="A37" s="14" t="s">
        <v>10</v>
      </c>
      <c r="B37" s="15" t="s">
        <v>24</v>
      </c>
      <c r="C37" s="15" t="s">
        <v>13</v>
      </c>
      <c r="D37" s="15" t="s">
        <v>25</v>
      </c>
      <c r="E37" s="15" t="s">
        <v>26</v>
      </c>
      <c r="F37" s="16" t="s">
        <v>15</v>
      </c>
    </row>
    <row r="38" spans="1:7" ht="15.75" customHeight="1" x14ac:dyDescent="0.25">
      <c r="A38" s="25">
        <v>1</v>
      </c>
      <c r="B38" s="19">
        <v>16092026</v>
      </c>
      <c r="C38" s="34" t="s">
        <v>100</v>
      </c>
      <c r="D38" s="34" t="s">
        <v>101</v>
      </c>
      <c r="E38" s="29">
        <v>3556</v>
      </c>
      <c r="F38" s="66">
        <v>40</v>
      </c>
      <c r="G38" s="104"/>
    </row>
    <row r="39" spans="1:7" ht="15.75" customHeight="1" x14ac:dyDescent="0.25">
      <c r="A39" s="25">
        <v>2</v>
      </c>
      <c r="B39" s="19">
        <v>16092026</v>
      </c>
      <c r="C39" s="34" t="s">
        <v>50</v>
      </c>
      <c r="D39" s="28" t="s">
        <v>51</v>
      </c>
      <c r="E39" s="29">
        <v>3555</v>
      </c>
      <c r="F39" s="18">
        <v>40</v>
      </c>
      <c r="G39" s="104"/>
    </row>
    <row r="40" spans="1:7" ht="15.75" customHeight="1" x14ac:dyDescent="0.25">
      <c r="A40" s="25">
        <v>3</v>
      </c>
      <c r="B40" s="19">
        <v>16092026</v>
      </c>
      <c r="C40" s="34" t="s">
        <v>130</v>
      </c>
      <c r="D40" s="34">
        <v>18233786</v>
      </c>
      <c r="E40" s="29">
        <v>3558</v>
      </c>
      <c r="F40" s="66">
        <v>40</v>
      </c>
      <c r="G40" s="104"/>
    </row>
    <row r="41" spans="1:7" ht="15.75" customHeight="1" x14ac:dyDescent="0.25">
      <c r="A41" s="25">
        <v>4</v>
      </c>
      <c r="B41" s="19"/>
      <c r="C41" s="34"/>
      <c r="D41" s="46"/>
      <c r="E41" s="29"/>
      <c r="F41" s="39"/>
      <c r="G41" s="104"/>
    </row>
    <row r="42" spans="1:7" ht="15.75" customHeight="1" x14ac:dyDescent="0.25">
      <c r="A42" s="25">
        <v>5</v>
      </c>
      <c r="B42" s="19"/>
      <c r="C42" s="34"/>
      <c r="D42" s="29"/>
      <c r="E42" s="29"/>
      <c r="F42" s="29"/>
      <c r="G42" s="104"/>
    </row>
    <row r="43" spans="1:7" x14ac:dyDescent="0.25">
      <c r="A43" s="25">
        <v>6</v>
      </c>
      <c r="B43" s="19"/>
      <c r="C43" s="34"/>
      <c r="D43" s="46"/>
      <c r="E43" s="29"/>
      <c r="F43" s="29"/>
      <c r="G43" s="104"/>
    </row>
    <row r="44" spans="1:7" x14ac:dyDescent="0.25">
      <c r="A44" s="25">
        <v>7</v>
      </c>
      <c r="B44" s="19"/>
      <c r="C44" s="34"/>
      <c r="D44" s="46"/>
      <c r="E44" s="29"/>
      <c r="F44" s="29"/>
      <c r="G44" s="104"/>
    </row>
    <row r="45" spans="1:7" x14ac:dyDescent="0.25">
      <c r="A45" s="25">
        <v>8</v>
      </c>
      <c r="B45" s="19"/>
      <c r="C45" s="34"/>
      <c r="D45" s="46"/>
      <c r="E45" s="29"/>
      <c r="F45" s="29"/>
      <c r="G45" s="104"/>
    </row>
    <row r="46" spans="1:7" x14ac:dyDescent="0.25">
      <c r="A46" s="25">
        <v>9</v>
      </c>
      <c r="B46" s="19"/>
      <c r="C46" s="34"/>
      <c r="D46" s="46"/>
      <c r="E46" s="29"/>
      <c r="F46" s="29"/>
      <c r="G46" s="104"/>
    </row>
    <row r="47" spans="1:7" x14ac:dyDescent="0.25">
      <c r="A47" s="25">
        <v>10</v>
      </c>
      <c r="B47" s="19"/>
      <c r="C47" s="34"/>
      <c r="D47" s="46"/>
      <c r="E47" s="29"/>
      <c r="F47" s="29"/>
      <c r="G47" s="104"/>
    </row>
  </sheetData>
  <mergeCells count="2">
    <mergeCell ref="A3:H3"/>
    <mergeCell ref="G38:G47"/>
  </mergeCells>
  <dataValidations count="2">
    <dataValidation type="list" allowBlank="1" showInputMessage="1" showErrorMessage="1" sqref="F18 F22:F29" xr:uid="{891C7987-B10E-436C-8334-E349696CE1DC}">
      <formula1>"20,40,45,50"</formula1>
    </dataValidation>
    <dataValidation type="list" allowBlank="1" showInputMessage="1" showErrorMessage="1" sqref="F38:F40 F8:F17 F30:F32" xr:uid="{43175F8C-86E7-45FE-A167-E0EFC0821C3A}">
      <formula1>"20,40,45,50"</formula1>
      <formula2>0</formula2>
    </dataValidation>
  </dataValidations>
  <pageMargins left="0.31496062992125984" right="0.11811023622047245" top="0.74803149606299213" bottom="0.74803149606299213" header="0.31496062992125984" footer="0.31496062992125984"/>
  <pageSetup paperSize="9" orientation="portrait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0925C-618C-42E4-A88C-4B4C613A9259}">
  <dimension ref="A1:O46"/>
  <sheetViews>
    <sheetView topLeftCell="A15" workbookViewId="0">
      <selection activeCell="E39" sqref="E39"/>
    </sheetView>
  </sheetViews>
  <sheetFormatPr baseColWidth="10" defaultRowHeight="15" x14ac:dyDescent="0.25"/>
  <cols>
    <col min="1" max="1" width="3.140625" style="21" bestFit="1" customWidth="1"/>
    <col min="2" max="2" width="15.5703125" style="21" bestFit="1" customWidth="1"/>
    <col min="3" max="3" width="19.28515625" style="21" customWidth="1"/>
    <col min="4" max="4" width="19.140625" style="21" customWidth="1"/>
    <col min="5" max="5" width="14.28515625" style="21" customWidth="1"/>
    <col min="6" max="6" width="13.85546875" style="21" bestFit="1" customWidth="1"/>
    <col min="7" max="7" width="12.140625" style="21" bestFit="1" customWidth="1"/>
    <col min="8" max="10" width="11.42578125" style="21"/>
    <col min="11" max="11" width="14.7109375" style="21" bestFit="1" customWidth="1"/>
    <col min="12" max="16384" width="11.42578125" style="21"/>
  </cols>
  <sheetData>
    <row r="1" spans="1:10" s="7" customFormat="1" ht="15.75" x14ac:dyDescent="0.25">
      <c r="A1" s="6"/>
      <c r="H1" s="8">
        <f>COUNTIF(C8:C17,"&lt;&gt;")</f>
        <v>0</v>
      </c>
      <c r="I1" s="9" t="s">
        <v>6</v>
      </c>
    </row>
    <row r="2" spans="1:10" s="7" customFormat="1" ht="15.75" x14ac:dyDescent="0.25">
      <c r="A2" s="6"/>
      <c r="F2" s="8">
        <f>COUNTIFS(B22:B31,"&lt;&gt;",C22:C31,"VH")</f>
        <v>0</v>
      </c>
      <c r="G2" s="9" t="s">
        <v>7</v>
      </c>
      <c r="H2" s="8">
        <f>COUNTA(C22:C31)-F2</f>
        <v>8</v>
      </c>
      <c r="I2" s="9" t="s">
        <v>6</v>
      </c>
      <c r="J2" s="10">
        <f>COUNTIF(E22:E31,"VIDE")</f>
        <v>0</v>
      </c>
    </row>
    <row r="3" spans="1:10" s="7" customFormat="1" ht="25.5" x14ac:dyDescent="0.25">
      <c r="A3" s="99" t="s">
        <v>8</v>
      </c>
      <c r="B3" s="99"/>
      <c r="C3" s="99"/>
      <c r="D3" s="99"/>
      <c r="E3" s="99"/>
      <c r="F3" s="99"/>
      <c r="G3" s="99"/>
      <c r="H3" s="99"/>
    </row>
    <row r="4" spans="1:10" s="7" customFormat="1" ht="12.75" x14ac:dyDescent="0.25">
      <c r="A4" s="6"/>
    </row>
    <row r="5" spans="1:10" s="7" customFormat="1" ht="15.75" x14ac:dyDescent="0.25">
      <c r="A5" s="6"/>
      <c r="B5" s="11" t="s">
        <v>9</v>
      </c>
      <c r="G5" s="12">
        <v>46282</v>
      </c>
    </row>
    <row r="6" spans="1:10" s="7" customFormat="1" thickBot="1" x14ac:dyDescent="0.3">
      <c r="A6" s="6"/>
      <c r="B6" s="13"/>
    </row>
    <row r="7" spans="1:10" s="7" customFormat="1" ht="14.25" x14ac:dyDescent="0.25">
      <c r="A7" s="14" t="s">
        <v>10</v>
      </c>
      <c r="B7" s="15" t="s">
        <v>11</v>
      </c>
      <c r="C7" s="15" t="s">
        <v>12</v>
      </c>
      <c r="D7" s="69" t="s">
        <v>13</v>
      </c>
      <c r="E7" s="69" t="s">
        <v>14</v>
      </c>
      <c r="F7" s="69" t="s">
        <v>15</v>
      </c>
    </row>
    <row r="8" spans="1:10" x14ac:dyDescent="0.25">
      <c r="A8" s="17">
        <v>1</v>
      </c>
      <c r="B8" s="25"/>
      <c r="C8" s="68"/>
      <c r="D8" s="24"/>
      <c r="E8" s="24"/>
      <c r="F8" s="18"/>
    </row>
    <row r="9" spans="1:10" x14ac:dyDescent="0.25">
      <c r="A9" s="17">
        <v>2</v>
      </c>
      <c r="B9" s="70"/>
      <c r="C9" s="68"/>
      <c r="D9" s="18"/>
      <c r="E9" s="18"/>
      <c r="F9" s="18"/>
    </row>
    <row r="10" spans="1:10" x14ac:dyDescent="0.25">
      <c r="A10" s="17">
        <v>3</v>
      </c>
      <c r="B10" s="70"/>
      <c r="C10" s="68"/>
      <c r="D10" s="18"/>
      <c r="E10" s="18"/>
      <c r="F10" s="18"/>
    </row>
    <row r="11" spans="1:10" x14ac:dyDescent="0.25">
      <c r="A11" s="17">
        <v>4</v>
      </c>
      <c r="B11" s="70"/>
      <c r="C11" s="68"/>
      <c r="D11" s="18"/>
      <c r="E11" s="18"/>
      <c r="F11" s="18"/>
    </row>
    <row r="12" spans="1:10" x14ac:dyDescent="0.25">
      <c r="A12" s="17">
        <v>5</v>
      </c>
      <c r="B12" s="63"/>
      <c r="C12" s="68"/>
      <c r="D12" s="18"/>
      <c r="E12" s="18"/>
      <c r="F12" s="18"/>
    </row>
    <row r="13" spans="1:10" x14ac:dyDescent="0.25">
      <c r="A13" s="17">
        <v>6</v>
      </c>
      <c r="B13" s="63"/>
      <c r="C13" s="68"/>
      <c r="D13" s="18"/>
      <c r="E13" s="18"/>
      <c r="F13" s="18"/>
    </row>
    <row r="14" spans="1:10" x14ac:dyDescent="0.25">
      <c r="A14" s="17">
        <v>7</v>
      </c>
      <c r="B14" s="63"/>
      <c r="C14" s="68"/>
      <c r="D14" s="24"/>
      <c r="E14" s="24"/>
      <c r="F14" s="18"/>
    </row>
    <row r="15" spans="1:10" x14ac:dyDescent="0.25">
      <c r="A15" s="17"/>
      <c r="B15" s="53"/>
      <c r="C15" s="68"/>
      <c r="D15" s="24"/>
      <c r="E15" s="24"/>
      <c r="F15" s="18"/>
    </row>
    <row r="16" spans="1:10" x14ac:dyDescent="0.25">
      <c r="A16" s="17"/>
      <c r="B16" s="53"/>
      <c r="C16" s="68"/>
      <c r="D16" s="24"/>
      <c r="E16" s="24"/>
      <c r="F16" s="18"/>
    </row>
    <row r="17" spans="1:15" x14ac:dyDescent="0.25">
      <c r="A17" s="17">
        <v>8</v>
      </c>
      <c r="B17" s="42"/>
      <c r="C17" s="68"/>
      <c r="D17" s="24"/>
      <c r="E17" s="23"/>
      <c r="F17" s="18"/>
    </row>
    <row r="18" spans="1:15" ht="15.75" x14ac:dyDescent="0.25">
      <c r="A18" s="6"/>
      <c r="B18" s="20"/>
      <c r="C18" s="7"/>
      <c r="D18" s="26"/>
      <c r="E18" s="26"/>
      <c r="F18" s="26"/>
      <c r="G18" s="7"/>
    </row>
    <row r="19" spans="1:15" ht="15.75" x14ac:dyDescent="0.25">
      <c r="A19" s="6"/>
      <c r="B19" s="11" t="s">
        <v>20</v>
      </c>
    </row>
    <row r="20" spans="1:15" ht="15.75" thickBot="1" x14ac:dyDescent="0.3">
      <c r="A20" s="6"/>
      <c r="B20" s="13"/>
      <c r="C20" s="7"/>
      <c r="D20" s="7"/>
      <c r="E20" s="7"/>
      <c r="F20" s="7"/>
    </row>
    <row r="21" spans="1:15" x14ac:dyDescent="0.25">
      <c r="A21" s="14" t="s">
        <v>10</v>
      </c>
      <c r="B21" s="15" t="s">
        <v>21</v>
      </c>
      <c r="C21" s="15" t="s">
        <v>22</v>
      </c>
      <c r="D21" s="15" t="s">
        <v>13</v>
      </c>
      <c r="E21" s="15" t="s">
        <v>14</v>
      </c>
      <c r="F21" s="16" t="s">
        <v>15</v>
      </c>
    </row>
    <row r="22" spans="1:15" x14ac:dyDescent="0.25">
      <c r="A22" s="25">
        <v>1</v>
      </c>
      <c r="B22" s="19">
        <v>17092026</v>
      </c>
      <c r="C22" s="34" t="s">
        <v>214</v>
      </c>
      <c r="D22" s="24" t="s">
        <v>186</v>
      </c>
      <c r="E22" s="39">
        <v>3564</v>
      </c>
      <c r="F22" s="32">
        <v>40</v>
      </c>
    </row>
    <row r="23" spans="1:15" ht="15.75" customHeight="1" x14ac:dyDescent="0.25">
      <c r="A23" s="25">
        <v>2</v>
      </c>
      <c r="B23" s="19">
        <v>17092026</v>
      </c>
      <c r="C23" s="29" t="s">
        <v>203</v>
      </c>
      <c r="D23" s="24" t="s">
        <v>187</v>
      </c>
      <c r="E23" s="39">
        <v>3563</v>
      </c>
      <c r="F23" s="32">
        <v>40</v>
      </c>
      <c r="I23" s="31"/>
      <c r="J23" s="31"/>
      <c r="K23" s="31"/>
      <c r="L23" s="31"/>
      <c r="M23" s="31"/>
    </row>
    <row r="24" spans="1:15" ht="15.75" customHeight="1" x14ac:dyDescent="0.25">
      <c r="A24" s="25">
        <v>3</v>
      </c>
      <c r="B24" s="19">
        <v>17092026</v>
      </c>
      <c r="C24" s="27" t="s">
        <v>215</v>
      </c>
      <c r="D24" s="24" t="s">
        <v>189</v>
      </c>
      <c r="E24" s="39">
        <v>3566</v>
      </c>
      <c r="F24" s="32">
        <v>40</v>
      </c>
      <c r="I24" s="31"/>
      <c r="J24" s="31"/>
      <c r="K24" s="31"/>
      <c r="L24" s="31"/>
      <c r="M24" s="31"/>
    </row>
    <row r="25" spans="1:15" ht="15.75" customHeight="1" x14ac:dyDescent="0.25">
      <c r="A25" s="25">
        <v>4</v>
      </c>
      <c r="B25" s="19">
        <v>17092026</v>
      </c>
      <c r="C25" s="29" t="s">
        <v>213</v>
      </c>
      <c r="D25" s="24" t="s">
        <v>191</v>
      </c>
      <c r="E25" s="39">
        <v>3569</v>
      </c>
      <c r="F25" s="32">
        <v>40</v>
      </c>
      <c r="I25" s="31"/>
      <c r="J25" s="31"/>
      <c r="K25" s="31"/>
      <c r="L25" s="31"/>
      <c r="M25" s="31"/>
    </row>
    <row r="26" spans="1:15" ht="15.75" customHeight="1" x14ac:dyDescent="0.25">
      <c r="A26" s="25">
        <v>5</v>
      </c>
      <c r="B26" s="19">
        <v>17092026</v>
      </c>
      <c r="C26" s="29" t="s">
        <v>200</v>
      </c>
      <c r="D26" s="24" t="s">
        <v>193</v>
      </c>
      <c r="E26" s="39">
        <v>3503</v>
      </c>
      <c r="F26" s="32">
        <v>40</v>
      </c>
      <c r="I26" s="31"/>
      <c r="J26" s="31"/>
      <c r="K26" s="31"/>
      <c r="L26" s="31"/>
      <c r="M26" s="31"/>
    </row>
    <row r="27" spans="1:15" ht="15.75" customHeight="1" x14ac:dyDescent="0.25">
      <c r="A27" s="25">
        <v>6</v>
      </c>
      <c r="B27" s="19">
        <v>17092026</v>
      </c>
      <c r="C27" s="27" t="s">
        <v>206</v>
      </c>
      <c r="D27" s="24" t="s">
        <v>195</v>
      </c>
      <c r="E27" s="39">
        <v>3501</v>
      </c>
      <c r="F27" s="32">
        <v>40</v>
      </c>
      <c r="I27" s="31"/>
      <c r="J27" s="31"/>
      <c r="K27" s="31"/>
      <c r="L27" s="31"/>
      <c r="M27" s="31"/>
    </row>
    <row r="28" spans="1:15" ht="15.75" customHeight="1" x14ac:dyDescent="0.25">
      <c r="A28" s="25">
        <v>7</v>
      </c>
      <c r="B28" s="19">
        <v>17092026</v>
      </c>
      <c r="C28" s="29" t="s">
        <v>217</v>
      </c>
      <c r="D28" s="24" t="s">
        <v>199</v>
      </c>
      <c r="E28" s="24" t="s">
        <v>157</v>
      </c>
      <c r="F28" s="32">
        <v>40</v>
      </c>
      <c r="I28" s="31"/>
      <c r="J28" s="31"/>
      <c r="K28" s="31"/>
      <c r="L28" s="31"/>
      <c r="M28" s="31"/>
    </row>
    <row r="29" spans="1:15" x14ac:dyDescent="0.25">
      <c r="A29" s="25">
        <v>8</v>
      </c>
      <c r="B29" s="19">
        <v>17092026</v>
      </c>
      <c r="C29" s="27" t="s">
        <v>216</v>
      </c>
      <c r="D29" s="24" t="s">
        <v>197</v>
      </c>
      <c r="E29" s="24" t="s">
        <v>157</v>
      </c>
      <c r="F29" s="32">
        <v>40</v>
      </c>
    </row>
    <row r="30" spans="1:15" x14ac:dyDescent="0.25">
      <c r="A30" s="25">
        <v>9</v>
      </c>
      <c r="B30" s="19"/>
      <c r="C30" s="27"/>
      <c r="D30" s="28"/>
      <c r="E30" s="30"/>
      <c r="F30" s="25"/>
    </row>
    <row r="31" spans="1:15" x14ac:dyDescent="0.25">
      <c r="A31" s="25">
        <v>10</v>
      </c>
      <c r="B31" s="19"/>
      <c r="C31" s="33"/>
      <c r="D31" s="34"/>
      <c r="E31" s="30"/>
      <c r="F31" s="25"/>
      <c r="L31" s="31"/>
      <c r="M31" s="31"/>
      <c r="N31" s="31"/>
      <c r="O31" s="31"/>
    </row>
    <row r="32" spans="1:15" ht="15.75" customHeight="1" x14ac:dyDescent="0.25">
      <c r="A32" s="25">
        <v>11</v>
      </c>
      <c r="B32" s="19"/>
      <c r="C32" s="33"/>
      <c r="D32" s="46"/>
      <c r="E32" s="30"/>
      <c r="F32" s="25"/>
      <c r="L32" s="31"/>
      <c r="M32" s="31"/>
      <c r="N32" s="31"/>
      <c r="O32" s="31"/>
    </row>
    <row r="33" spans="1:7" ht="15.75" customHeight="1" x14ac:dyDescent="0.25">
      <c r="A33" s="35"/>
      <c r="B33" s="36"/>
      <c r="C33" s="37"/>
      <c r="D33"/>
      <c r="E33" s="38"/>
      <c r="F33" s="35"/>
    </row>
    <row r="34" spans="1:7" ht="15.75" x14ac:dyDescent="0.25">
      <c r="A34" s="6"/>
      <c r="B34" s="11" t="s">
        <v>23</v>
      </c>
      <c r="E34" s="7"/>
      <c r="F34" s="7"/>
    </row>
    <row r="35" spans="1:7" ht="15.75" thickBot="1" x14ac:dyDescent="0.3">
      <c r="A35" s="6"/>
      <c r="B35" s="13"/>
      <c r="C35" s="7"/>
      <c r="D35" s="7"/>
      <c r="E35" s="7"/>
      <c r="F35" s="7"/>
    </row>
    <row r="36" spans="1:7" x14ac:dyDescent="0.25">
      <c r="A36" s="14" t="s">
        <v>10</v>
      </c>
      <c r="B36" s="15" t="s">
        <v>24</v>
      </c>
      <c r="C36" s="15" t="s">
        <v>13</v>
      </c>
      <c r="D36" s="15" t="s">
        <v>25</v>
      </c>
      <c r="E36" s="15" t="s">
        <v>26</v>
      </c>
      <c r="F36" s="16" t="s">
        <v>15</v>
      </c>
    </row>
    <row r="37" spans="1:7" ht="15.75" customHeight="1" x14ac:dyDescent="0.25">
      <c r="A37" s="25">
        <v>1</v>
      </c>
      <c r="B37" s="19">
        <v>17092026</v>
      </c>
      <c r="C37" s="52" t="s">
        <v>58</v>
      </c>
      <c r="D37" s="52" t="s">
        <v>59</v>
      </c>
      <c r="E37" s="29">
        <v>3560</v>
      </c>
      <c r="F37" s="66">
        <v>20</v>
      </c>
      <c r="G37" s="74"/>
    </row>
    <row r="38" spans="1:7" ht="15.75" customHeight="1" x14ac:dyDescent="0.25">
      <c r="A38" s="25">
        <v>2</v>
      </c>
      <c r="B38" s="19">
        <v>17092026</v>
      </c>
      <c r="C38" s="22" t="s">
        <v>60</v>
      </c>
      <c r="D38" s="18" t="s">
        <v>61</v>
      </c>
      <c r="E38" s="29">
        <v>3557</v>
      </c>
      <c r="F38" s="66">
        <v>40</v>
      </c>
      <c r="G38" s="74"/>
    </row>
    <row r="39" spans="1:7" ht="15.75" customHeight="1" x14ac:dyDescent="0.25">
      <c r="A39" s="25">
        <v>3</v>
      </c>
      <c r="B39" s="19"/>
      <c r="C39" s="34"/>
      <c r="D39" s="46"/>
      <c r="E39" s="29"/>
      <c r="F39" s="66"/>
      <c r="G39" s="74"/>
    </row>
    <row r="40" spans="1:7" ht="15.75" customHeight="1" x14ac:dyDescent="0.25">
      <c r="A40" s="25">
        <v>4</v>
      </c>
      <c r="B40" s="19"/>
      <c r="C40" s="34"/>
      <c r="D40" s="46"/>
      <c r="E40" s="29"/>
      <c r="F40" s="39"/>
      <c r="G40" s="74"/>
    </row>
    <row r="41" spans="1:7" ht="15.75" customHeight="1" x14ac:dyDescent="0.25">
      <c r="A41" s="25">
        <v>5</v>
      </c>
      <c r="B41" s="19"/>
      <c r="C41" s="34"/>
      <c r="D41" s="29"/>
      <c r="E41" s="29"/>
      <c r="F41" s="29"/>
      <c r="G41" s="74"/>
    </row>
    <row r="42" spans="1:7" x14ac:dyDescent="0.25">
      <c r="A42" s="25">
        <v>6</v>
      </c>
      <c r="B42" s="19"/>
      <c r="C42" s="34"/>
      <c r="D42" s="46"/>
      <c r="E42" s="29"/>
      <c r="F42" s="29"/>
      <c r="G42" s="74"/>
    </row>
    <row r="43" spans="1:7" x14ac:dyDescent="0.25">
      <c r="A43" s="25">
        <v>7</v>
      </c>
      <c r="B43" s="19"/>
      <c r="C43" s="34"/>
      <c r="D43" s="46"/>
      <c r="E43" s="29"/>
      <c r="F43" s="29"/>
      <c r="G43" s="74"/>
    </row>
    <row r="44" spans="1:7" x14ac:dyDescent="0.25">
      <c r="A44" s="25">
        <v>8</v>
      </c>
      <c r="B44" s="19"/>
      <c r="C44" s="34"/>
      <c r="D44" s="46"/>
      <c r="E44" s="29"/>
      <c r="F44" s="29"/>
      <c r="G44" s="74"/>
    </row>
    <row r="45" spans="1:7" x14ac:dyDescent="0.25">
      <c r="A45" s="25">
        <v>9</v>
      </c>
      <c r="B45" s="19"/>
      <c r="C45" s="34"/>
      <c r="D45" s="46"/>
      <c r="E45" s="29"/>
      <c r="F45" s="29"/>
      <c r="G45" s="74"/>
    </row>
    <row r="46" spans="1:7" x14ac:dyDescent="0.25">
      <c r="A46" s="25">
        <v>10</v>
      </c>
      <c r="B46" s="19"/>
      <c r="C46" s="34"/>
      <c r="D46" s="46"/>
      <c r="E46" s="29"/>
      <c r="F46" s="29"/>
      <c r="G46" s="74"/>
    </row>
  </sheetData>
  <mergeCells count="1">
    <mergeCell ref="A3:H3"/>
  </mergeCells>
  <dataValidations count="2">
    <dataValidation type="list" allowBlank="1" showInputMessage="1" showErrorMessage="1" sqref="F18 F22:F29" xr:uid="{107D6956-A25D-430E-87AD-58F29C574C32}">
      <formula1>"20,40,45,50"</formula1>
    </dataValidation>
    <dataValidation type="list" allowBlank="1" showInputMessage="1" showErrorMessage="1" sqref="F37:F39 F8:F17" xr:uid="{667C2021-4E48-4662-AC30-297C3003C15A}">
      <formula1>"20,40,45,50"</formula1>
      <formula2>0</formula2>
    </dataValidation>
  </dataValidations>
  <pageMargins left="0.31496062992125984" right="0.11811023622047245" top="0.74803149606299213" bottom="0.74803149606299213" header="0.31496062992125984" footer="0.31496062992125984"/>
  <pageSetup paperSize="9" orientation="portrait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353A5-9210-4845-B819-E6D5BC671F07}">
  <dimension ref="A1:O46"/>
  <sheetViews>
    <sheetView topLeftCell="A15" workbookViewId="0">
      <selection activeCell="C38" sqref="C38"/>
    </sheetView>
  </sheetViews>
  <sheetFormatPr baseColWidth="10" defaultRowHeight="15" x14ac:dyDescent="0.25"/>
  <cols>
    <col min="1" max="1" width="3.140625" style="21" bestFit="1" customWidth="1"/>
    <col min="2" max="2" width="15.5703125" style="21" bestFit="1" customWidth="1"/>
    <col min="3" max="3" width="19.28515625" style="21" customWidth="1"/>
    <col min="4" max="4" width="19.140625" style="21" customWidth="1"/>
    <col min="5" max="5" width="14.28515625" style="21" customWidth="1"/>
    <col min="6" max="6" width="13.85546875" style="21" bestFit="1" customWidth="1"/>
    <col min="7" max="7" width="12.140625" style="21" bestFit="1" customWidth="1"/>
    <col min="8" max="10" width="11.42578125" style="21"/>
    <col min="11" max="11" width="14.7109375" style="21" bestFit="1" customWidth="1"/>
    <col min="12" max="16384" width="11.42578125" style="21"/>
  </cols>
  <sheetData>
    <row r="1" spans="1:10" s="7" customFormat="1" ht="15.75" x14ac:dyDescent="0.25">
      <c r="A1" s="6"/>
      <c r="H1" s="8">
        <f>COUNTIF(C8:C17,"&lt;&gt;")</f>
        <v>0</v>
      </c>
      <c r="I1" s="9" t="s">
        <v>6</v>
      </c>
    </row>
    <row r="2" spans="1:10" s="7" customFormat="1" ht="15.75" x14ac:dyDescent="0.25">
      <c r="A2" s="6"/>
      <c r="F2" s="8">
        <f>COUNTIFS(B22:B31,"&lt;&gt;",C22:C31,"VH")</f>
        <v>0</v>
      </c>
      <c r="G2" s="9" t="s">
        <v>7</v>
      </c>
      <c r="H2" s="8">
        <f>COUNTA(C22:C31)-F2</f>
        <v>2</v>
      </c>
      <c r="I2" s="9" t="s">
        <v>6</v>
      </c>
      <c r="J2" s="10">
        <f>COUNTIF(E22:E31,"VIDE")</f>
        <v>0</v>
      </c>
    </row>
    <row r="3" spans="1:10" s="7" customFormat="1" ht="25.5" x14ac:dyDescent="0.25">
      <c r="A3" s="99" t="s">
        <v>8</v>
      </c>
      <c r="B3" s="99"/>
      <c r="C3" s="99"/>
      <c r="D3" s="99"/>
      <c r="E3" s="99"/>
      <c r="F3" s="99"/>
      <c r="G3" s="99"/>
      <c r="H3" s="99"/>
    </row>
    <row r="4" spans="1:10" s="7" customFormat="1" ht="12.75" x14ac:dyDescent="0.25">
      <c r="A4" s="6"/>
    </row>
    <row r="5" spans="1:10" s="7" customFormat="1" ht="15.75" x14ac:dyDescent="0.25">
      <c r="A5" s="6"/>
      <c r="B5" s="11" t="s">
        <v>9</v>
      </c>
      <c r="G5" s="12">
        <v>46285</v>
      </c>
    </row>
    <row r="6" spans="1:10" s="7" customFormat="1" thickBot="1" x14ac:dyDescent="0.3">
      <c r="A6" s="6"/>
      <c r="B6" s="13"/>
    </row>
    <row r="7" spans="1:10" s="7" customFormat="1" ht="14.25" x14ac:dyDescent="0.25">
      <c r="A7" s="14" t="s">
        <v>10</v>
      </c>
      <c r="B7" s="15" t="s">
        <v>11</v>
      </c>
      <c r="C7" s="15" t="s">
        <v>12</v>
      </c>
      <c r="D7" s="69" t="s">
        <v>13</v>
      </c>
      <c r="E7" s="69" t="s">
        <v>14</v>
      </c>
      <c r="F7" s="69" t="s">
        <v>15</v>
      </c>
    </row>
    <row r="8" spans="1:10" x14ac:dyDescent="0.25">
      <c r="A8" s="17">
        <v>1</v>
      </c>
      <c r="B8" s="25"/>
      <c r="C8" s="68"/>
      <c r="D8" s="24"/>
      <c r="E8" s="24"/>
      <c r="F8" s="18"/>
    </row>
    <row r="9" spans="1:10" x14ac:dyDescent="0.25">
      <c r="A9" s="17">
        <v>2</v>
      </c>
      <c r="B9" s="70"/>
      <c r="C9" s="68"/>
      <c r="D9" s="18"/>
      <c r="E9" s="18"/>
      <c r="F9" s="18"/>
    </row>
    <row r="10" spans="1:10" x14ac:dyDescent="0.25">
      <c r="A10" s="17">
        <v>3</v>
      </c>
      <c r="B10" s="70"/>
      <c r="C10" s="68"/>
      <c r="D10" s="18"/>
      <c r="E10" s="18"/>
      <c r="F10" s="18"/>
    </row>
    <row r="11" spans="1:10" x14ac:dyDescent="0.25">
      <c r="A11" s="17">
        <v>4</v>
      </c>
      <c r="B11" s="70"/>
      <c r="C11" s="68"/>
      <c r="D11" s="18"/>
      <c r="E11" s="18"/>
      <c r="F11" s="18"/>
    </row>
    <row r="12" spans="1:10" x14ac:dyDescent="0.25">
      <c r="A12" s="17">
        <v>5</v>
      </c>
      <c r="B12" s="63"/>
      <c r="C12" s="68"/>
      <c r="D12" s="18"/>
      <c r="E12" s="18"/>
      <c r="F12" s="18"/>
    </row>
    <row r="13" spans="1:10" x14ac:dyDescent="0.25">
      <c r="A13" s="17">
        <v>6</v>
      </c>
      <c r="B13" s="63"/>
      <c r="C13" s="68"/>
      <c r="D13" s="18"/>
      <c r="E13" s="18"/>
      <c r="F13" s="18"/>
    </row>
    <row r="14" spans="1:10" x14ac:dyDescent="0.25">
      <c r="A14" s="17">
        <v>7</v>
      </c>
      <c r="B14" s="63"/>
      <c r="C14" s="68"/>
      <c r="D14" s="24"/>
      <c r="E14" s="24"/>
      <c r="F14" s="18"/>
    </row>
    <row r="15" spans="1:10" x14ac:dyDescent="0.25">
      <c r="A15" s="17"/>
      <c r="B15" s="53"/>
      <c r="C15" s="68"/>
      <c r="D15" s="24"/>
      <c r="E15" s="24"/>
      <c r="F15" s="18"/>
    </row>
    <row r="16" spans="1:10" x14ac:dyDescent="0.25">
      <c r="A16" s="17"/>
      <c r="B16" s="53"/>
      <c r="C16" s="68"/>
      <c r="D16" s="24"/>
      <c r="E16" s="24"/>
      <c r="F16" s="18"/>
    </row>
    <row r="17" spans="1:15" x14ac:dyDescent="0.25">
      <c r="A17" s="17">
        <v>8</v>
      </c>
      <c r="B17" s="42"/>
      <c r="C17" s="68"/>
      <c r="D17" s="24"/>
      <c r="E17" s="23"/>
      <c r="F17" s="18"/>
    </row>
    <row r="18" spans="1:15" ht="15.75" x14ac:dyDescent="0.25">
      <c r="A18" s="6"/>
      <c r="B18" s="20"/>
      <c r="C18" s="7"/>
      <c r="D18" s="26"/>
      <c r="E18" s="26"/>
      <c r="F18" s="26"/>
      <c r="G18" s="7"/>
    </row>
    <row r="19" spans="1:15" ht="15.75" x14ac:dyDescent="0.25">
      <c r="A19" s="6"/>
      <c r="B19" s="11" t="s">
        <v>20</v>
      </c>
    </row>
    <row r="20" spans="1:15" ht="15.75" thickBot="1" x14ac:dyDescent="0.3">
      <c r="A20" s="6"/>
      <c r="B20" s="13"/>
      <c r="C20" s="7"/>
      <c r="D20" s="7"/>
      <c r="E20" s="7"/>
      <c r="F20" s="7"/>
    </row>
    <row r="21" spans="1:15" x14ac:dyDescent="0.25">
      <c r="A21" s="14" t="s">
        <v>10</v>
      </c>
      <c r="B21" s="15" t="s">
        <v>21</v>
      </c>
      <c r="C21" s="15" t="s">
        <v>22</v>
      </c>
      <c r="D21" s="15" t="s">
        <v>13</v>
      </c>
      <c r="E21" s="15" t="s">
        <v>14</v>
      </c>
      <c r="F21" s="16" t="s">
        <v>15</v>
      </c>
    </row>
    <row r="22" spans="1:15" x14ac:dyDescent="0.25">
      <c r="A22" s="25">
        <v>1</v>
      </c>
      <c r="B22" s="19">
        <v>20092026</v>
      </c>
      <c r="C22" s="34" t="s">
        <v>223</v>
      </c>
      <c r="D22" s="24" t="s">
        <v>100</v>
      </c>
      <c r="E22" s="39">
        <v>3556</v>
      </c>
      <c r="F22" s="32">
        <v>40</v>
      </c>
    </row>
    <row r="23" spans="1:15" ht="15.75" customHeight="1" x14ac:dyDescent="0.25">
      <c r="A23" s="25">
        <v>2</v>
      </c>
      <c r="B23" s="19">
        <v>20092026</v>
      </c>
      <c r="C23" s="29" t="s">
        <v>224</v>
      </c>
      <c r="D23" s="34" t="s">
        <v>50</v>
      </c>
      <c r="E23" s="29">
        <v>3555</v>
      </c>
      <c r="F23" s="18">
        <v>40</v>
      </c>
      <c r="I23" s="31"/>
      <c r="J23" s="31"/>
      <c r="K23" s="31"/>
      <c r="L23" s="31"/>
      <c r="M23" s="31"/>
    </row>
    <row r="24" spans="1:15" ht="15.75" customHeight="1" x14ac:dyDescent="0.25">
      <c r="A24" s="25">
        <v>3</v>
      </c>
      <c r="B24" s="19"/>
      <c r="C24" s="27"/>
      <c r="D24" s="24"/>
      <c r="E24" s="39"/>
      <c r="F24" s="32"/>
      <c r="I24" s="31"/>
      <c r="J24" s="31"/>
      <c r="K24" s="31"/>
      <c r="L24" s="31"/>
      <c r="M24" s="31"/>
    </row>
    <row r="25" spans="1:15" ht="15.75" customHeight="1" x14ac:dyDescent="0.25">
      <c r="A25" s="25">
        <v>4</v>
      </c>
      <c r="B25" s="19"/>
      <c r="C25" s="29"/>
      <c r="D25" s="24"/>
      <c r="E25" s="39"/>
      <c r="F25" s="32"/>
      <c r="I25" s="31"/>
      <c r="J25" s="31"/>
      <c r="K25" s="31"/>
      <c r="L25" s="31"/>
      <c r="M25" s="31"/>
    </row>
    <row r="26" spans="1:15" ht="15.75" customHeight="1" x14ac:dyDescent="0.25">
      <c r="A26" s="25">
        <v>5</v>
      </c>
      <c r="B26" s="19"/>
      <c r="C26" s="29"/>
      <c r="D26" s="24"/>
      <c r="E26" s="39"/>
      <c r="F26" s="32"/>
      <c r="I26" s="31"/>
      <c r="J26" s="31"/>
      <c r="K26" s="31"/>
      <c r="L26" s="31"/>
      <c r="M26" s="31"/>
    </row>
    <row r="27" spans="1:15" ht="15.75" customHeight="1" x14ac:dyDescent="0.25">
      <c r="A27" s="25">
        <v>6</v>
      </c>
      <c r="B27" s="19"/>
      <c r="C27" s="27"/>
      <c r="D27" s="24"/>
      <c r="E27" s="39"/>
      <c r="F27" s="32"/>
      <c r="I27" s="31"/>
      <c r="J27" s="31"/>
      <c r="K27" s="31"/>
      <c r="L27" s="31"/>
      <c r="M27" s="31"/>
    </row>
    <row r="28" spans="1:15" ht="15.75" customHeight="1" x14ac:dyDescent="0.25">
      <c r="A28" s="25">
        <v>7</v>
      </c>
      <c r="B28" s="19"/>
      <c r="C28" s="29"/>
      <c r="D28" s="24"/>
      <c r="F28" s="32"/>
      <c r="I28" s="31"/>
      <c r="J28" s="31"/>
      <c r="K28" s="31"/>
      <c r="L28" s="31"/>
      <c r="M28" s="31"/>
    </row>
    <row r="29" spans="1:15" x14ac:dyDescent="0.25">
      <c r="A29" s="25">
        <v>8</v>
      </c>
      <c r="B29" s="19"/>
      <c r="C29" s="27"/>
      <c r="D29" s="24"/>
      <c r="E29" s="24"/>
      <c r="F29" s="32"/>
    </row>
    <row r="30" spans="1:15" x14ac:dyDescent="0.25">
      <c r="A30" s="25">
        <v>9</v>
      </c>
      <c r="B30" s="19"/>
      <c r="C30" s="27"/>
      <c r="D30" s="28"/>
      <c r="E30" s="30"/>
      <c r="F30" s="25"/>
    </row>
    <row r="31" spans="1:15" x14ac:dyDescent="0.25">
      <c r="A31" s="25">
        <v>10</v>
      </c>
      <c r="B31" s="19"/>
      <c r="C31" s="33"/>
      <c r="D31" s="34"/>
      <c r="E31" s="30"/>
      <c r="F31" s="25"/>
      <c r="L31" s="31"/>
      <c r="M31" s="31"/>
      <c r="N31" s="31"/>
      <c r="O31" s="31"/>
    </row>
    <row r="32" spans="1:15" ht="15.75" customHeight="1" x14ac:dyDescent="0.25">
      <c r="A32" s="25">
        <v>11</v>
      </c>
      <c r="B32" s="19"/>
      <c r="C32" s="33"/>
      <c r="D32" s="46"/>
      <c r="E32" s="30"/>
      <c r="F32" s="25"/>
      <c r="L32" s="31"/>
      <c r="M32" s="31"/>
      <c r="N32" s="31"/>
      <c r="O32" s="31"/>
    </row>
    <row r="33" spans="1:7" ht="15.75" customHeight="1" x14ac:dyDescent="0.25">
      <c r="A33" s="35"/>
      <c r="B33" s="36"/>
      <c r="C33" s="37"/>
      <c r="D33"/>
      <c r="E33" s="38"/>
      <c r="F33" s="35"/>
    </row>
    <row r="34" spans="1:7" ht="15.75" x14ac:dyDescent="0.25">
      <c r="A34" s="6"/>
      <c r="B34" s="11" t="s">
        <v>23</v>
      </c>
      <c r="E34" s="7"/>
      <c r="F34" s="7"/>
    </row>
    <row r="35" spans="1:7" ht="15.75" thickBot="1" x14ac:dyDescent="0.3">
      <c r="A35" s="6"/>
      <c r="B35" s="13"/>
      <c r="C35" s="7"/>
      <c r="D35" s="7"/>
      <c r="E35" s="7"/>
      <c r="F35" s="7"/>
    </row>
    <row r="36" spans="1:7" x14ac:dyDescent="0.25">
      <c r="A36" s="14" t="s">
        <v>10</v>
      </c>
      <c r="B36" s="15" t="s">
        <v>24</v>
      </c>
      <c r="C36" s="15" t="s">
        <v>13</v>
      </c>
      <c r="D36" s="15" t="s">
        <v>25</v>
      </c>
      <c r="E36" s="15" t="s">
        <v>26</v>
      </c>
      <c r="F36" s="16" t="s">
        <v>15</v>
      </c>
    </row>
    <row r="37" spans="1:7" ht="15.75" customHeight="1" x14ac:dyDescent="0.25">
      <c r="A37" s="25">
        <v>1</v>
      </c>
      <c r="B37" s="19">
        <v>20092026</v>
      </c>
      <c r="C37" s="77" t="s">
        <v>97</v>
      </c>
      <c r="D37" s="77" t="s">
        <v>98</v>
      </c>
      <c r="E37" s="78">
        <v>3656</v>
      </c>
      <c r="F37" s="18">
        <v>40</v>
      </c>
      <c r="G37" s="74"/>
    </row>
    <row r="38" spans="1:7" ht="15.75" customHeight="1" x14ac:dyDescent="0.25">
      <c r="A38" s="25">
        <v>2</v>
      </c>
      <c r="B38" s="19">
        <v>20092026</v>
      </c>
      <c r="C38" s="79" t="s">
        <v>218</v>
      </c>
      <c r="D38" s="77" t="s">
        <v>219</v>
      </c>
      <c r="E38" s="78">
        <v>3657</v>
      </c>
      <c r="F38" s="18">
        <v>40</v>
      </c>
      <c r="G38" s="74"/>
    </row>
    <row r="39" spans="1:7" ht="15.75" customHeight="1" x14ac:dyDescent="0.25">
      <c r="A39" s="25">
        <v>3</v>
      </c>
      <c r="B39" s="19">
        <v>20092026</v>
      </c>
      <c r="C39" s="34" t="s">
        <v>220</v>
      </c>
      <c r="D39" s="46"/>
      <c r="E39" s="29">
        <v>3660</v>
      </c>
      <c r="F39" s="66">
        <v>40</v>
      </c>
      <c r="G39" s="74"/>
    </row>
    <row r="40" spans="1:7" ht="15.75" customHeight="1" x14ac:dyDescent="0.25">
      <c r="A40" s="25">
        <v>4</v>
      </c>
      <c r="B40" s="19">
        <v>20092026</v>
      </c>
      <c r="C40" s="28" t="s">
        <v>221</v>
      </c>
      <c r="D40" s="76"/>
      <c r="E40" s="29">
        <v>3659</v>
      </c>
      <c r="F40" s="39">
        <v>40</v>
      </c>
      <c r="G40" s="74"/>
    </row>
    <row r="41" spans="1:7" ht="15.75" customHeight="1" x14ac:dyDescent="0.25">
      <c r="A41" s="25">
        <v>5</v>
      </c>
      <c r="B41" s="19">
        <v>20092026</v>
      </c>
      <c r="C41" s="34" t="s">
        <v>222</v>
      </c>
      <c r="D41" s="29"/>
      <c r="E41" s="29">
        <v>3658</v>
      </c>
      <c r="F41" s="29">
        <v>40</v>
      </c>
      <c r="G41" s="74"/>
    </row>
    <row r="42" spans="1:7" x14ac:dyDescent="0.25">
      <c r="A42" s="25">
        <v>6</v>
      </c>
      <c r="B42" s="19"/>
      <c r="C42" s="34"/>
      <c r="D42" s="46"/>
      <c r="E42" s="29"/>
      <c r="F42" s="29"/>
      <c r="G42" s="74"/>
    </row>
    <row r="43" spans="1:7" x14ac:dyDescent="0.25">
      <c r="A43" s="25">
        <v>7</v>
      </c>
      <c r="B43" s="19"/>
      <c r="C43" s="34"/>
      <c r="D43" s="46"/>
      <c r="E43" s="29"/>
      <c r="F43" s="29"/>
      <c r="G43" s="74"/>
    </row>
    <row r="44" spans="1:7" x14ac:dyDescent="0.25">
      <c r="A44" s="25">
        <v>8</v>
      </c>
      <c r="B44" s="19"/>
      <c r="C44" s="34"/>
      <c r="D44" s="46"/>
      <c r="E44" s="29"/>
      <c r="F44" s="29"/>
      <c r="G44" s="74"/>
    </row>
    <row r="45" spans="1:7" x14ac:dyDescent="0.25">
      <c r="A45" s="25">
        <v>9</v>
      </c>
      <c r="B45" s="19"/>
      <c r="C45" s="34"/>
      <c r="D45" s="46"/>
      <c r="E45" s="29"/>
      <c r="F45" s="29"/>
      <c r="G45" s="74"/>
    </row>
    <row r="46" spans="1:7" x14ac:dyDescent="0.25">
      <c r="A46" s="25">
        <v>10</v>
      </c>
      <c r="B46" s="19"/>
      <c r="C46" s="34"/>
      <c r="D46" s="46"/>
      <c r="E46" s="29"/>
      <c r="F46" s="29"/>
      <c r="G46" s="74"/>
    </row>
  </sheetData>
  <mergeCells count="1">
    <mergeCell ref="A3:H3"/>
  </mergeCells>
  <dataValidations count="2">
    <dataValidation type="list" allowBlank="1" showInputMessage="1" showErrorMessage="1" sqref="F37:F39 F8:F17 F23" xr:uid="{8C6CB5B7-B1F5-4A45-891F-E684958B2DD2}">
      <formula1>"20,40,45,50"</formula1>
      <formula2>0</formula2>
    </dataValidation>
    <dataValidation type="list" allowBlank="1" showInputMessage="1" showErrorMessage="1" sqref="F18 F22 F24:F29" xr:uid="{2CCF6909-05FE-4DA8-96D3-1096910950B3}">
      <formula1>"20,40,45,50"</formula1>
    </dataValidation>
  </dataValidations>
  <pageMargins left="0.31496062992125984" right="0.11811023622047245" top="0.74803149606299213" bottom="0.74803149606299213" header="0.31496062992125984" footer="0.31496062992125984"/>
  <pageSetup paperSize="9" orientation="portrait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A801C-07E7-402B-ABC9-BF70D8606522}">
  <dimension ref="A1:O44"/>
  <sheetViews>
    <sheetView topLeftCell="A12" workbookViewId="0">
      <selection activeCell="C38" sqref="C38"/>
    </sheetView>
  </sheetViews>
  <sheetFormatPr baseColWidth="10" defaultRowHeight="15" x14ac:dyDescent="0.25"/>
  <cols>
    <col min="1" max="1" width="3.140625" style="21" bestFit="1" customWidth="1"/>
    <col min="2" max="2" width="15.5703125" style="21" bestFit="1" customWidth="1"/>
    <col min="3" max="3" width="19.28515625" style="21" customWidth="1"/>
    <col min="4" max="4" width="19.140625" style="21" customWidth="1"/>
    <col min="5" max="5" width="14.28515625" style="21" customWidth="1"/>
    <col min="6" max="6" width="13.85546875" style="21" bestFit="1" customWidth="1"/>
    <col min="7" max="7" width="12.140625" style="21" bestFit="1" customWidth="1"/>
    <col min="8" max="10" width="11.42578125" style="21"/>
    <col min="11" max="11" width="14.7109375" style="21" bestFit="1" customWidth="1"/>
    <col min="12" max="16384" width="11.42578125" style="21"/>
  </cols>
  <sheetData>
    <row r="1" spans="1:10" s="7" customFormat="1" ht="15.75" x14ac:dyDescent="0.25">
      <c r="A1" s="6"/>
      <c r="H1" s="8">
        <f>COUNTIF(C8:C15,"&lt;&gt;")</f>
        <v>0</v>
      </c>
      <c r="I1" s="9" t="s">
        <v>6</v>
      </c>
    </row>
    <row r="2" spans="1:10" s="7" customFormat="1" ht="15.75" x14ac:dyDescent="0.25">
      <c r="A2" s="6"/>
      <c r="F2" s="8">
        <f>COUNTIFS(B20:B29,"&lt;&gt;",C20:C29,"VH")</f>
        <v>0</v>
      </c>
      <c r="G2" s="9" t="s">
        <v>7</v>
      </c>
      <c r="H2" s="8">
        <f>COUNTA(C20:C29)-F2</f>
        <v>4</v>
      </c>
      <c r="I2" s="9" t="s">
        <v>6</v>
      </c>
      <c r="J2" s="10">
        <f>COUNTIF(E20:E29,"VIDE")</f>
        <v>0</v>
      </c>
    </row>
    <row r="3" spans="1:10" s="7" customFormat="1" ht="25.5" x14ac:dyDescent="0.25">
      <c r="A3" s="99" t="s">
        <v>8</v>
      </c>
      <c r="B3" s="99"/>
      <c r="C3" s="99"/>
      <c r="D3" s="99"/>
      <c r="E3" s="99"/>
      <c r="F3" s="99"/>
      <c r="G3" s="99"/>
      <c r="H3" s="99"/>
    </row>
    <row r="4" spans="1:10" s="7" customFormat="1" ht="12.75" x14ac:dyDescent="0.25">
      <c r="A4" s="6"/>
    </row>
    <row r="5" spans="1:10" s="7" customFormat="1" ht="15.75" x14ac:dyDescent="0.25">
      <c r="A5" s="6"/>
      <c r="B5" s="11" t="s">
        <v>9</v>
      </c>
      <c r="G5" s="12">
        <v>46286</v>
      </c>
    </row>
    <row r="6" spans="1:10" s="7" customFormat="1" thickBot="1" x14ac:dyDescent="0.3">
      <c r="A6" s="6"/>
      <c r="B6" s="13"/>
    </row>
    <row r="7" spans="1:10" s="7" customFormat="1" ht="14.25" x14ac:dyDescent="0.25">
      <c r="A7" s="14" t="s">
        <v>10</v>
      </c>
      <c r="B7" s="15" t="s">
        <v>11</v>
      </c>
      <c r="C7" s="15" t="s">
        <v>12</v>
      </c>
      <c r="D7" s="69" t="s">
        <v>13</v>
      </c>
      <c r="E7" s="69" t="s">
        <v>14</v>
      </c>
      <c r="F7" s="69" t="s">
        <v>15</v>
      </c>
    </row>
    <row r="8" spans="1:10" x14ac:dyDescent="0.25">
      <c r="A8" s="17">
        <v>1</v>
      </c>
      <c r="B8" s="25"/>
      <c r="C8" s="68"/>
      <c r="D8" s="24"/>
      <c r="E8" s="24"/>
      <c r="F8" s="18"/>
    </row>
    <row r="9" spans="1:10" x14ac:dyDescent="0.25">
      <c r="A9" s="17">
        <v>2</v>
      </c>
      <c r="B9" s="70"/>
      <c r="C9" s="68"/>
      <c r="D9" s="18"/>
      <c r="E9" s="18"/>
      <c r="F9" s="18"/>
    </row>
    <row r="10" spans="1:10" x14ac:dyDescent="0.25">
      <c r="A10" s="17">
        <v>3</v>
      </c>
      <c r="B10" s="70"/>
      <c r="C10" s="68"/>
      <c r="D10" s="18"/>
      <c r="E10" s="18"/>
      <c r="F10" s="18"/>
    </row>
    <row r="11" spans="1:10" x14ac:dyDescent="0.25">
      <c r="A11" s="17">
        <v>4</v>
      </c>
      <c r="B11" s="70"/>
      <c r="C11" s="68"/>
      <c r="D11" s="18"/>
      <c r="E11" s="18"/>
      <c r="F11" s="18"/>
    </row>
    <row r="12" spans="1:10" x14ac:dyDescent="0.25">
      <c r="A12" s="17">
        <v>5</v>
      </c>
      <c r="B12" s="63"/>
      <c r="C12" s="68"/>
      <c r="D12" s="18"/>
      <c r="E12" s="18"/>
      <c r="F12" s="18"/>
    </row>
    <row r="13" spans="1:10" x14ac:dyDescent="0.25">
      <c r="A13" s="17">
        <v>6</v>
      </c>
      <c r="B13" s="63"/>
      <c r="C13" s="68"/>
      <c r="D13" s="18"/>
      <c r="E13" s="18"/>
      <c r="F13" s="18"/>
    </row>
    <row r="14" spans="1:10" x14ac:dyDescent="0.25">
      <c r="A14" s="17">
        <v>7</v>
      </c>
      <c r="B14" s="63"/>
      <c r="C14" s="68"/>
      <c r="D14" s="24"/>
      <c r="E14" s="24"/>
      <c r="F14" s="18"/>
    </row>
    <row r="15" spans="1:10" x14ac:dyDescent="0.25">
      <c r="A15" s="17">
        <v>8</v>
      </c>
      <c r="B15" s="42"/>
      <c r="C15" s="68"/>
      <c r="D15" s="24"/>
      <c r="E15" s="23"/>
      <c r="F15" s="18"/>
    </row>
    <row r="16" spans="1:10" ht="15.75" x14ac:dyDescent="0.25">
      <c r="A16" s="6"/>
      <c r="B16" s="20"/>
      <c r="C16" s="7"/>
      <c r="D16" s="26"/>
      <c r="E16" s="26"/>
      <c r="F16" s="26"/>
      <c r="G16" s="7"/>
    </row>
    <row r="17" spans="1:15" ht="15.75" x14ac:dyDescent="0.25">
      <c r="A17" s="6"/>
      <c r="B17" s="11" t="s">
        <v>20</v>
      </c>
    </row>
    <row r="18" spans="1:15" ht="15.75" thickBot="1" x14ac:dyDescent="0.3">
      <c r="A18" s="6"/>
      <c r="B18" s="13"/>
      <c r="C18" s="7"/>
      <c r="D18" s="7"/>
      <c r="E18" s="7"/>
      <c r="F18" s="7"/>
    </row>
    <row r="19" spans="1:15" x14ac:dyDescent="0.25">
      <c r="A19" s="14" t="s">
        <v>10</v>
      </c>
      <c r="B19" s="15" t="s">
        <v>21</v>
      </c>
      <c r="C19" s="15" t="s">
        <v>22</v>
      </c>
      <c r="D19" s="15" t="s">
        <v>13</v>
      </c>
      <c r="E19" s="15" t="s">
        <v>14</v>
      </c>
      <c r="F19" s="16" t="s">
        <v>15</v>
      </c>
    </row>
    <row r="20" spans="1:15" x14ac:dyDescent="0.25">
      <c r="A20" s="25">
        <v>1</v>
      </c>
      <c r="B20" s="19">
        <v>21092026</v>
      </c>
      <c r="C20" s="34" t="s">
        <v>33</v>
      </c>
      <c r="D20" s="24" t="s">
        <v>130</v>
      </c>
      <c r="E20" s="39">
        <v>3558</v>
      </c>
      <c r="F20" s="32">
        <v>40</v>
      </c>
    </row>
    <row r="21" spans="1:15" ht="15.75" customHeight="1" x14ac:dyDescent="0.25">
      <c r="A21" s="25">
        <v>2</v>
      </c>
      <c r="B21" s="19">
        <v>21092026</v>
      </c>
      <c r="C21" s="29" t="s">
        <v>228</v>
      </c>
      <c r="D21" s="34" t="s">
        <v>220</v>
      </c>
      <c r="E21" s="29">
        <v>3660</v>
      </c>
      <c r="F21" s="66">
        <v>40</v>
      </c>
      <c r="I21" s="31"/>
      <c r="J21" s="31"/>
      <c r="K21" s="31"/>
      <c r="L21" s="31"/>
      <c r="M21" s="31"/>
    </row>
    <row r="22" spans="1:15" ht="15.75" customHeight="1" x14ac:dyDescent="0.25">
      <c r="A22" s="25">
        <v>3</v>
      </c>
      <c r="B22" s="19">
        <v>21092026</v>
      </c>
      <c r="C22" s="27" t="s">
        <v>229</v>
      </c>
      <c r="D22" s="28" t="s">
        <v>221</v>
      </c>
      <c r="E22" s="29">
        <v>3659</v>
      </c>
      <c r="F22" s="39">
        <v>40</v>
      </c>
      <c r="I22" s="31"/>
      <c r="J22" s="31"/>
      <c r="K22" s="31"/>
      <c r="L22" s="31"/>
      <c r="M22" s="31"/>
    </row>
    <row r="23" spans="1:15" ht="15.75" customHeight="1" x14ac:dyDescent="0.25">
      <c r="A23" s="25">
        <v>4</v>
      </c>
      <c r="B23" s="19">
        <v>21092026</v>
      </c>
      <c r="C23" s="29" t="s">
        <v>227</v>
      </c>
      <c r="D23" s="34" t="s">
        <v>222</v>
      </c>
      <c r="E23" s="29">
        <v>3658</v>
      </c>
      <c r="F23" s="29">
        <v>40</v>
      </c>
      <c r="I23" s="31"/>
      <c r="J23" s="31"/>
      <c r="K23" s="31"/>
      <c r="L23" s="31"/>
      <c r="M23" s="31"/>
    </row>
    <row r="24" spans="1:15" ht="15.75" customHeight="1" x14ac:dyDescent="0.25">
      <c r="A24" s="25">
        <v>5</v>
      </c>
      <c r="B24" s="19"/>
      <c r="C24" s="29"/>
      <c r="D24" s="24"/>
      <c r="E24" s="39"/>
      <c r="F24" s="32"/>
      <c r="I24" s="31"/>
      <c r="J24" s="31"/>
      <c r="K24" s="31"/>
      <c r="L24" s="31"/>
      <c r="M24" s="31"/>
    </row>
    <row r="25" spans="1:15" ht="15.75" customHeight="1" x14ac:dyDescent="0.25">
      <c r="A25" s="25">
        <v>6</v>
      </c>
      <c r="B25" s="19"/>
      <c r="C25" s="27"/>
      <c r="D25" s="24"/>
      <c r="E25" s="39"/>
      <c r="F25" s="32"/>
      <c r="I25" s="31"/>
      <c r="J25" s="31"/>
      <c r="K25" s="31"/>
      <c r="L25" s="31"/>
      <c r="M25" s="31"/>
    </row>
    <row r="26" spans="1:15" ht="15.75" customHeight="1" x14ac:dyDescent="0.25">
      <c r="A26" s="25">
        <v>7</v>
      </c>
      <c r="B26" s="19"/>
      <c r="C26" s="29"/>
      <c r="D26" s="24"/>
      <c r="F26" s="32"/>
      <c r="I26" s="31"/>
      <c r="J26" s="31"/>
      <c r="K26" s="31"/>
      <c r="L26" s="31"/>
      <c r="M26" s="31"/>
    </row>
    <row r="27" spans="1:15" x14ac:dyDescent="0.25">
      <c r="A27" s="25">
        <v>8</v>
      </c>
      <c r="B27" s="19"/>
      <c r="C27" s="27"/>
      <c r="D27" s="24"/>
      <c r="E27" s="24"/>
      <c r="F27" s="32"/>
    </row>
    <row r="28" spans="1:15" x14ac:dyDescent="0.25">
      <c r="A28" s="25">
        <v>9</v>
      </c>
      <c r="B28" s="19"/>
      <c r="C28" s="27"/>
      <c r="D28" s="28"/>
      <c r="E28" s="30"/>
      <c r="F28" s="25"/>
    </row>
    <row r="29" spans="1:15" x14ac:dyDescent="0.25">
      <c r="A29" s="25">
        <v>10</v>
      </c>
      <c r="B29" s="19"/>
      <c r="C29" s="33"/>
      <c r="D29" s="34"/>
      <c r="E29" s="30"/>
      <c r="F29" s="25"/>
      <c r="L29" s="31"/>
      <c r="M29" s="31"/>
      <c r="N29" s="31"/>
      <c r="O29" s="31"/>
    </row>
    <row r="30" spans="1:15" ht="15.75" customHeight="1" x14ac:dyDescent="0.25">
      <c r="A30" s="25">
        <v>11</v>
      </c>
      <c r="B30" s="19"/>
      <c r="C30" s="33"/>
      <c r="D30" s="46"/>
      <c r="E30" s="30"/>
      <c r="F30" s="25"/>
      <c r="L30" s="31"/>
      <c r="M30" s="31"/>
      <c r="N30" s="31"/>
      <c r="O30" s="31"/>
    </row>
    <row r="31" spans="1:15" ht="15.75" customHeight="1" x14ac:dyDescent="0.25">
      <c r="A31" s="35"/>
      <c r="B31" s="36"/>
      <c r="C31" s="37"/>
      <c r="D31"/>
      <c r="E31" s="38"/>
      <c r="F31" s="35"/>
    </row>
    <row r="32" spans="1:15" ht="15.75" x14ac:dyDescent="0.25">
      <c r="A32" s="6"/>
      <c r="B32" s="11" t="s">
        <v>23</v>
      </c>
      <c r="E32" s="7"/>
      <c r="F32" s="7"/>
    </row>
    <row r="33" spans="1:7" ht="15.75" thickBot="1" x14ac:dyDescent="0.3">
      <c r="A33" s="6"/>
      <c r="B33" s="13"/>
      <c r="C33" s="7"/>
      <c r="D33" s="7"/>
      <c r="E33" s="7"/>
      <c r="F33" s="7"/>
    </row>
    <row r="34" spans="1:7" x14ac:dyDescent="0.25">
      <c r="A34" s="14" t="s">
        <v>10</v>
      </c>
      <c r="B34" s="15" t="s">
        <v>24</v>
      </c>
      <c r="C34" s="15" t="s">
        <v>13</v>
      </c>
      <c r="D34" s="15" t="s">
        <v>25</v>
      </c>
      <c r="E34" s="15" t="s">
        <v>26</v>
      </c>
      <c r="F34" s="16" t="s">
        <v>15</v>
      </c>
    </row>
    <row r="35" spans="1:7" ht="15.75" customHeight="1" x14ac:dyDescent="0.25">
      <c r="A35" s="25">
        <v>1</v>
      </c>
      <c r="B35" s="19">
        <v>21092026</v>
      </c>
      <c r="C35" s="34" t="s">
        <v>225</v>
      </c>
      <c r="D35" s="28" t="s">
        <v>226</v>
      </c>
      <c r="E35" s="80">
        <v>3655</v>
      </c>
      <c r="F35" s="18">
        <v>20</v>
      </c>
      <c r="G35" s="74"/>
    </row>
    <row r="36" spans="1:7" ht="15.75" customHeight="1" x14ac:dyDescent="0.25">
      <c r="A36" s="25">
        <v>2</v>
      </c>
      <c r="B36" s="19">
        <v>21092026</v>
      </c>
      <c r="C36" s="28" t="s">
        <v>136</v>
      </c>
      <c r="D36" s="29">
        <v>239388</v>
      </c>
      <c r="E36" s="29">
        <v>3559</v>
      </c>
      <c r="F36" s="18">
        <v>40</v>
      </c>
      <c r="G36" s="74"/>
    </row>
    <row r="37" spans="1:7" ht="15.75" customHeight="1" x14ac:dyDescent="0.25">
      <c r="A37" s="25">
        <v>3</v>
      </c>
      <c r="B37" s="19"/>
      <c r="C37" s="34"/>
      <c r="D37" s="46"/>
      <c r="E37" s="29"/>
      <c r="F37" s="66"/>
      <c r="G37" s="74"/>
    </row>
    <row r="38" spans="1:7" ht="15.75" customHeight="1" x14ac:dyDescent="0.25">
      <c r="A38" s="25">
        <v>4</v>
      </c>
      <c r="B38" s="19"/>
      <c r="C38" s="28"/>
      <c r="D38" s="76"/>
      <c r="E38" s="29"/>
      <c r="F38" s="39"/>
      <c r="G38" s="74"/>
    </row>
    <row r="39" spans="1:7" ht="15.75" customHeight="1" x14ac:dyDescent="0.25">
      <c r="A39" s="25">
        <v>5</v>
      </c>
      <c r="B39" s="19"/>
      <c r="C39" s="34"/>
      <c r="D39" s="29"/>
      <c r="E39" s="29"/>
      <c r="F39" s="29"/>
      <c r="G39" s="74"/>
    </row>
    <row r="40" spans="1:7" x14ac:dyDescent="0.25">
      <c r="A40" s="25">
        <v>6</v>
      </c>
      <c r="B40" s="19"/>
      <c r="C40" s="34"/>
      <c r="D40" s="46"/>
      <c r="E40" s="29"/>
      <c r="F40" s="29"/>
      <c r="G40" s="74"/>
    </row>
    <row r="41" spans="1:7" x14ac:dyDescent="0.25">
      <c r="A41" s="25">
        <v>7</v>
      </c>
      <c r="B41" s="19"/>
      <c r="C41" s="34"/>
      <c r="D41" s="46"/>
      <c r="E41" s="29"/>
      <c r="F41" s="29"/>
      <c r="G41" s="74"/>
    </row>
    <row r="42" spans="1:7" x14ac:dyDescent="0.25">
      <c r="A42" s="25">
        <v>8</v>
      </c>
      <c r="B42" s="19"/>
      <c r="C42" s="34"/>
      <c r="D42" s="46"/>
      <c r="E42" s="29"/>
      <c r="F42" s="29"/>
      <c r="G42" s="74"/>
    </row>
    <row r="43" spans="1:7" x14ac:dyDescent="0.25">
      <c r="A43" s="25">
        <v>9</v>
      </c>
      <c r="B43" s="19"/>
      <c r="C43" s="34"/>
      <c r="D43" s="46"/>
      <c r="E43" s="29"/>
      <c r="F43" s="29"/>
      <c r="G43" s="74"/>
    </row>
    <row r="44" spans="1:7" x14ac:dyDescent="0.25">
      <c r="A44" s="25">
        <v>10</v>
      </c>
      <c r="B44" s="19"/>
      <c r="C44" s="34"/>
      <c r="D44" s="46"/>
      <c r="E44" s="29"/>
      <c r="F44" s="29"/>
      <c r="G44" s="74"/>
    </row>
  </sheetData>
  <mergeCells count="1">
    <mergeCell ref="A3:H3"/>
  </mergeCells>
  <dataValidations count="2">
    <dataValidation type="list" allowBlank="1" showInputMessage="1" showErrorMessage="1" sqref="F16 F20 F24:F27" xr:uid="{314564C8-73C4-4FE1-B1A4-E2956228C86B}">
      <formula1>"20,40,45,50"</formula1>
    </dataValidation>
    <dataValidation type="list" allowBlank="1" showInputMessage="1" showErrorMessage="1" sqref="F35:F37 F21 F8:F15" xr:uid="{E43818B9-96C6-4529-B8DF-B4F7D161AD53}">
      <formula1>"20,40,45,50"</formula1>
      <formula2>0</formula2>
    </dataValidation>
  </dataValidations>
  <pageMargins left="0.31496062992125984" right="0.11811023622047245" top="0.74803149606299213" bottom="0.74803149606299213" header="0.31496062992125984" footer="0.31496062992125984"/>
  <pageSetup paperSize="9" orientation="portrait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6184E-8A55-4168-8E2F-3007313C04E4}">
  <dimension ref="A1:T44"/>
  <sheetViews>
    <sheetView topLeftCell="A12" workbookViewId="0">
      <selection activeCell="C38" sqref="C38"/>
    </sheetView>
  </sheetViews>
  <sheetFormatPr baseColWidth="10" defaultRowHeight="15" x14ac:dyDescent="0.25"/>
  <cols>
    <col min="1" max="1" width="3.140625" style="21" bestFit="1" customWidth="1"/>
    <col min="2" max="2" width="15.5703125" style="21" bestFit="1" customWidth="1"/>
    <col min="3" max="3" width="19.28515625" style="21" customWidth="1"/>
    <col min="4" max="4" width="19.140625" style="21" customWidth="1"/>
    <col min="5" max="5" width="14.28515625" style="21" customWidth="1"/>
    <col min="6" max="6" width="13.85546875" style="21" bestFit="1" customWidth="1"/>
    <col min="7" max="7" width="12.140625" style="21" bestFit="1" customWidth="1"/>
    <col min="8" max="10" width="11.42578125" style="21"/>
    <col min="11" max="11" width="14.7109375" style="21" bestFit="1" customWidth="1"/>
    <col min="12" max="16384" width="11.42578125" style="21"/>
  </cols>
  <sheetData>
    <row r="1" spans="1:10" s="7" customFormat="1" ht="15.75" x14ac:dyDescent="0.25">
      <c r="A1" s="6"/>
      <c r="H1" s="8">
        <f>COUNTIF(C8:C15,"&lt;&gt;")</f>
        <v>0</v>
      </c>
      <c r="I1" s="9" t="s">
        <v>6</v>
      </c>
    </row>
    <row r="2" spans="1:10" s="7" customFormat="1" ht="15.75" x14ac:dyDescent="0.25">
      <c r="A2" s="6"/>
      <c r="F2" s="8">
        <f>COUNTIFS(B20:B29,"&lt;&gt;",C20:C29,"VH")</f>
        <v>0</v>
      </c>
      <c r="G2" s="9" t="s">
        <v>7</v>
      </c>
      <c r="H2" s="8">
        <f>COUNTA(C20:C29)-F2</f>
        <v>8</v>
      </c>
      <c r="I2" s="9" t="s">
        <v>6</v>
      </c>
      <c r="J2" s="10">
        <f>COUNTIF(E20:E29,"VIDE")</f>
        <v>0</v>
      </c>
    </row>
    <row r="3" spans="1:10" s="7" customFormat="1" ht="25.5" x14ac:dyDescent="0.25">
      <c r="A3" s="99" t="s">
        <v>8</v>
      </c>
      <c r="B3" s="99"/>
      <c r="C3" s="99"/>
      <c r="D3" s="99"/>
      <c r="E3" s="99"/>
      <c r="F3" s="99"/>
      <c r="G3" s="99"/>
      <c r="H3" s="99"/>
    </row>
    <row r="4" spans="1:10" s="7" customFormat="1" ht="12.75" x14ac:dyDescent="0.25">
      <c r="A4" s="6"/>
    </row>
    <row r="5" spans="1:10" s="7" customFormat="1" ht="15.75" x14ac:dyDescent="0.25">
      <c r="A5" s="6"/>
      <c r="B5" s="11" t="s">
        <v>9</v>
      </c>
      <c r="G5" s="12">
        <v>46287</v>
      </c>
    </row>
    <row r="6" spans="1:10" s="7" customFormat="1" ht="14.25" x14ac:dyDescent="0.25">
      <c r="A6" s="6"/>
      <c r="B6" s="13"/>
    </row>
    <row r="7" spans="1:10" s="7" customFormat="1" ht="14.25" x14ac:dyDescent="0.25">
      <c r="A7" s="69" t="s">
        <v>10</v>
      </c>
      <c r="B7" s="69" t="s">
        <v>11</v>
      </c>
      <c r="C7" s="69" t="s">
        <v>12</v>
      </c>
      <c r="D7" s="69" t="s">
        <v>13</v>
      </c>
      <c r="E7" s="69" t="s">
        <v>14</v>
      </c>
      <c r="F7" s="69" t="s">
        <v>15</v>
      </c>
    </row>
    <row r="8" spans="1:10" x14ac:dyDescent="0.25">
      <c r="A8" s="17">
        <v>1</v>
      </c>
      <c r="B8" s="25"/>
      <c r="C8" s="68"/>
      <c r="D8" s="24"/>
      <c r="E8" s="24"/>
      <c r="F8" s="18"/>
    </row>
    <row r="9" spans="1:10" x14ac:dyDescent="0.25">
      <c r="A9" s="17">
        <v>2</v>
      </c>
      <c r="B9" s="70"/>
      <c r="C9" s="68"/>
      <c r="D9" s="18"/>
      <c r="E9" s="18"/>
      <c r="F9" s="18"/>
    </row>
    <row r="10" spans="1:10" x14ac:dyDescent="0.25">
      <c r="A10" s="17">
        <v>3</v>
      </c>
      <c r="B10" s="70"/>
      <c r="C10" s="68"/>
      <c r="D10" s="18"/>
      <c r="E10" s="18"/>
      <c r="F10" s="18"/>
    </row>
    <row r="11" spans="1:10" x14ac:dyDescent="0.25">
      <c r="A11" s="17">
        <v>4</v>
      </c>
      <c r="B11" s="70"/>
      <c r="C11" s="68"/>
      <c r="D11" s="18"/>
      <c r="E11" s="18"/>
      <c r="F11" s="18"/>
    </row>
    <row r="12" spans="1:10" x14ac:dyDescent="0.25">
      <c r="A12" s="17">
        <v>5</v>
      </c>
      <c r="B12" s="63"/>
      <c r="C12" s="68"/>
      <c r="D12" s="18"/>
      <c r="E12" s="18"/>
      <c r="F12" s="18"/>
    </row>
    <row r="13" spans="1:10" x14ac:dyDescent="0.25">
      <c r="A13" s="17">
        <v>6</v>
      </c>
      <c r="B13" s="63"/>
      <c r="C13" s="68"/>
      <c r="D13" s="18"/>
      <c r="E13" s="18"/>
      <c r="F13" s="18"/>
    </row>
    <row r="14" spans="1:10" x14ac:dyDescent="0.25">
      <c r="A14" s="17">
        <v>7</v>
      </c>
      <c r="B14" s="63"/>
      <c r="C14" s="68"/>
      <c r="D14" s="24"/>
      <c r="E14" s="24"/>
      <c r="F14" s="18"/>
    </row>
    <row r="15" spans="1:10" x14ac:dyDescent="0.25">
      <c r="A15" s="17">
        <v>8</v>
      </c>
      <c r="B15" s="42"/>
      <c r="C15" s="68"/>
      <c r="D15" s="24"/>
      <c r="E15" s="23"/>
      <c r="F15" s="18"/>
    </row>
    <row r="16" spans="1:10" ht="15.75" x14ac:dyDescent="0.25">
      <c r="A16" s="6"/>
      <c r="B16" s="20"/>
      <c r="C16" s="7"/>
      <c r="D16" s="26"/>
      <c r="E16" s="26"/>
      <c r="F16" s="26"/>
      <c r="G16" s="7"/>
    </row>
    <row r="17" spans="1:20" ht="15.75" x14ac:dyDescent="0.25">
      <c r="A17" s="6"/>
      <c r="B17" s="11" t="s">
        <v>20</v>
      </c>
    </row>
    <row r="18" spans="1:20" ht="15.75" thickBot="1" x14ac:dyDescent="0.3">
      <c r="A18" s="6"/>
      <c r="B18" s="13"/>
      <c r="C18" s="7"/>
      <c r="D18" s="7"/>
      <c r="E18" s="7"/>
      <c r="F18" s="7"/>
      <c r="N18" s="31"/>
      <c r="O18" s="31"/>
      <c r="P18" s="31"/>
      <c r="Q18" s="31"/>
      <c r="R18" s="31"/>
      <c r="S18"/>
      <c r="T18"/>
    </row>
    <row r="19" spans="1:20" x14ac:dyDescent="0.25">
      <c r="A19" s="14" t="s">
        <v>10</v>
      </c>
      <c r="B19" s="15" t="s">
        <v>21</v>
      </c>
      <c r="C19" s="15" t="s">
        <v>22</v>
      </c>
      <c r="D19" s="15" t="s">
        <v>13</v>
      </c>
      <c r="E19" s="15" t="s">
        <v>14</v>
      </c>
      <c r="F19" s="16" t="s">
        <v>15</v>
      </c>
      <c r="N19" s="31"/>
      <c r="O19" s="31"/>
      <c r="P19" s="81"/>
      <c r="Q19" s="31"/>
      <c r="R19" s="31"/>
      <c r="S19" s="31"/>
      <c r="T19" s="31"/>
    </row>
    <row r="20" spans="1:20" x14ac:dyDescent="0.25">
      <c r="A20" s="25">
        <v>1</v>
      </c>
      <c r="B20" s="19">
        <v>22092026</v>
      </c>
      <c r="C20" s="34" t="s">
        <v>251</v>
      </c>
      <c r="D20" s="18" t="s">
        <v>239</v>
      </c>
      <c r="E20" s="18" t="s">
        <v>240</v>
      </c>
      <c r="F20" s="18">
        <v>20</v>
      </c>
      <c r="N20" s="31"/>
      <c r="O20" s="81"/>
      <c r="P20" s="31"/>
      <c r="Q20" s="31"/>
      <c r="R20"/>
      <c r="S20"/>
      <c r="T20"/>
    </row>
    <row r="21" spans="1:20" ht="15.75" customHeight="1" x14ac:dyDescent="0.25">
      <c r="A21" s="25">
        <v>2</v>
      </c>
      <c r="B21" s="19">
        <v>22092026</v>
      </c>
      <c r="C21" s="29" t="s">
        <v>252</v>
      </c>
      <c r="D21" s="18" t="s">
        <v>241</v>
      </c>
      <c r="E21" s="18" t="s">
        <v>242</v>
      </c>
      <c r="F21" s="18">
        <v>20</v>
      </c>
      <c r="I21" s="31"/>
      <c r="J21" s="31"/>
      <c r="K21" s="31"/>
      <c r="L21" s="31"/>
      <c r="M21" s="31"/>
    </row>
    <row r="22" spans="1:20" ht="15.75" customHeight="1" x14ac:dyDescent="0.25">
      <c r="A22" s="25">
        <v>3</v>
      </c>
      <c r="B22" s="19">
        <v>22092026</v>
      </c>
      <c r="C22" s="34" t="s">
        <v>251</v>
      </c>
      <c r="D22" s="18" t="s">
        <v>243</v>
      </c>
      <c r="E22" s="23" t="s">
        <v>244</v>
      </c>
      <c r="F22" s="18">
        <v>20</v>
      </c>
      <c r="I22" s="31"/>
      <c r="J22" s="31"/>
      <c r="K22" s="31"/>
      <c r="L22" s="31"/>
      <c r="M22" s="31"/>
    </row>
    <row r="23" spans="1:20" ht="15.75" customHeight="1" x14ac:dyDescent="0.25">
      <c r="A23" s="25">
        <v>4</v>
      </c>
      <c r="B23" s="19">
        <v>22092026</v>
      </c>
      <c r="C23" s="29" t="s">
        <v>253</v>
      </c>
      <c r="D23" s="18" t="s">
        <v>245</v>
      </c>
      <c r="E23" s="23" t="s">
        <v>246</v>
      </c>
      <c r="F23" s="18">
        <v>20</v>
      </c>
      <c r="I23" s="31"/>
      <c r="J23" s="31"/>
      <c r="K23" s="31"/>
      <c r="L23" s="31"/>
      <c r="M23" s="31"/>
    </row>
    <row r="24" spans="1:20" ht="15.75" customHeight="1" x14ac:dyDescent="0.25">
      <c r="A24" s="25">
        <v>5</v>
      </c>
      <c r="B24" s="19">
        <v>22092026</v>
      </c>
      <c r="C24" s="29" t="s">
        <v>253</v>
      </c>
      <c r="D24" s="18" t="s">
        <v>247</v>
      </c>
      <c r="E24" s="23" t="s">
        <v>248</v>
      </c>
      <c r="F24" s="18">
        <v>20</v>
      </c>
      <c r="I24" s="31"/>
      <c r="J24" s="31"/>
      <c r="K24" s="31"/>
      <c r="L24" s="31"/>
      <c r="M24" s="31"/>
    </row>
    <row r="25" spans="1:20" ht="15.75" customHeight="1" x14ac:dyDescent="0.25">
      <c r="A25" s="25">
        <v>6</v>
      </c>
      <c r="B25" s="19">
        <v>22092026</v>
      </c>
      <c r="C25" s="29" t="s">
        <v>252</v>
      </c>
      <c r="D25" s="24" t="s">
        <v>249</v>
      </c>
      <c r="E25" s="23" t="s">
        <v>250</v>
      </c>
      <c r="F25" s="18">
        <v>20</v>
      </c>
      <c r="I25" s="31"/>
      <c r="J25" s="31"/>
      <c r="K25" s="31"/>
      <c r="L25" s="31"/>
      <c r="M25" s="31"/>
    </row>
    <row r="26" spans="1:20" ht="15.75" customHeight="1" x14ac:dyDescent="0.25">
      <c r="A26" s="25">
        <v>7</v>
      </c>
      <c r="B26" s="19">
        <v>22092026</v>
      </c>
      <c r="C26" s="29" t="s">
        <v>254</v>
      </c>
      <c r="D26" s="24" t="s">
        <v>136</v>
      </c>
      <c r="E26" s="80">
        <v>3559</v>
      </c>
      <c r="F26" s="32">
        <v>40</v>
      </c>
      <c r="I26" s="31"/>
      <c r="J26" s="31"/>
      <c r="K26" s="31"/>
      <c r="L26" s="31"/>
      <c r="M26" s="31"/>
    </row>
    <row r="27" spans="1:20" x14ac:dyDescent="0.25">
      <c r="A27" s="25">
        <v>8</v>
      </c>
      <c r="B27" s="19">
        <v>22092026</v>
      </c>
      <c r="C27" s="27" t="s">
        <v>256</v>
      </c>
      <c r="D27" s="24" t="s">
        <v>218</v>
      </c>
      <c r="E27" s="24">
        <v>3657</v>
      </c>
      <c r="F27" s="32">
        <v>40</v>
      </c>
    </row>
    <row r="28" spans="1:20" x14ac:dyDescent="0.25">
      <c r="A28" s="25">
        <v>9</v>
      </c>
      <c r="B28" s="19"/>
      <c r="C28" s="27"/>
      <c r="D28" s="28"/>
      <c r="E28" s="30"/>
      <c r="F28" s="25"/>
    </row>
    <row r="29" spans="1:20" x14ac:dyDescent="0.25">
      <c r="A29" s="25">
        <v>10</v>
      </c>
      <c r="B29" s="19"/>
      <c r="C29" s="33"/>
      <c r="D29" s="34"/>
      <c r="E29" s="30"/>
      <c r="F29" s="25"/>
      <c r="L29" s="31"/>
      <c r="M29" s="31"/>
      <c r="N29" s="31"/>
      <c r="O29" s="31"/>
    </row>
    <row r="30" spans="1:20" ht="15.75" customHeight="1" x14ac:dyDescent="0.25">
      <c r="A30" s="25">
        <v>11</v>
      </c>
      <c r="B30" s="19"/>
      <c r="C30" s="33"/>
      <c r="D30" s="46"/>
      <c r="E30" s="30"/>
      <c r="F30" s="25"/>
      <c r="L30" s="31"/>
      <c r="M30" s="31"/>
      <c r="N30" s="31"/>
      <c r="O30" s="31"/>
    </row>
    <row r="31" spans="1:20" ht="15.75" customHeight="1" x14ac:dyDescent="0.25">
      <c r="A31" s="35"/>
      <c r="B31" s="36"/>
      <c r="C31" s="37"/>
      <c r="D31"/>
      <c r="E31" s="38"/>
      <c r="F31" s="35"/>
    </row>
    <row r="32" spans="1:20" ht="15.75" x14ac:dyDescent="0.25">
      <c r="A32" s="6"/>
      <c r="B32" s="11" t="s">
        <v>23</v>
      </c>
      <c r="E32" s="7"/>
      <c r="F32" s="7"/>
    </row>
    <row r="33" spans="1:7" ht="15.75" thickBot="1" x14ac:dyDescent="0.3">
      <c r="A33" s="6"/>
      <c r="B33" s="13"/>
      <c r="C33" s="7"/>
      <c r="D33" s="7"/>
      <c r="E33" s="7"/>
      <c r="F33" s="7"/>
    </row>
    <row r="34" spans="1:7" x14ac:dyDescent="0.25">
      <c r="A34" s="14" t="s">
        <v>10</v>
      </c>
      <c r="B34" s="15" t="s">
        <v>24</v>
      </c>
      <c r="C34" s="15" t="s">
        <v>13</v>
      </c>
      <c r="D34" s="15" t="s">
        <v>25</v>
      </c>
      <c r="E34" s="15" t="s">
        <v>26</v>
      </c>
      <c r="F34" s="16" t="s">
        <v>15</v>
      </c>
    </row>
    <row r="35" spans="1:7" ht="15.75" customHeight="1" x14ac:dyDescent="0.25">
      <c r="A35" s="25">
        <v>1</v>
      </c>
      <c r="B35" s="19">
        <v>22092026</v>
      </c>
      <c r="C35" s="28" t="s">
        <v>236</v>
      </c>
      <c r="D35" s="28"/>
      <c r="E35" s="80">
        <v>3701</v>
      </c>
      <c r="F35" s="18">
        <v>40</v>
      </c>
      <c r="G35" s="74"/>
    </row>
    <row r="36" spans="1:7" ht="15.75" customHeight="1" x14ac:dyDescent="0.25">
      <c r="A36" s="25">
        <v>2</v>
      </c>
      <c r="B36" s="19">
        <v>22092026</v>
      </c>
      <c r="C36" s="28" t="s">
        <v>237</v>
      </c>
      <c r="D36" s="29"/>
      <c r="E36" s="29">
        <v>3702</v>
      </c>
      <c r="F36" s="18">
        <v>40</v>
      </c>
      <c r="G36" s="74"/>
    </row>
    <row r="37" spans="1:7" ht="15.75" customHeight="1" x14ac:dyDescent="0.25">
      <c r="A37" s="25">
        <v>3</v>
      </c>
      <c r="B37" s="19">
        <v>22092026</v>
      </c>
      <c r="C37" s="28" t="s">
        <v>238</v>
      </c>
      <c r="D37" s="34"/>
      <c r="E37" s="29">
        <v>3703</v>
      </c>
      <c r="F37" s="18">
        <v>40</v>
      </c>
      <c r="G37" s="74"/>
    </row>
    <row r="38" spans="1:7" ht="15.75" customHeight="1" x14ac:dyDescent="0.25">
      <c r="A38" s="25">
        <v>4</v>
      </c>
      <c r="B38" s="19">
        <v>22092026</v>
      </c>
      <c r="C38" s="77" t="s">
        <v>230</v>
      </c>
      <c r="D38" s="29" t="s">
        <v>234</v>
      </c>
      <c r="E38" s="29">
        <v>3652</v>
      </c>
      <c r="F38" s="39">
        <v>20</v>
      </c>
      <c r="G38" s="74"/>
    </row>
    <row r="39" spans="1:7" ht="15.75" customHeight="1" x14ac:dyDescent="0.25">
      <c r="A39" s="25">
        <v>5</v>
      </c>
      <c r="B39" s="19">
        <v>22092026</v>
      </c>
      <c r="C39" s="28" t="s">
        <v>231</v>
      </c>
      <c r="D39" s="29" t="s">
        <v>235</v>
      </c>
      <c r="E39" s="29">
        <v>3653</v>
      </c>
      <c r="F39" s="29">
        <v>20</v>
      </c>
      <c r="G39" s="74"/>
    </row>
    <row r="40" spans="1:7" x14ac:dyDescent="0.25">
      <c r="A40" s="25">
        <v>6</v>
      </c>
      <c r="B40" s="19">
        <v>22092026</v>
      </c>
      <c r="C40" s="34" t="s">
        <v>232</v>
      </c>
      <c r="D40" s="34" t="s">
        <v>233</v>
      </c>
      <c r="E40" s="29">
        <v>3654</v>
      </c>
      <c r="F40" s="29">
        <v>20</v>
      </c>
      <c r="G40" s="74"/>
    </row>
    <row r="41" spans="1:7" x14ac:dyDescent="0.25">
      <c r="A41" s="25">
        <v>7</v>
      </c>
      <c r="B41" s="19">
        <v>22092026</v>
      </c>
      <c r="C41" s="34" t="s">
        <v>103</v>
      </c>
      <c r="D41" s="34" t="s">
        <v>104</v>
      </c>
      <c r="E41" s="29">
        <v>3651</v>
      </c>
      <c r="F41" s="29">
        <v>40</v>
      </c>
      <c r="G41" s="74"/>
    </row>
    <row r="42" spans="1:7" x14ac:dyDescent="0.25">
      <c r="A42" s="25">
        <v>8</v>
      </c>
      <c r="B42" s="19">
        <v>22092026</v>
      </c>
      <c r="C42" s="34" t="s">
        <v>255</v>
      </c>
      <c r="D42" s="46"/>
      <c r="E42" s="29">
        <v>3711</v>
      </c>
      <c r="F42" s="29">
        <v>20</v>
      </c>
      <c r="G42" s="74"/>
    </row>
    <row r="43" spans="1:7" x14ac:dyDescent="0.25">
      <c r="A43" s="25">
        <v>9</v>
      </c>
      <c r="B43" s="19"/>
      <c r="C43" s="34"/>
      <c r="D43" s="46"/>
      <c r="E43" s="29"/>
      <c r="F43" s="29"/>
      <c r="G43" s="74"/>
    </row>
    <row r="44" spans="1:7" x14ac:dyDescent="0.25">
      <c r="A44" s="25">
        <v>10</v>
      </c>
      <c r="B44" s="19"/>
      <c r="C44" s="34"/>
      <c r="D44" s="46"/>
      <c r="E44" s="29"/>
      <c r="F44" s="29"/>
      <c r="G44" s="74"/>
    </row>
  </sheetData>
  <mergeCells count="1">
    <mergeCell ref="A3:H3"/>
  </mergeCells>
  <dataValidations count="2">
    <dataValidation type="list" allowBlank="1" showInputMessage="1" showErrorMessage="1" sqref="F35:F37 F8:F15 F20:F25" xr:uid="{C3462CE8-8B3A-4838-AE1A-E8D51F80F098}">
      <formula1>"20,40,45,50"</formula1>
      <formula2>0</formula2>
    </dataValidation>
    <dataValidation type="list" allowBlank="1" showInputMessage="1" showErrorMessage="1" sqref="F16 F26:F27" xr:uid="{A9875B32-7784-4A44-B6FD-4CB069812067}">
      <formula1>"20,40,45,50"</formula1>
    </dataValidation>
  </dataValidations>
  <pageMargins left="0.31496062992125984" right="0.11811023622047245" top="0.74803149606299213" bottom="0.74803149606299213" header="0.31496062992125984" footer="0.31496062992125984"/>
  <pageSetup paperSize="9" orientation="portrait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1F363-DF41-4D97-B1E8-59137C43A9C5}">
  <dimension ref="A1:T44"/>
  <sheetViews>
    <sheetView topLeftCell="A15" workbookViewId="0">
      <selection activeCell="C38" sqref="C38"/>
    </sheetView>
  </sheetViews>
  <sheetFormatPr baseColWidth="10" defaultRowHeight="15" x14ac:dyDescent="0.25"/>
  <cols>
    <col min="1" max="1" width="3.140625" style="21" bestFit="1" customWidth="1"/>
    <col min="2" max="2" width="15.5703125" style="21" bestFit="1" customWidth="1"/>
    <col min="3" max="3" width="19.28515625" style="21" customWidth="1"/>
    <col min="4" max="4" width="19.140625" style="21" customWidth="1"/>
    <col min="5" max="5" width="14.28515625" style="21" customWidth="1"/>
    <col min="6" max="6" width="13.85546875" style="21" bestFit="1" customWidth="1"/>
    <col min="7" max="7" width="12.140625" style="21" bestFit="1" customWidth="1"/>
    <col min="8" max="10" width="11.42578125" style="21"/>
    <col min="11" max="11" width="14.7109375" style="21" bestFit="1" customWidth="1"/>
    <col min="12" max="16384" width="11.42578125" style="21"/>
  </cols>
  <sheetData>
    <row r="1" spans="1:10" s="7" customFormat="1" ht="15.75" x14ac:dyDescent="0.25">
      <c r="A1" s="6"/>
      <c r="H1" s="8">
        <f>COUNTIF(C8:C15,"&lt;&gt;")</f>
        <v>0</v>
      </c>
      <c r="I1" s="9" t="s">
        <v>6</v>
      </c>
    </row>
    <row r="2" spans="1:10" s="7" customFormat="1" ht="15.75" x14ac:dyDescent="0.25">
      <c r="A2" s="6"/>
      <c r="F2" s="8">
        <f>COUNTIFS(B20:B29,"&lt;&gt;",C20:C29,"VH")</f>
        <v>0</v>
      </c>
      <c r="G2" s="9" t="s">
        <v>7</v>
      </c>
      <c r="H2" s="8">
        <f>COUNTA(C20:C29)-F2</f>
        <v>1</v>
      </c>
      <c r="I2" s="9" t="s">
        <v>6</v>
      </c>
      <c r="J2" s="10">
        <f>COUNTIF(E20:E29,"VIDE")</f>
        <v>0</v>
      </c>
    </row>
    <row r="3" spans="1:10" s="7" customFormat="1" ht="25.5" x14ac:dyDescent="0.25">
      <c r="A3" s="99" t="s">
        <v>8</v>
      </c>
      <c r="B3" s="99"/>
      <c r="C3" s="99"/>
      <c r="D3" s="99"/>
      <c r="E3" s="99"/>
      <c r="F3" s="99"/>
      <c r="G3" s="99"/>
      <c r="H3" s="99"/>
    </row>
    <row r="4" spans="1:10" s="7" customFormat="1" ht="12.75" x14ac:dyDescent="0.25">
      <c r="A4" s="6"/>
    </row>
    <row r="5" spans="1:10" s="7" customFormat="1" ht="15.75" x14ac:dyDescent="0.25">
      <c r="A5" s="6"/>
      <c r="B5" s="11" t="s">
        <v>9</v>
      </c>
      <c r="G5" s="12">
        <v>46288</v>
      </c>
    </row>
    <row r="6" spans="1:10" s="7" customFormat="1" ht="14.25" x14ac:dyDescent="0.25">
      <c r="A6" s="6"/>
      <c r="B6" s="13"/>
    </row>
    <row r="7" spans="1:10" s="7" customFormat="1" ht="14.25" x14ac:dyDescent="0.25">
      <c r="A7" s="69" t="s">
        <v>10</v>
      </c>
      <c r="B7" s="69" t="s">
        <v>11</v>
      </c>
      <c r="C7" s="69" t="s">
        <v>12</v>
      </c>
      <c r="D7" s="69" t="s">
        <v>13</v>
      </c>
      <c r="E7" s="69" t="s">
        <v>14</v>
      </c>
      <c r="F7" s="69" t="s">
        <v>15</v>
      </c>
    </row>
    <row r="8" spans="1:10" x14ac:dyDescent="0.25">
      <c r="A8" s="17">
        <v>1</v>
      </c>
      <c r="B8" s="25"/>
      <c r="C8" s="68"/>
      <c r="D8" s="24"/>
      <c r="E8" s="24"/>
      <c r="F8" s="18"/>
    </row>
    <row r="9" spans="1:10" x14ac:dyDescent="0.25">
      <c r="A9" s="17">
        <v>2</v>
      </c>
      <c r="B9" s="70"/>
      <c r="C9" s="68"/>
      <c r="D9" s="18"/>
      <c r="E9" s="18"/>
      <c r="F9" s="18"/>
    </row>
    <row r="10" spans="1:10" x14ac:dyDescent="0.25">
      <c r="A10" s="17">
        <v>3</v>
      </c>
      <c r="B10" s="70"/>
      <c r="C10" s="68"/>
      <c r="D10" s="18"/>
      <c r="E10" s="18"/>
      <c r="F10" s="18"/>
    </row>
    <row r="11" spans="1:10" x14ac:dyDescent="0.25">
      <c r="A11" s="17">
        <v>4</v>
      </c>
      <c r="B11" s="70"/>
      <c r="C11" s="68"/>
      <c r="D11" s="18"/>
      <c r="E11" s="18"/>
      <c r="F11" s="18"/>
    </row>
    <row r="12" spans="1:10" x14ac:dyDescent="0.25">
      <c r="A12" s="17">
        <v>5</v>
      </c>
      <c r="B12" s="63"/>
      <c r="C12" s="68"/>
      <c r="D12" s="18"/>
      <c r="E12" s="18"/>
      <c r="F12" s="18"/>
    </row>
    <row r="13" spans="1:10" x14ac:dyDescent="0.25">
      <c r="A13" s="17">
        <v>6</v>
      </c>
      <c r="B13" s="63"/>
      <c r="C13" s="68"/>
      <c r="D13" s="18"/>
      <c r="E13" s="18"/>
      <c r="F13" s="18"/>
    </row>
    <row r="14" spans="1:10" x14ac:dyDescent="0.25">
      <c r="A14" s="17">
        <v>7</v>
      </c>
      <c r="B14" s="63"/>
      <c r="C14" s="68"/>
      <c r="D14" s="24"/>
      <c r="E14" s="24"/>
      <c r="F14" s="18"/>
    </row>
    <row r="15" spans="1:10" x14ac:dyDescent="0.25">
      <c r="A15" s="17">
        <v>8</v>
      </c>
      <c r="B15" s="42"/>
      <c r="C15" s="68"/>
      <c r="D15" s="24"/>
      <c r="E15" s="23"/>
      <c r="F15" s="18"/>
    </row>
    <row r="16" spans="1:10" ht="15.75" x14ac:dyDescent="0.25">
      <c r="A16" s="6"/>
      <c r="B16" s="20"/>
      <c r="C16" s="7"/>
      <c r="D16" s="26"/>
      <c r="E16" s="26"/>
      <c r="F16" s="26"/>
      <c r="G16" s="7"/>
    </row>
    <row r="17" spans="1:20" ht="15.75" x14ac:dyDescent="0.25">
      <c r="A17" s="6"/>
      <c r="B17" s="11" t="s">
        <v>20</v>
      </c>
    </row>
    <row r="18" spans="1:20" ht="15.75" thickBot="1" x14ac:dyDescent="0.3">
      <c r="A18" s="6"/>
      <c r="B18" s="13"/>
      <c r="C18" s="7"/>
      <c r="D18" s="7"/>
      <c r="E18" s="7"/>
      <c r="F18" s="7"/>
      <c r="N18" s="31"/>
      <c r="O18" s="31"/>
      <c r="P18" s="31"/>
      <c r="Q18" s="31"/>
      <c r="R18" s="31"/>
      <c r="S18"/>
      <c r="T18"/>
    </row>
    <row r="19" spans="1:20" x14ac:dyDescent="0.25">
      <c r="A19" s="14" t="s">
        <v>10</v>
      </c>
      <c r="B19" s="15" t="s">
        <v>21</v>
      </c>
      <c r="C19" s="15" t="s">
        <v>22</v>
      </c>
      <c r="D19" s="15" t="s">
        <v>13</v>
      </c>
      <c r="E19" s="15" t="s">
        <v>14</v>
      </c>
      <c r="F19" s="16" t="s">
        <v>15</v>
      </c>
      <c r="N19" s="31"/>
      <c r="O19" s="31"/>
      <c r="P19" s="81"/>
      <c r="Q19" s="31"/>
      <c r="R19" s="31"/>
      <c r="S19" s="31"/>
      <c r="T19" s="31"/>
    </row>
    <row r="20" spans="1:20" x14ac:dyDescent="0.25">
      <c r="A20" s="25">
        <v>1</v>
      </c>
      <c r="B20" s="19">
        <v>23092026</v>
      </c>
      <c r="C20" s="34" t="s">
        <v>257</v>
      </c>
      <c r="D20" s="18" t="s">
        <v>225</v>
      </c>
      <c r="E20" s="18">
        <v>3655</v>
      </c>
      <c r="F20" s="18">
        <v>20</v>
      </c>
      <c r="N20" s="31"/>
      <c r="O20" s="81"/>
      <c r="P20" s="31"/>
      <c r="Q20" s="31"/>
      <c r="R20"/>
      <c r="S20"/>
      <c r="T20"/>
    </row>
    <row r="21" spans="1:20" ht="15.75" customHeight="1" x14ac:dyDescent="0.25">
      <c r="A21" s="25">
        <v>2</v>
      </c>
      <c r="B21" s="19"/>
      <c r="C21" s="29"/>
      <c r="D21" s="18"/>
      <c r="E21" s="18"/>
      <c r="F21" s="18"/>
      <c r="I21" s="31"/>
      <c r="J21" s="31"/>
      <c r="K21" s="31"/>
      <c r="L21" s="31"/>
      <c r="M21" s="31"/>
    </row>
    <row r="22" spans="1:20" ht="15.75" customHeight="1" x14ac:dyDescent="0.25">
      <c r="A22" s="25">
        <v>3</v>
      </c>
      <c r="B22" s="19"/>
      <c r="C22" s="34"/>
      <c r="D22" s="18"/>
      <c r="E22" s="23"/>
      <c r="F22" s="18"/>
      <c r="I22" s="31"/>
      <c r="J22" s="31"/>
      <c r="K22" s="31"/>
      <c r="L22" s="31"/>
      <c r="M22" s="31"/>
    </row>
    <row r="23" spans="1:20" ht="15.75" customHeight="1" x14ac:dyDescent="0.25">
      <c r="A23" s="25">
        <v>4</v>
      </c>
      <c r="B23" s="19"/>
      <c r="C23" s="29"/>
      <c r="D23" s="18"/>
      <c r="E23" s="23"/>
      <c r="F23" s="18"/>
      <c r="I23" s="31"/>
      <c r="J23" s="31"/>
      <c r="K23" s="31"/>
      <c r="L23" s="31"/>
      <c r="M23" s="31"/>
    </row>
    <row r="24" spans="1:20" ht="15.75" customHeight="1" x14ac:dyDescent="0.25">
      <c r="A24" s="25">
        <v>5</v>
      </c>
      <c r="B24" s="19"/>
      <c r="C24" s="29"/>
      <c r="D24" s="18"/>
      <c r="E24" s="23"/>
      <c r="F24" s="18"/>
      <c r="I24" s="31"/>
      <c r="J24" s="31"/>
      <c r="K24" s="31"/>
      <c r="L24" s="31"/>
      <c r="M24" s="31"/>
    </row>
    <row r="25" spans="1:20" ht="15.75" customHeight="1" x14ac:dyDescent="0.25">
      <c r="A25" s="25">
        <v>6</v>
      </c>
      <c r="B25" s="19"/>
      <c r="C25" s="29"/>
      <c r="D25" s="24"/>
      <c r="E25" s="23"/>
      <c r="F25" s="18"/>
      <c r="I25" s="31"/>
      <c r="J25" s="31"/>
      <c r="K25" s="31"/>
      <c r="L25" s="31"/>
      <c r="M25" s="31"/>
    </row>
    <row r="26" spans="1:20" ht="15.75" customHeight="1" x14ac:dyDescent="0.25">
      <c r="A26" s="25">
        <v>7</v>
      </c>
      <c r="B26" s="19"/>
      <c r="C26" s="29"/>
      <c r="D26" s="24"/>
      <c r="E26" s="80"/>
      <c r="F26" s="32"/>
      <c r="I26" s="31"/>
      <c r="J26" s="31"/>
      <c r="K26" s="31"/>
      <c r="L26" s="31"/>
      <c r="M26" s="31"/>
    </row>
    <row r="27" spans="1:20" x14ac:dyDescent="0.25">
      <c r="A27" s="25">
        <v>8</v>
      </c>
      <c r="B27" s="19"/>
      <c r="C27" s="27"/>
      <c r="D27" s="24"/>
      <c r="E27" s="24"/>
      <c r="F27" s="32"/>
    </row>
    <row r="28" spans="1:20" x14ac:dyDescent="0.25">
      <c r="A28" s="25">
        <v>9</v>
      </c>
      <c r="B28" s="19"/>
      <c r="C28" s="27"/>
      <c r="D28" s="28"/>
      <c r="E28" s="30"/>
      <c r="F28" s="25"/>
    </row>
    <row r="29" spans="1:20" x14ac:dyDescent="0.25">
      <c r="A29" s="25">
        <v>10</v>
      </c>
      <c r="B29" s="19"/>
      <c r="C29" s="33"/>
      <c r="D29" s="34"/>
      <c r="E29" s="30"/>
      <c r="F29" s="25"/>
      <c r="L29" s="31"/>
      <c r="M29" s="31"/>
      <c r="N29" s="31"/>
      <c r="O29" s="31"/>
    </row>
    <row r="30" spans="1:20" ht="15.75" customHeight="1" x14ac:dyDescent="0.25">
      <c r="A30" s="25">
        <v>11</v>
      </c>
      <c r="B30" s="19"/>
      <c r="C30" s="33"/>
      <c r="D30" s="46"/>
      <c r="E30" s="30"/>
      <c r="F30" s="25"/>
      <c r="L30" s="31"/>
      <c r="M30" s="31"/>
      <c r="N30" s="31"/>
      <c r="O30" s="31"/>
    </row>
    <row r="31" spans="1:20" ht="15.75" customHeight="1" x14ac:dyDescent="0.25">
      <c r="A31" s="35"/>
      <c r="B31" s="36"/>
      <c r="C31" s="37"/>
      <c r="D31"/>
      <c r="E31" s="38"/>
      <c r="F31" s="35"/>
    </row>
    <row r="32" spans="1:20" ht="15.75" x14ac:dyDescent="0.25">
      <c r="A32" s="6"/>
      <c r="B32" s="11" t="s">
        <v>23</v>
      </c>
      <c r="E32" s="7"/>
      <c r="F32" s="7"/>
    </row>
    <row r="33" spans="1:7" ht="15.75" thickBot="1" x14ac:dyDescent="0.3">
      <c r="A33" s="6"/>
      <c r="B33" s="13"/>
      <c r="C33" s="7"/>
      <c r="D33" s="7"/>
      <c r="E33" s="7"/>
      <c r="F33" s="7"/>
    </row>
    <row r="34" spans="1:7" x14ac:dyDescent="0.25">
      <c r="A34" s="14" t="s">
        <v>10</v>
      </c>
      <c r="B34" s="15" t="s">
        <v>24</v>
      </c>
      <c r="C34" s="15" t="s">
        <v>13</v>
      </c>
      <c r="D34" s="15" t="s">
        <v>25</v>
      </c>
      <c r="E34" s="15" t="s">
        <v>26</v>
      </c>
      <c r="F34" s="16" t="s">
        <v>15</v>
      </c>
    </row>
    <row r="35" spans="1:7" ht="15.75" customHeight="1" x14ac:dyDescent="0.25">
      <c r="A35" s="25">
        <v>1</v>
      </c>
      <c r="B35" s="19">
        <v>23092026</v>
      </c>
      <c r="C35" s="18" t="s">
        <v>106</v>
      </c>
      <c r="D35" s="18" t="s">
        <v>107</v>
      </c>
      <c r="E35" s="29">
        <v>3704</v>
      </c>
      <c r="F35" s="18">
        <v>45</v>
      </c>
      <c r="G35" s="74"/>
    </row>
    <row r="36" spans="1:7" ht="15.75" customHeight="1" x14ac:dyDescent="0.25">
      <c r="A36" s="25">
        <v>2</v>
      </c>
      <c r="B36" s="19"/>
      <c r="C36" s="28"/>
      <c r="D36" s="29"/>
      <c r="E36" s="29"/>
      <c r="F36" s="18"/>
      <c r="G36" s="74"/>
    </row>
    <row r="37" spans="1:7" ht="15.75" customHeight="1" x14ac:dyDescent="0.25">
      <c r="A37" s="25">
        <v>3</v>
      </c>
      <c r="B37" s="19"/>
      <c r="C37" s="28"/>
      <c r="D37" s="34"/>
      <c r="F37" s="18"/>
      <c r="G37" s="74"/>
    </row>
    <row r="38" spans="1:7" ht="15.75" customHeight="1" x14ac:dyDescent="0.25">
      <c r="A38" s="25">
        <v>4</v>
      </c>
      <c r="B38" s="19"/>
      <c r="C38" s="77"/>
      <c r="D38" s="29"/>
      <c r="E38" s="29"/>
      <c r="F38" s="39"/>
      <c r="G38" s="74"/>
    </row>
    <row r="39" spans="1:7" ht="15.75" customHeight="1" x14ac:dyDescent="0.25">
      <c r="A39" s="25">
        <v>5</v>
      </c>
      <c r="B39" s="19"/>
      <c r="C39" s="28"/>
      <c r="D39" s="29"/>
      <c r="E39" s="29"/>
      <c r="F39" s="29"/>
      <c r="G39" s="74"/>
    </row>
    <row r="40" spans="1:7" x14ac:dyDescent="0.25">
      <c r="A40" s="25">
        <v>6</v>
      </c>
      <c r="B40" s="19"/>
      <c r="C40" s="34"/>
      <c r="D40" s="34"/>
      <c r="E40" s="29"/>
      <c r="F40" s="29"/>
      <c r="G40" s="74"/>
    </row>
    <row r="41" spans="1:7" x14ac:dyDescent="0.25">
      <c r="A41" s="25">
        <v>7</v>
      </c>
      <c r="B41" s="19"/>
      <c r="C41" s="34"/>
      <c r="D41" s="34"/>
      <c r="E41" s="29"/>
      <c r="F41" s="29"/>
      <c r="G41" s="74"/>
    </row>
    <row r="42" spans="1:7" x14ac:dyDescent="0.25">
      <c r="A42" s="25">
        <v>8</v>
      </c>
      <c r="B42" s="19"/>
      <c r="C42" s="34"/>
      <c r="D42" s="46"/>
      <c r="E42" s="29"/>
      <c r="F42" s="29"/>
      <c r="G42" s="74"/>
    </row>
    <row r="43" spans="1:7" x14ac:dyDescent="0.25">
      <c r="A43" s="25">
        <v>9</v>
      </c>
      <c r="B43" s="19"/>
      <c r="C43" s="34"/>
      <c r="D43" s="46"/>
      <c r="E43" s="29"/>
      <c r="F43" s="29"/>
      <c r="G43" s="74"/>
    </row>
    <row r="44" spans="1:7" x14ac:dyDescent="0.25">
      <c r="A44" s="25">
        <v>10</v>
      </c>
      <c r="B44" s="19"/>
      <c r="C44" s="34"/>
      <c r="D44" s="46"/>
      <c r="E44" s="29"/>
      <c r="F44" s="29"/>
      <c r="G44" s="74"/>
    </row>
  </sheetData>
  <mergeCells count="1">
    <mergeCell ref="A3:H3"/>
  </mergeCells>
  <dataValidations count="2">
    <dataValidation type="list" allowBlank="1" showInputMessage="1" showErrorMessage="1" sqref="F16 F26:F27" xr:uid="{D0CD690B-E68F-48FC-A110-B334FF72DAC3}">
      <formula1>"20,40,45,50"</formula1>
    </dataValidation>
    <dataValidation type="list" allowBlank="1" showInputMessage="1" showErrorMessage="1" sqref="F35:F37 F8:F15 F20:F25" xr:uid="{716D21BA-24B1-40B3-B493-FD2632C7794E}">
      <formula1>"20,40,45,50"</formula1>
      <formula2>0</formula2>
    </dataValidation>
  </dataValidation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4D3A5-CFFF-48EE-8F0B-F48094E9F832}">
  <dimension ref="A1:T44"/>
  <sheetViews>
    <sheetView topLeftCell="A12" workbookViewId="0">
      <selection activeCell="C38" sqref="C38"/>
    </sheetView>
  </sheetViews>
  <sheetFormatPr baseColWidth="10" defaultRowHeight="15" x14ac:dyDescent="0.25"/>
  <cols>
    <col min="1" max="1" width="3.140625" style="21" bestFit="1" customWidth="1"/>
    <col min="2" max="2" width="15.5703125" style="21" bestFit="1" customWidth="1"/>
    <col min="3" max="3" width="19.28515625" style="21" customWidth="1"/>
    <col min="4" max="4" width="19.140625" style="21" customWidth="1"/>
    <col min="5" max="5" width="14.28515625" style="21" customWidth="1"/>
    <col min="6" max="6" width="13.85546875" style="21" bestFit="1" customWidth="1"/>
    <col min="7" max="7" width="12.140625" style="21" bestFit="1" customWidth="1"/>
    <col min="8" max="10" width="11.42578125" style="21"/>
    <col min="11" max="11" width="14.7109375" style="21" bestFit="1" customWidth="1"/>
    <col min="12" max="16384" width="11.42578125" style="21"/>
  </cols>
  <sheetData>
    <row r="1" spans="1:10" s="7" customFormat="1" ht="15.75" x14ac:dyDescent="0.25">
      <c r="A1" s="6"/>
      <c r="H1" s="8">
        <f>COUNTIF(C8:C15,"&lt;&gt;")</f>
        <v>0</v>
      </c>
      <c r="I1" s="9" t="s">
        <v>6</v>
      </c>
    </row>
    <row r="2" spans="1:10" s="7" customFormat="1" ht="15.75" x14ac:dyDescent="0.25">
      <c r="A2" s="6"/>
      <c r="F2" s="8">
        <f>COUNTIFS(B20:B29,"&lt;&gt;",C20:C29,"VH")</f>
        <v>0</v>
      </c>
      <c r="G2" s="9" t="s">
        <v>7</v>
      </c>
      <c r="H2" s="8">
        <f>COUNTA(C20:C29)-F2</f>
        <v>1</v>
      </c>
      <c r="I2" s="9" t="s">
        <v>6</v>
      </c>
      <c r="J2" s="10">
        <f>COUNTIF(E20:E29,"VIDE")</f>
        <v>0</v>
      </c>
    </row>
    <row r="3" spans="1:10" s="7" customFormat="1" ht="25.5" x14ac:dyDescent="0.25">
      <c r="A3" s="99" t="s">
        <v>8</v>
      </c>
      <c r="B3" s="99"/>
      <c r="C3" s="99"/>
      <c r="D3" s="99"/>
      <c r="E3" s="99"/>
      <c r="F3" s="99"/>
      <c r="G3" s="99"/>
      <c r="H3" s="99"/>
    </row>
    <row r="4" spans="1:10" s="7" customFormat="1" ht="12.75" x14ac:dyDescent="0.25">
      <c r="A4" s="6"/>
    </row>
    <row r="5" spans="1:10" s="7" customFormat="1" ht="15.75" x14ac:dyDescent="0.25">
      <c r="A5" s="6"/>
      <c r="B5" s="11" t="s">
        <v>9</v>
      </c>
      <c r="G5" s="12">
        <v>46289</v>
      </c>
    </row>
    <row r="6" spans="1:10" s="7" customFormat="1" ht="14.25" x14ac:dyDescent="0.25">
      <c r="A6" s="6"/>
      <c r="B6" s="13"/>
    </row>
    <row r="7" spans="1:10" s="7" customFormat="1" ht="14.25" x14ac:dyDescent="0.25">
      <c r="A7" s="69" t="s">
        <v>10</v>
      </c>
      <c r="B7" s="69" t="s">
        <v>11</v>
      </c>
      <c r="C7" s="69" t="s">
        <v>12</v>
      </c>
      <c r="D7" s="69" t="s">
        <v>13</v>
      </c>
      <c r="E7" s="69" t="s">
        <v>14</v>
      </c>
      <c r="F7" s="69" t="s">
        <v>15</v>
      </c>
    </row>
    <row r="8" spans="1:10" x14ac:dyDescent="0.25">
      <c r="A8" s="17">
        <v>1</v>
      </c>
      <c r="B8" s="25"/>
      <c r="C8" s="68"/>
      <c r="D8" s="24"/>
      <c r="E8" s="24"/>
      <c r="F8" s="18"/>
    </row>
    <row r="9" spans="1:10" x14ac:dyDescent="0.25">
      <c r="A9" s="17">
        <v>2</v>
      </c>
      <c r="B9" s="70"/>
      <c r="C9" s="68"/>
      <c r="D9" s="18"/>
      <c r="E9" s="18"/>
      <c r="F9" s="18"/>
    </row>
    <row r="10" spans="1:10" x14ac:dyDescent="0.25">
      <c r="A10" s="17">
        <v>3</v>
      </c>
      <c r="B10" s="70"/>
      <c r="C10" s="68"/>
      <c r="D10" s="18"/>
      <c r="E10" s="18"/>
      <c r="F10" s="18"/>
    </row>
    <row r="11" spans="1:10" x14ac:dyDescent="0.25">
      <c r="A11" s="17">
        <v>4</v>
      </c>
      <c r="B11" s="70"/>
      <c r="C11" s="68"/>
      <c r="D11" s="18"/>
      <c r="E11" s="18"/>
      <c r="F11" s="18"/>
    </row>
    <row r="12" spans="1:10" x14ac:dyDescent="0.25">
      <c r="A12" s="17">
        <v>5</v>
      </c>
      <c r="B12" s="63"/>
      <c r="C12" s="68"/>
      <c r="D12" s="18"/>
      <c r="E12" s="18"/>
      <c r="F12" s="18"/>
    </row>
    <row r="13" spans="1:10" x14ac:dyDescent="0.25">
      <c r="A13" s="17">
        <v>6</v>
      </c>
      <c r="B13" s="63"/>
      <c r="C13" s="68"/>
      <c r="D13" s="18"/>
      <c r="E13" s="18"/>
      <c r="F13" s="18"/>
    </row>
    <row r="14" spans="1:10" x14ac:dyDescent="0.25">
      <c r="A14" s="17">
        <v>7</v>
      </c>
      <c r="B14" s="63"/>
      <c r="C14" s="68"/>
      <c r="D14" s="24"/>
      <c r="E14" s="24"/>
      <c r="F14" s="18"/>
    </row>
    <row r="15" spans="1:10" x14ac:dyDescent="0.25">
      <c r="A15" s="17">
        <v>8</v>
      </c>
      <c r="B15" s="42"/>
      <c r="C15" s="68"/>
      <c r="D15" s="24"/>
      <c r="E15" s="23"/>
      <c r="F15" s="18"/>
    </row>
    <row r="16" spans="1:10" ht="15.75" x14ac:dyDescent="0.25">
      <c r="A16" s="6"/>
      <c r="B16" s="20"/>
      <c r="C16" s="7"/>
      <c r="D16" s="26"/>
      <c r="E16" s="26"/>
      <c r="F16" s="26"/>
      <c r="G16" s="7"/>
    </row>
    <row r="17" spans="1:20" ht="15.75" x14ac:dyDescent="0.25">
      <c r="A17" s="6"/>
      <c r="B17" s="11" t="s">
        <v>20</v>
      </c>
    </row>
    <row r="18" spans="1:20" ht="15.75" thickBot="1" x14ac:dyDescent="0.3">
      <c r="A18" s="6"/>
      <c r="B18" s="13"/>
      <c r="C18" s="7"/>
      <c r="D18" s="7"/>
      <c r="E18" s="7"/>
      <c r="F18" s="7"/>
      <c r="N18" s="31"/>
      <c r="O18" s="31"/>
      <c r="P18" s="31"/>
      <c r="Q18" s="31"/>
      <c r="R18" s="31"/>
      <c r="S18"/>
      <c r="T18"/>
    </row>
    <row r="19" spans="1:20" x14ac:dyDescent="0.25">
      <c r="A19" s="14" t="s">
        <v>10</v>
      </c>
      <c r="B19" s="15" t="s">
        <v>21</v>
      </c>
      <c r="C19" s="15" t="s">
        <v>22</v>
      </c>
      <c r="D19" s="15" t="s">
        <v>13</v>
      </c>
      <c r="E19" s="15" t="s">
        <v>14</v>
      </c>
      <c r="F19" s="16" t="s">
        <v>15</v>
      </c>
      <c r="N19" s="31"/>
      <c r="O19" s="31"/>
      <c r="P19" s="81"/>
      <c r="Q19" s="31"/>
      <c r="R19" s="31"/>
      <c r="S19" s="31"/>
      <c r="T19" s="31"/>
    </row>
    <row r="20" spans="1:20" x14ac:dyDescent="0.25">
      <c r="A20" s="25">
        <v>1</v>
      </c>
      <c r="B20" s="19">
        <v>23092026</v>
      </c>
      <c r="C20" s="34" t="s">
        <v>265</v>
      </c>
      <c r="D20" s="18" t="s">
        <v>106</v>
      </c>
      <c r="E20" s="18">
        <v>3704</v>
      </c>
      <c r="F20" s="18">
        <v>45</v>
      </c>
      <c r="N20" s="31"/>
      <c r="O20" s="81"/>
      <c r="P20" s="31"/>
      <c r="Q20" s="31"/>
      <c r="R20"/>
      <c r="S20"/>
      <c r="T20"/>
    </row>
    <row r="21" spans="1:20" ht="15.75" customHeight="1" x14ac:dyDescent="0.25">
      <c r="A21" s="25">
        <v>2</v>
      </c>
      <c r="B21" s="19"/>
      <c r="C21" s="29"/>
      <c r="D21" s="18"/>
      <c r="E21" s="18"/>
      <c r="F21" s="18"/>
      <c r="I21" s="31"/>
      <c r="J21" s="31"/>
      <c r="K21" s="31"/>
      <c r="L21" s="31"/>
      <c r="M21" s="31"/>
    </row>
    <row r="22" spans="1:20" ht="15.75" customHeight="1" x14ac:dyDescent="0.25">
      <c r="A22" s="25">
        <v>3</v>
      </c>
      <c r="B22" s="19"/>
      <c r="C22" s="34"/>
      <c r="D22" s="18"/>
      <c r="E22" s="23"/>
      <c r="F22" s="18"/>
      <c r="I22" s="31"/>
      <c r="J22" s="31"/>
      <c r="K22" s="31"/>
      <c r="L22" s="31"/>
      <c r="M22" s="31"/>
    </row>
    <row r="23" spans="1:20" ht="15.75" customHeight="1" x14ac:dyDescent="0.25">
      <c r="A23" s="25">
        <v>4</v>
      </c>
      <c r="B23" s="19"/>
      <c r="C23" s="29"/>
      <c r="D23" s="18"/>
      <c r="E23" s="23"/>
      <c r="F23" s="18"/>
      <c r="I23" s="31"/>
      <c r="J23" s="31"/>
      <c r="K23" s="31"/>
      <c r="L23" s="31"/>
      <c r="M23" s="31"/>
    </row>
    <row r="24" spans="1:20" ht="15.75" customHeight="1" x14ac:dyDescent="0.25">
      <c r="A24" s="25">
        <v>5</v>
      </c>
      <c r="B24" s="19"/>
      <c r="C24" s="29"/>
      <c r="D24" s="18"/>
      <c r="E24" s="23"/>
      <c r="F24" s="18"/>
      <c r="I24" s="31"/>
      <c r="J24" s="31"/>
      <c r="K24" s="31"/>
      <c r="L24" s="31"/>
      <c r="M24" s="31"/>
    </row>
    <row r="25" spans="1:20" ht="15.75" customHeight="1" x14ac:dyDescent="0.25">
      <c r="A25" s="25">
        <v>6</v>
      </c>
      <c r="B25" s="19"/>
      <c r="C25" s="29"/>
      <c r="D25" s="24"/>
      <c r="E25" s="23"/>
      <c r="F25" s="18"/>
      <c r="I25" s="31"/>
      <c r="J25" s="31"/>
      <c r="K25" s="31"/>
      <c r="L25" s="31"/>
      <c r="M25" s="31"/>
    </row>
    <row r="26" spans="1:20" ht="15.75" customHeight="1" x14ac:dyDescent="0.25">
      <c r="A26" s="25">
        <v>7</v>
      </c>
      <c r="B26" s="19"/>
      <c r="C26" s="29"/>
      <c r="D26" s="24"/>
      <c r="E26" s="80"/>
      <c r="F26" s="32"/>
      <c r="I26" s="31"/>
      <c r="J26" s="31"/>
      <c r="K26" s="31"/>
      <c r="L26" s="31"/>
      <c r="M26" s="31"/>
    </row>
    <row r="27" spans="1:20" x14ac:dyDescent="0.25">
      <c r="A27" s="25">
        <v>8</v>
      </c>
      <c r="B27" s="19"/>
      <c r="C27" s="27"/>
      <c r="D27" s="24"/>
      <c r="E27" s="24"/>
      <c r="F27" s="32"/>
    </row>
    <row r="28" spans="1:20" x14ac:dyDescent="0.25">
      <c r="A28" s="25">
        <v>9</v>
      </c>
      <c r="B28" s="19"/>
      <c r="C28" s="27"/>
      <c r="D28" s="28"/>
      <c r="E28" s="30"/>
      <c r="F28" s="25"/>
    </row>
    <row r="29" spans="1:20" x14ac:dyDescent="0.25">
      <c r="A29" s="25">
        <v>10</v>
      </c>
      <c r="B29" s="19"/>
      <c r="C29" s="33"/>
      <c r="D29" s="34"/>
      <c r="E29" s="30"/>
      <c r="F29" s="25"/>
      <c r="L29" s="31"/>
      <c r="M29" s="31"/>
      <c r="N29" s="31"/>
      <c r="O29" s="31"/>
    </row>
    <row r="30" spans="1:20" ht="15.75" customHeight="1" x14ac:dyDescent="0.25">
      <c r="A30" s="25">
        <v>11</v>
      </c>
      <c r="B30" s="19"/>
      <c r="C30" s="33"/>
      <c r="D30" s="46"/>
      <c r="E30" s="30"/>
      <c r="F30" s="25"/>
      <c r="L30" s="31"/>
      <c r="M30" s="31"/>
      <c r="N30" s="31"/>
      <c r="O30" s="31"/>
    </row>
    <row r="31" spans="1:20" ht="15.75" customHeight="1" x14ac:dyDescent="0.25">
      <c r="A31" s="35"/>
      <c r="B31" s="36"/>
      <c r="C31" s="37"/>
      <c r="D31"/>
      <c r="E31" s="38"/>
      <c r="F31" s="35"/>
    </row>
    <row r="32" spans="1:20" ht="15.75" x14ac:dyDescent="0.25">
      <c r="A32" s="6"/>
      <c r="B32" s="11" t="s">
        <v>23</v>
      </c>
      <c r="E32" s="7"/>
      <c r="F32" s="7"/>
    </row>
    <row r="33" spans="1:7" ht="15.75" thickBot="1" x14ac:dyDescent="0.3">
      <c r="A33" s="6"/>
      <c r="B33" s="13"/>
      <c r="C33" s="7"/>
      <c r="D33" s="7"/>
      <c r="E33" s="7"/>
      <c r="F33" s="7"/>
    </row>
    <row r="34" spans="1:7" x14ac:dyDescent="0.25">
      <c r="A34" s="14" t="s">
        <v>10</v>
      </c>
      <c r="B34" s="15" t="s">
        <v>24</v>
      </c>
      <c r="C34" s="15" t="s">
        <v>13</v>
      </c>
      <c r="D34" s="15" t="s">
        <v>25</v>
      </c>
      <c r="E34" s="15" t="s">
        <v>26</v>
      </c>
      <c r="F34" s="16" t="s">
        <v>15</v>
      </c>
    </row>
    <row r="35" spans="1:7" ht="15.75" customHeight="1" x14ac:dyDescent="0.25">
      <c r="A35" s="25">
        <v>1</v>
      </c>
      <c r="B35" s="19">
        <v>24092026</v>
      </c>
      <c r="C35" s="18" t="s">
        <v>177</v>
      </c>
      <c r="D35" s="18" t="s">
        <v>178</v>
      </c>
      <c r="E35" s="29">
        <v>3708</v>
      </c>
      <c r="F35" s="18">
        <v>45</v>
      </c>
      <c r="G35" s="74"/>
    </row>
    <row r="36" spans="1:7" ht="15.75" customHeight="1" x14ac:dyDescent="0.25">
      <c r="A36" s="25">
        <v>2</v>
      </c>
      <c r="B36" s="19">
        <v>24092026</v>
      </c>
      <c r="C36" s="79" t="s">
        <v>258</v>
      </c>
      <c r="D36" s="79" t="s">
        <v>260</v>
      </c>
      <c r="E36" s="29">
        <v>3709</v>
      </c>
      <c r="F36" s="18">
        <v>45</v>
      </c>
      <c r="G36" s="74"/>
    </row>
    <row r="37" spans="1:7" ht="15.75" customHeight="1" x14ac:dyDescent="0.25">
      <c r="A37" s="25">
        <v>3</v>
      </c>
      <c r="B37" s="19">
        <v>24092026</v>
      </c>
      <c r="C37" s="79" t="s">
        <v>259</v>
      </c>
      <c r="D37" s="79" t="s">
        <v>261</v>
      </c>
      <c r="E37" s="78">
        <v>3710</v>
      </c>
      <c r="F37" s="18">
        <v>45</v>
      </c>
      <c r="G37" s="74"/>
    </row>
    <row r="38" spans="1:7" ht="15.75" customHeight="1" x14ac:dyDescent="0.25">
      <c r="A38" s="25">
        <v>4</v>
      </c>
      <c r="B38" s="19">
        <v>24092026</v>
      </c>
      <c r="C38" s="79" t="s">
        <v>262</v>
      </c>
      <c r="D38" s="29"/>
      <c r="E38" s="29">
        <v>3717</v>
      </c>
      <c r="F38" s="39">
        <v>40</v>
      </c>
      <c r="G38" s="74"/>
    </row>
    <row r="39" spans="1:7" ht="15.75" customHeight="1" x14ac:dyDescent="0.25">
      <c r="A39" s="25">
        <v>5</v>
      </c>
      <c r="B39" s="19">
        <v>24092026</v>
      </c>
      <c r="C39" s="79" t="s">
        <v>263</v>
      </c>
      <c r="D39" s="29"/>
      <c r="E39" s="29">
        <v>3718</v>
      </c>
      <c r="F39" s="29">
        <v>40</v>
      </c>
      <c r="G39" s="74"/>
    </row>
    <row r="40" spans="1:7" x14ac:dyDescent="0.25">
      <c r="A40" s="25">
        <v>6</v>
      </c>
      <c r="B40" s="19">
        <v>24092026</v>
      </c>
      <c r="C40" s="79" t="s">
        <v>264</v>
      </c>
      <c r="D40" s="34"/>
      <c r="E40" s="29">
        <v>3719</v>
      </c>
      <c r="F40" s="29">
        <v>40</v>
      </c>
      <c r="G40" s="74"/>
    </row>
    <row r="41" spans="1:7" x14ac:dyDescent="0.25">
      <c r="A41" s="25">
        <v>7</v>
      </c>
      <c r="B41" s="19">
        <v>24092026</v>
      </c>
      <c r="C41" s="34" t="s">
        <v>173</v>
      </c>
      <c r="D41" s="34">
        <v>5055347</v>
      </c>
      <c r="E41" s="29">
        <v>3705</v>
      </c>
      <c r="F41" s="29">
        <v>40</v>
      </c>
      <c r="G41" s="74"/>
    </row>
    <row r="42" spans="1:7" x14ac:dyDescent="0.25">
      <c r="A42" s="25">
        <v>8</v>
      </c>
      <c r="B42" s="19">
        <v>24092026</v>
      </c>
      <c r="C42" s="34" t="s">
        <v>171</v>
      </c>
      <c r="D42" s="34" t="s">
        <v>172</v>
      </c>
      <c r="E42" s="29">
        <v>3720</v>
      </c>
      <c r="F42" s="29">
        <v>40</v>
      </c>
      <c r="G42" s="74"/>
    </row>
    <row r="43" spans="1:7" x14ac:dyDescent="0.25">
      <c r="A43" s="25">
        <v>9</v>
      </c>
      <c r="B43" s="19"/>
      <c r="C43" s="34"/>
      <c r="D43" s="46"/>
      <c r="E43" s="29"/>
      <c r="F43" s="29"/>
      <c r="G43" s="74"/>
    </row>
    <row r="44" spans="1:7" x14ac:dyDescent="0.25">
      <c r="A44" s="25">
        <v>10</v>
      </c>
      <c r="B44" s="19"/>
      <c r="C44" s="34"/>
      <c r="D44" s="46"/>
      <c r="E44" s="29"/>
      <c r="F44" s="29"/>
      <c r="G44" s="74"/>
    </row>
  </sheetData>
  <mergeCells count="1">
    <mergeCell ref="A3:H3"/>
  </mergeCells>
  <dataValidations count="2">
    <dataValidation type="list" allowBlank="1" showInputMessage="1" showErrorMessage="1" sqref="F35:F37 F8:F15 F20:F25" xr:uid="{873A6CC2-B0AC-4252-9BA5-5B51ADAB7F71}">
      <formula1>"20,40,45,50"</formula1>
      <formula2>0</formula2>
    </dataValidation>
    <dataValidation type="list" allowBlank="1" showInputMessage="1" showErrorMessage="1" sqref="F16 F26:F27" xr:uid="{023A5CA8-4A36-4483-9D17-0471F6DF8341}">
      <formula1>"20,40,45,50"</formula1>
    </dataValidation>
  </dataValidations>
  <pageMargins left="0.31496062992125984" right="0.11811023622047245" top="0.74803149606299213" bottom="0.74803149606299213" header="0.31496062992125984" footer="0.31496062992125984"/>
  <pageSetup paperSize="9" orientation="portrait" verticalDpi="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B8252-087A-4065-950E-9C8686BFED82}">
  <dimension ref="A1:T49"/>
  <sheetViews>
    <sheetView topLeftCell="A18" workbookViewId="0">
      <selection activeCell="C38" sqref="C38"/>
    </sheetView>
  </sheetViews>
  <sheetFormatPr baseColWidth="10" defaultRowHeight="15" x14ac:dyDescent="0.25"/>
  <cols>
    <col min="1" max="1" width="3.140625" style="21" bestFit="1" customWidth="1"/>
    <col min="2" max="2" width="15.5703125" style="21" bestFit="1" customWidth="1"/>
    <col min="3" max="3" width="19.28515625" style="21" customWidth="1"/>
    <col min="4" max="4" width="19.140625" style="21" customWidth="1"/>
    <col min="5" max="5" width="14.28515625" style="21" customWidth="1"/>
    <col min="6" max="6" width="13.85546875" style="21" bestFit="1" customWidth="1"/>
    <col min="7" max="7" width="12.140625" style="21" bestFit="1" customWidth="1"/>
    <col min="8" max="10" width="11.42578125" style="21"/>
    <col min="11" max="11" width="14.7109375" style="21" bestFit="1" customWidth="1"/>
    <col min="12" max="16384" width="11.42578125" style="21"/>
  </cols>
  <sheetData>
    <row r="1" spans="1:10" s="7" customFormat="1" ht="15.75" x14ac:dyDescent="0.25">
      <c r="A1" s="6"/>
      <c r="H1" s="8">
        <f>COUNTIF(C8:C20,"&lt;&gt;")</f>
        <v>9</v>
      </c>
      <c r="I1" s="9" t="s">
        <v>6</v>
      </c>
    </row>
    <row r="2" spans="1:10" s="7" customFormat="1" ht="15.75" x14ac:dyDescent="0.25">
      <c r="A2" s="6"/>
      <c r="F2" s="8">
        <f>COUNTIFS(B27:B35,"&lt;&gt;",C27:C35,"VH")</f>
        <v>0</v>
      </c>
      <c r="G2" s="9" t="s">
        <v>7</v>
      </c>
      <c r="H2" s="8">
        <f>COUNTA(C27:C35)-F2</f>
        <v>0</v>
      </c>
      <c r="I2" s="9" t="s">
        <v>6</v>
      </c>
      <c r="J2" s="10">
        <f>COUNTIF(E27:E35,"VIDE")</f>
        <v>0</v>
      </c>
    </row>
    <row r="3" spans="1:10" s="7" customFormat="1" ht="25.5" x14ac:dyDescent="0.25">
      <c r="A3" s="99" t="s">
        <v>8</v>
      </c>
      <c r="B3" s="99"/>
      <c r="C3" s="99"/>
      <c r="D3" s="99"/>
      <c r="E3" s="99"/>
      <c r="F3" s="99"/>
      <c r="G3" s="99"/>
      <c r="H3" s="99"/>
    </row>
    <row r="4" spans="1:10" s="7" customFormat="1" ht="12.75" x14ac:dyDescent="0.25">
      <c r="A4" s="6"/>
    </row>
    <row r="5" spans="1:10" s="7" customFormat="1" ht="15.75" x14ac:dyDescent="0.25">
      <c r="A5" s="6"/>
      <c r="B5" s="11" t="s">
        <v>9</v>
      </c>
      <c r="G5" s="12">
        <v>46291</v>
      </c>
    </row>
    <row r="6" spans="1:10" s="7" customFormat="1" ht="14.25" x14ac:dyDescent="0.25">
      <c r="A6" s="6"/>
      <c r="B6" s="13"/>
    </row>
    <row r="7" spans="1:10" s="7" customFormat="1" ht="14.25" x14ac:dyDescent="0.25">
      <c r="A7" s="82" t="s">
        <v>10</v>
      </c>
      <c r="B7" s="82" t="s">
        <v>11</v>
      </c>
      <c r="C7" s="82" t="s">
        <v>12</v>
      </c>
      <c r="D7" s="82" t="s">
        <v>13</v>
      </c>
      <c r="E7" s="82" t="s">
        <v>14</v>
      </c>
      <c r="F7" s="82" t="s">
        <v>15</v>
      </c>
    </row>
    <row r="8" spans="1:10" x14ac:dyDescent="0.25">
      <c r="A8" s="17">
        <v>1</v>
      </c>
      <c r="B8" s="105" t="s">
        <v>287</v>
      </c>
      <c r="C8" s="19">
        <v>26092026</v>
      </c>
      <c r="D8" s="83" t="s">
        <v>266</v>
      </c>
      <c r="E8" s="83" t="s">
        <v>267</v>
      </c>
      <c r="F8" s="84" t="s">
        <v>16</v>
      </c>
    </row>
    <row r="9" spans="1:10" x14ac:dyDescent="0.25">
      <c r="A9" s="17">
        <v>2</v>
      </c>
      <c r="B9" s="105"/>
      <c r="C9" s="19">
        <v>26092026</v>
      </c>
      <c r="D9" s="85" t="s">
        <v>268</v>
      </c>
      <c r="E9" s="84" t="s">
        <v>269</v>
      </c>
      <c r="F9" s="84" t="s">
        <v>16</v>
      </c>
    </row>
    <row r="10" spans="1:10" x14ac:dyDescent="0.25">
      <c r="A10" s="17">
        <v>3</v>
      </c>
      <c r="B10" s="105"/>
      <c r="C10" s="19">
        <v>26092026</v>
      </c>
      <c r="D10" s="84" t="s">
        <v>270</v>
      </c>
      <c r="E10" s="84" t="s">
        <v>271</v>
      </c>
      <c r="F10" s="84" t="s">
        <v>16</v>
      </c>
    </row>
    <row r="11" spans="1:10" x14ac:dyDescent="0.25">
      <c r="A11" s="17">
        <v>4</v>
      </c>
      <c r="B11" s="105"/>
      <c r="C11" s="19">
        <v>26092026</v>
      </c>
      <c r="D11" s="84" t="s">
        <v>272</v>
      </c>
      <c r="E11" s="84" t="s">
        <v>273</v>
      </c>
      <c r="F11" s="84" t="s">
        <v>16</v>
      </c>
    </row>
    <row r="12" spans="1:10" x14ac:dyDescent="0.25">
      <c r="A12" s="17">
        <v>5</v>
      </c>
      <c r="B12" s="106" t="s">
        <v>288</v>
      </c>
      <c r="C12" s="19">
        <v>26092026</v>
      </c>
      <c r="D12" s="84" t="s">
        <v>274</v>
      </c>
      <c r="E12" s="86" t="s">
        <v>156</v>
      </c>
      <c r="F12" s="84" t="s">
        <v>157</v>
      </c>
    </row>
    <row r="13" spans="1:10" x14ac:dyDescent="0.25">
      <c r="A13" s="17">
        <v>6</v>
      </c>
      <c r="B13" s="106"/>
      <c r="C13" s="19">
        <v>26092026</v>
      </c>
      <c r="D13" s="84" t="s">
        <v>275</v>
      </c>
      <c r="E13" s="86" t="s">
        <v>276</v>
      </c>
      <c r="F13" s="84" t="s">
        <v>16</v>
      </c>
    </row>
    <row r="14" spans="1:10" x14ac:dyDescent="0.25">
      <c r="A14" s="17">
        <v>7</v>
      </c>
      <c r="B14" s="106"/>
      <c r="C14" s="19">
        <v>26092026</v>
      </c>
      <c r="D14" s="84" t="s">
        <v>277</v>
      </c>
      <c r="E14" s="86" t="s">
        <v>278</v>
      </c>
      <c r="F14" s="84" t="s">
        <v>16</v>
      </c>
    </row>
    <row r="15" spans="1:10" x14ac:dyDescent="0.25">
      <c r="A15" s="17">
        <v>8</v>
      </c>
      <c r="B15" s="107" t="s">
        <v>289</v>
      </c>
      <c r="C15" s="19"/>
      <c r="D15" s="87" t="s">
        <v>279</v>
      </c>
      <c r="E15" s="108" t="s">
        <v>77</v>
      </c>
      <c r="F15" s="84" t="s">
        <v>16</v>
      </c>
    </row>
    <row r="16" spans="1:10" x14ac:dyDescent="0.25">
      <c r="A16" s="17">
        <v>9</v>
      </c>
      <c r="B16" s="107"/>
      <c r="C16" s="19"/>
      <c r="D16" s="87" t="s">
        <v>280</v>
      </c>
      <c r="E16" s="109"/>
      <c r="F16" s="84" t="s">
        <v>16</v>
      </c>
    </row>
    <row r="17" spans="1:20" x14ac:dyDescent="0.25">
      <c r="A17" s="17">
        <v>10</v>
      </c>
      <c r="B17" s="107"/>
      <c r="C17" s="19"/>
      <c r="D17" s="87" t="s">
        <v>281</v>
      </c>
      <c r="E17" s="110"/>
      <c r="F17" s="84" t="s">
        <v>16</v>
      </c>
    </row>
    <row r="18" spans="1:20" x14ac:dyDescent="0.25">
      <c r="A18" s="17">
        <v>11</v>
      </c>
      <c r="B18" s="88" t="s">
        <v>290</v>
      </c>
      <c r="C18" s="19">
        <v>26092026</v>
      </c>
      <c r="D18" s="84" t="s">
        <v>282</v>
      </c>
      <c r="E18" s="86" t="s">
        <v>283</v>
      </c>
      <c r="F18" s="84" t="s">
        <v>16</v>
      </c>
    </row>
    <row r="19" spans="1:20" x14ac:dyDescent="0.25">
      <c r="A19" s="17">
        <v>12</v>
      </c>
      <c r="B19" s="88" t="s">
        <v>291</v>
      </c>
      <c r="C19" s="19">
        <v>26092026</v>
      </c>
      <c r="D19" s="84" t="s">
        <v>284</v>
      </c>
      <c r="E19" s="84" t="s">
        <v>285</v>
      </c>
      <c r="F19" s="84" t="s">
        <v>16</v>
      </c>
      <c r="G19" s="7"/>
    </row>
    <row r="20" spans="1:20" x14ac:dyDescent="0.25">
      <c r="A20" s="17">
        <v>13</v>
      </c>
      <c r="B20" s="91" t="s">
        <v>292</v>
      </c>
      <c r="C20" s="62"/>
      <c r="D20" s="84" t="s">
        <v>286</v>
      </c>
      <c r="E20" s="90" t="s">
        <v>77</v>
      </c>
      <c r="F20" s="84" t="s">
        <v>16</v>
      </c>
      <c r="G20" s="7"/>
    </row>
    <row r="21" spans="1:20" ht="15.75" x14ac:dyDescent="0.25">
      <c r="A21" s="17"/>
      <c r="B21" s="61"/>
      <c r="C21" s="62"/>
      <c r="D21" s="84"/>
      <c r="E21" s="84"/>
      <c r="F21" s="84"/>
      <c r="G21" s="7"/>
    </row>
    <row r="22" spans="1:20" ht="15.75" x14ac:dyDescent="0.25">
      <c r="A22" s="6"/>
      <c r="B22" s="20"/>
      <c r="C22" s="7"/>
      <c r="D22" s="89"/>
      <c r="E22" s="89"/>
      <c r="F22" s="89"/>
      <c r="G22" s="7"/>
    </row>
    <row r="23" spans="1:20" ht="15.75" x14ac:dyDescent="0.25">
      <c r="A23" s="6"/>
      <c r="B23" s="20"/>
      <c r="C23" s="7"/>
      <c r="D23" s="89"/>
      <c r="E23" s="89"/>
      <c r="F23" s="89"/>
      <c r="G23" s="7"/>
    </row>
    <row r="24" spans="1:20" ht="15.75" x14ac:dyDescent="0.25">
      <c r="A24" s="6"/>
      <c r="B24" s="11" t="s">
        <v>20</v>
      </c>
    </row>
    <row r="25" spans="1:20" ht="15.75" thickBot="1" x14ac:dyDescent="0.3">
      <c r="A25" s="6"/>
      <c r="B25" s="13"/>
      <c r="C25" s="7"/>
      <c r="D25" s="7"/>
      <c r="E25" s="7"/>
      <c r="F25" s="7"/>
      <c r="N25" s="31"/>
      <c r="O25" s="31"/>
      <c r="P25" s="31"/>
      <c r="Q25" s="31"/>
      <c r="R25" s="31"/>
      <c r="S25"/>
      <c r="T25"/>
    </row>
    <row r="26" spans="1:20" x14ac:dyDescent="0.25">
      <c r="A26" s="14" t="s">
        <v>10</v>
      </c>
      <c r="B26" s="15" t="s">
        <v>21</v>
      </c>
      <c r="C26" s="15" t="s">
        <v>22</v>
      </c>
      <c r="D26" s="15" t="s">
        <v>13</v>
      </c>
      <c r="E26" s="15" t="s">
        <v>14</v>
      </c>
      <c r="F26" s="16" t="s">
        <v>15</v>
      </c>
      <c r="N26" s="31"/>
      <c r="O26" s="31"/>
      <c r="P26" s="81"/>
      <c r="Q26" s="31"/>
      <c r="R26" s="31"/>
      <c r="S26" s="31"/>
      <c r="T26" s="31"/>
    </row>
    <row r="27" spans="1:20" x14ac:dyDescent="0.25">
      <c r="A27" s="25">
        <v>1</v>
      </c>
      <c r="B27" s="19"/>
      <c r="C27" s="34"/>
      <c r="D27" s="18"/>
      <c r="E27" s="18"/>
      <c r="F27" s="18"/>
      <c r="N27" s="31"/>
      <c r="O27" s="81"/>
      <c r="P27" s="31"/>
      <c r="Q27" s="31"/>
      <c r="R27"/>
      <c r="S27"/>
      <c r="T27"/>
    </row>
    <row r="28" spans="1:20" ht="15.75" customHeight="1" x14ac:dyDescent="0.25">
      <c r="A28" s="25">
        <v>2</v>
      </c>
      <c r="B28" s="19"/>
      <c r="C28" s="29"/>
      <c r="D28" s="18"/>
      <c r="E28" s="18"/>
      <c r="F28" s="18"/>
      <c r="I28" s="31"/>
      <c r="J28" s="31"/>
      <c r="K28" s="31"/>
      <c r="L28" s="31"/>
      <c r="M28" s="31"/>
    </row>
    <row r="29" spans="1:20" ht="15.75" customHeight="1" x14ac:dyDescent="0.25">
      <c r="A29" s="25">
        <v>3</v>
      </c>
      <c r="B29" s="19"/>
      <c r="C29" s="34"/>
      <c r="D29" s="18"/>
      <c r="E29" s="23"/>
      <c r="F29" s="18"/>
      <c r="I29" s="31"/>
      <c r="J29" s="31"/>
      <c r="K29" s="31"/>
      <c r="L29" s="31"/>
      <c r="M29" s="31"/>
    </row>
    <row r="30" spans="1:20" ht="15.75" customHeight="1" x14ac:dyDescent="0.25">
      <c r="A30" s="25">
        <v>4</v>
      </c>
      <c r="B30" s="19"/>
      <c r="C30" s="29"/>
      <c r="D30" s="18"/>
      <c r="E30" s="23"/>
      <c r="F30" s="18"/>
      <c r="I30" s="31"/>
      <c r="J30" s="31"/>
      <c r="K30" s="31"/>
      <c r="L30" s="31"/>
      <c r="M30" s="31"/>
    </row>
    <row r="31" spans="1:20" ht="15.75" customHeight="1" x14ac:dyDescent="0.25">
      <c r="A31" s="25">
        <v>5</v>
      </c>
      <c r="B31" s="19"/>
      <c r="C31" s="29"/>
      <c r="D31" s="18"/>
      <c r="E31" s="23"/>
      <c r="F31" s="18"/>
      <c r="I31" s="31"/>
      <c r="J31" s="31"/>
      <c r="K31" s="31"/>
      <c r="L31" s="31"/>
      <c r="M31" s="31"/>
    </row>
    <row r="32" spans="1:20" ht="15.75" customHeight="1" x14ac:dyDescent="0.25">
      <c r="A32" s="25">
        <v>6</v>
      </c>
      <c r="B32" s="19"/>
      <c r="C32" s="29"/>
      <c r="D32" s="24"/>
      <c r="E32" s="23"/>
      <c r="F32" s="18"/>
      <c r="I32" s="31"/>
      <c r="J32" s="31"/>
      <c r="K32" s="31"/>
      <c r="L32" s="31"/>
      <c r="M32" s="31"/>
    </row>
    <row r="33" spans="1:13" ht="15.75" customHeight="1" x14ac:dyDescent="0.25">
      <c r="A33" s="25">
        <v>7</v>
      </c>
      <c r="B33" s="19"/>
      <c r="C33" s="29"/>
      <c r="D33" s="24"/>
      <c r="E33" s="80"/>
      <c r="F33" s="32"/>
      <c r="I33" s="31"/>
      <c r="J33" s="31"/>
      <c r="K33" s="31"/>
      <c r="L33" s="31"/>
      <c r="M33" s="31"/>
    </row>
    <row r="34" spans="1:13" x14ac:dyDescent="0.25">
      <c r="A34" s="25">
        <v>8</v>
      </c>
      <c r="B34" s="19"/>
      <c r="C34" s="27"/>
      <c r="D34" s="24"/>
      <c r="E34" s="24"/>
      <c r="F34" s="32"/>
    </row>
    <row r="35" spans="1:13" x14ac:dyDescent="0.25">
      <c r="A35" s="25">
        <v>9</v>
      </c>
      <c r="B35" s="19"/>
      <c r="C35" s="27"/>
      <c r="D35" s="28"/>
      <c r="E35" s="30"/>
      <c r="F35" s="25"/>
    </row>
    <row r="36" spans="1:13" ht="15.75" customHeight="1" x14ac:dyDescent="0.25">
      <c r="A36" s="35"/>
      <c r="B36" s="36"/>
      <c r="C36" s="37"/>
      <c r="D36"/>
      <c r="E36" s="38"/>
      <c r="F36" s="35"/>
    </row>
    <row r="37" spans="1:13" ht="15.75" x14ac:dyDescent="0.25">
      <c r="A37" s="6"/>
      <c r="B37" s="11" t="s">
        <v>23</v>
      </c>
      <c r="E37" s="7"/>
      <c r="F37" s="7"/>
    </row>
    <row r="38" spans="1:13" ht="15.75" thickBot="1" x14ac:dyDescent="0.3">
      <c r="A38" s="6"/>
      <c r="B38" s="13"/>
      <c r="C38" s="7"/>
      <c r="D38" s="7"/>
      <c r="E38" s="7"/>
      <c r="F38" s="7"/>
    </row>
    <row r="39" spans="1:13" x14ac:dyDescent="0.25">
      <c r="A39" s="14" t="s">
        <v>10</v>
      </c>
      <c r="B39" s="15" t="s">
        <v>24</v>
      </c>
      <c r="C39" s="15" t="s">
        <v>13</v>
      </c>
      <c r="D39" s="15" t="s">
        <v>25</v>
      </c>
      <c r="E39" s="15" t="s">
        <v>26</v>
      </c>
      <c r="F39" s="16" t="s">
        <v>15</v>
      </c>
    </row>
    <row r="40" spans="1:13" ht="15.75" customHeight="1" x14ac:dyDescent="0.25">
      <c r="A40" s="25">
        <v>1</v>
      </c>
      <c r="B40" s="19"/>
      <c r="C40" s="18"/>
      <c r="D40" s="18"/>
      <c r="E40" s="29"/>
      <c r="F40" s="18"/>
      <c r="G40" s="74"/>
    </row>
    <row r="41" spans="1:13" ht="15.75" customHeight="1" x14ac:dyDescent="0.25">
      <c r="A41" s="25">
        <v>2</v>
      </c>
      <c r="B41" s="19"/>
      <c r="C41" s="79"/>
      <c r="D41" s="79"/>
      <c r="E41" s="29"/>
      <c r="F41" s="18"/>
      <c r="G41" s="74"/>
    </row>
    <row r="42" spans="1:13" ht="15.75" customHeight="1" x14ac:dyDescent="0.25">
      <c r="A42" s="25">
        <v>3</v>
      </c>
      <c r="B42" s="19"/>
      <c r="C42" s="79"/>
      <c r="D42" s="79"/>
      <c r="E42" s="78"/>
      <c r="F42" s="18"/>
      <c r="G42" s="74"/>
    </row>
    <row r="43" spans="1:13" ht="15.75" customHeight="1" x14ac:dyDescent="0.25">
      <c r="A43" s="25">
        <v>4</v>
      </c>
      <c r="B43" s="19"/>
      <c r="C43" s="79"/>
      <c r="D43" s="29"/>
      <c r="E43" s="29"/>
      <c r="F43" s="39"/>
      <c r="G43" s="74"/>
    </row>
    <row r="44" spans="1:13" ht="15.75" customHeight="1" x14ac:dyDescent="0.25">
      <c r="A44" s="25">
        <v>5</v>
      </c>
      <c r="B44" s="19"/>
      <c r="C44" s="79"/>
      <c r="D44" s="29"/>
      <c r="E44" s="29"/>
      <c r="F44" s="29"/>
      <c r="G44" s="74"/>
    </row>
    <row r="45" spans="1:13" x14ac:dyDescent="0.25">
      <c r="A45" s="25">
        <v>6</v>
      </c>
      <c r="B45" s="19"/>
      <c r="C45" s="79"/>
      <c r="D45" s="34"/>
      <c r="E45" s="29"/>
      <c r="F45" s="29"/>
      <c r="G45" s="74"/>
    </row>
    <row r="46" spans="1:13" x14ac:dyDescent="0.25">
      <c r="A46" s="25">
        <v>7</v>
      </c>
      <c r="B46" s="19"/>
      <c r="C46" s="34"/>
      <c r="D46" s="34"/>
      <c r="E46" s="29"/>
      <c r="F46" s="29"/>
      <c r="G46" s="74"/>
    </row>
    <row r="47" spans="1:13" x14ac:dyDescent="0.25">
      <c r="A47" s="25">
        <v>8</v>
      </c>
      <c r="B47" s="19"/>
      <c r="C47" s="34"/>
      <c r="D47" s="34"/>
      <c r="E47" s="29"/>
      <c r="F47" s="29"/>
      <c r="G47" s="74"/>
    </row>
    <row r="48" spans="1:13" x14ac:dyDescent="0.25">
      <c r="A48" s="25">
        <v>9</v>
      </c>
      <c r="B48" s="19"/>
      <c r="C48" s="34"/>
      <c r="D48" s="46"/>
      <c r="E48" s="29"/>
      <c r="F48" s="29"/>
      <c r="G48" s="74"/>
    </row>
    <row r="49" spans="1:7" x14ac:dyDescent="0.25">
      <c r="A49" s="25">
        <v>10</v>
      </c>
      <c r="B49" s="19"/>
      <c r="C49" s="34"/>
      <c r="D49" s="46"/>
      <c r="E49" s="29"/>
      <c r="F49" s="29"/>
      <c r="G49" s="74"/>
    </row>
  </sheetData>
  <mergeCells count="5">
    <mergeCell ref="A3:H3"/>
    <mergeCell ref="B8:B11"/>
    <mergeCell ref="B12:B14"/>
    <mergeCell ref="B15:B17"/>
    <mergeCell ref="E15:E17"/>
  </mergeCells>
  <dataValidations count="2">
    <dataValidation type="list" allowBlank="1" showInputMessage="1" showErrorMessage="1" sqref="F19:F23 F33:F34" xr:uid="{2FD89AD0-6AA4-4C2B-964B-485092017FF2}">
      <formula1>"20,40,45,50"</formula1>
    </dataValidation>
    <dataValidation type="list" allowBlank="1" showInputMessage="1" showErrorMessage="1" sqref="F40:F42 F8:F18 F27:F32" xr:uid="{E5CF159C-BA46-4A60-AFDF-8A14E90B8B39}">
      <formula1>"20,40,45,50"</formula1>
      <formula2>0</formula2>
    </dataValidation>
  </dataValidations>
  <pageMargins left="0.31496062992125984" right="0.11811023622047245" top="0.74803149606299213" bottom="0.74803149606299213" header="0.31496062992125984" footer="0.31496062992125984"/>
  <pageSetup paperSize="9" orientation="portrait" verticalDpi="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A0A24-340E-4657-BA50-75E4DF83C216}">
  <dimension ref="A1:T47"/>
  <sheetViews>
    <sheetView topLeftCell="A21" workbookViewId="0">
      <selection activeCell="C42" sqref="C42:E45"/>
    </sheetView>
  </sheetViews>
  <sheetFormatPr baseColWidth="10" defaultRowHeight="15" x14ac:dyDescent="0.25"/>
  <cols>
    <col min="1" max="1" width="3.140625" style="21" bestFit="1" customWidth="1"/>
    <col min="2" max="2" width="15.5703125" style="21" bestFit="1" customWidth="1"/>
    <col min="3" max="3" width="19.28515625" style="21" customWidth="1"/>
    <col min="4" max="4" width="19.140625" style="21" customWidth="1"/>
    <col min="5" max="5" width="14.28515625" style="21" customWidth="1"/>
    <col min="6" max="6" width="13.85546875" style="21" bestFit="1" customWidth="1"/>
    <col min="7" max="7" width="12.140625" style="21" bestFit="1" customWidth="1"/>
    <col min="8" max="10" width="11.42578125" style="21"/>
    <col min="11" max="11" width="14.7109375" style="21" bestFit="1" customWidth="1"/>
    <col min="12" max="16384" width="11.42578125" style="21"/>
  </cols>
  <sheetData>
    <row r="1" spans="1:10" s="7" customFormat="1" ht="15.75" x14ac:dyDescent="0.25">
      <c r="A1" s="6"/>
      <c r="H1" s="8">
        <f>COUNTIF(C8:C20,"&lt;&gt;")</f>
        <v>11</v>
      </c>
      <c r="I1" s="9" t="s">
        <v>6</v>
      </c>
    </row>
    <row r="2" spans="1:10" s="7" customFormat="1" ht="15.75" x14ac:dyDescent="0.25">
      <c r="A2" s="6"/>
      <c r="F2" s="8">
        <f>COUNTIFS(B27:B33,"&lt;&gt;",C27:C33,"VH")</f>
        <v>0</v>
      </c>
      <c r="G2" s="9" t="s">
        <v>7</v>
      </c>
      <c r="H2" s="8">
        <f>COUNTA(C27:C33)-F2</f>
        <v>2</v>
      </c>
      <c r="I2" s="9" t="s">
        <v>6</v>
      </c>
      <c r="J2" s="10">
        <f>COUNTIF(E27:E33,"VIDE")</f>
        <v>0</v>
      </c>
    </row>
    <row r="3" spans="1:10" s="7" customFormat="1" ht="25.5" x14ac:dyDescent="0.25">
      <c r="A3" s="99" t="s">
        <v>8</v>
      </c>
      <c r="B3" s="99"/>
      <c r="C3" s="99"/>
      <c r="D3" s="99"/>
      <c r="E3" s="99"/>
      <c r="F3" s="99"/>
      <c r="G3" s="99"/>
      <c r="H3" s="99"/>
    </row>
    <row r="4" spans="1:10" s="7" customFormat="1" ht="12.75" x14ac:dyDescent="0.25">
      <c r="A4" s="6"/>
    </row>
    <row r="5" spans="1:10" s="7" customFormat="1" ht="15.75" x14ac:dyDescent="0.25">
      <c r="A5" s="6"/>
      <c r="B5" s="11" t="s">
        <v>9</v>
      </c>
      <c r="G5" s="12">
        <v>46292</v>
      </c>
    </row>
    <row r="6" spans="1:10" s="7" customFormat="1" ht="14.25" x14ac:dyDescent="0.25">
      <c r="A6" s="6"/>
      <c r="B6" s="13"/>
    </row>
    <row r="7" spans="1:10" s="7" customFormat="1" ht="14.25" x14ac:dyDescent="0.25">
      <c r="A7" s="82" t="s">
        <v>10</v>
      </c>
      <c r="B7" s="82" t="s">
        <v>11</v>
      </c>
      <c r="C7" s="82" t="s">
        <v>12</v>
      </c>
      <c r="D7" s="82" t="s">
        <v>13</v>
      </c>
      <c r="E7" s="82" t="s">
        <v>14</v>
      </c>
      <c r="F7" s="82" t="s">
        <v>15</v>
      </c>
    </row>
    <row r="8" spans="1:10" x14ac:dyDescent="0.25">
      <c r="A8" s="17">
        <v>1</v>
      </c>
      <c r="B8" s="25" t="s">
        <v>315</v>
      </c>
      <c r="C8" s="19">
        <v>27092026</v>
      </c>
      <c r="D8" s="24" t="s">
        <v>293</v>
      </c>
      <c r="E8" s="24" t="s">
        <v>294</v>
      </c>
      <c r="F8" s="18" t="s">
        <v>16</v>
      </c>
    </row>
    <row r="9" spans="1:10" x14ac:dyDescent="0.25">
      <c r="A9" s="17">
        <v>2</v>
      </c>
      <c r="B9" s="70" t="s">
        <v>316</v>
      </c>
      <c r="C9" s="19">
        <v>27092026</v>
      </c>
      <c r="D9" s="18" t="s">
        <v>295</v>
      </c>
      <c r="E9" s="18" t="s">
        <v>296</v>
      </c>
      <c r="F9" s="18" t="s">
        <v>70</v>
      </c>
    </row>
    <row r="10" spans="1:10" x14ac:dyDescent="0.25">
      <c r="A10" s="17">
        <v>3</v>
      </c>
      <c r="B10" s="111" t="s">
        <v>317</v>
      </c>
      <c r="C10" s="19">
        <v>27092026</v>
      </c>
      <c r="D10" s="18" t="s">
        <v>297</v>
      </c>
      <c r="E10" s="18" t="s">
        <v>298</v>
      </c>
      <c r="F10" s="18" t="s">
        <v>16</v>
      </c>
    </row>
    <row r="11" spans="1:10" x14ac:dyDescent="0.25">
      <c r="A11" s="17">
        <v>4</v>
      </c>
      <c r="B11" s="112"/>
      <c r="C11" s="19">
        <v>27092026</v>
      </c>
      <c r="D11" s="18" t="s">
        <v>299</v>
      </c>
      <c r="E11" s="18" t="s">
        <v>300</v>
      </c>
      <c r="F11" s="18" t="s">
        <v>16</v>
      </c>
    </row>
    <row r="12" spans="1:10" x14ac:dyDescent="0.25">
      <c r="A12" s="17">
        <v>5</v>
      </c>
      <c r="B12" s="113"/>
      <c r="C12" s="19">
        <v>27092026</v>
      </c>
      <c r="D12" s="18" t="s">
        <v>301</v>
      </c>
      <c r="E12" s="23" t="s">
        <v>302</v>
      </c>
      <c r="F12" s="18" t="s">
        <v>16</v>
      </c>
    </row>
    <row r="13" spans="1:10" x14ac:dyDescent="0.25">
      <c r="A13" s="17">
        <v>6</v>
      </c>
      <c r="B13" s="111" t="s">
        <v>318</v>
      </c>
      <c r="C13" s="19">
        <v>27092026</v>
      </c>
      <c r="D13" s="18" t="s">
        <v>303</v>
      </c>
      <c r="E13" s="23" t="s">
        <v>304</v>
      </c>
      <c r="F13" s="18" t="s">
        <v>17</v>
      </c>
    </row>
    <row r="14" spans="1:10" x14ac:dyDescent="0.25">
      <c r="A14" s="17">
        <v>7</v>
      </c>
      <c r="B14" s="112"/>
      <c r="C14" s="19">
        <v>27092026</v>
      </c>
      <c r="D14" s="18" t="s">
        <v>305</v>
      </c>
      <c r="E14" s="23" t="s">
        <v>306</v>
      </c>
      <c r="F14" s="18" t="s">
        <v>16</v>
      </c>
    </row>
    <row r="15" spans="1:10" x14ac:dyDescent="0.25">
      <c r="A15" s="17">
        <v>8</v>
      </c>
      <c r="B15" s="112"/>
      <c r="C15" s="19">
        <v>27092026</v>
      </c>
      <c r="D15" s="24" t="s">
        <v>307</v>
      </c>
      <c r="E15" s="23" t="s">
        <v>308</v>
      </c>
      <c r="F15" s="18" t="s">
        <v>16</v>
      </c>
    </row>
    <row r="16" spans="1:10" x14ac:dyDescent="0.25">
      <c r="A16" s="17">
        <v>9</v>
      </c>
      <c r="B16" s="112"/>
      <c r="C16" s="19">
        <v>27092026</v>
      </c>
      <c r="D16" s="24" t="s">
        <v>309</v>
      </c>
      <c r="E16" s="23" t="s">
        <v>310</v>
      </c>
      <c r="F16" s="18" t="s">
        <v>16</v>
      </c>
    </row>
    <row r="17" spans="1:20" x14ac:dyDescent="0.25">
      <c r="A17" s="17">
        <v>10</v>
      </c>
      <c r="B17" s="112"/>
      <c r="C17" s="19">
        <v>27092026</v>
      </c>
      <c r="D17" s="24" t="s">
        <v>311</v>
      </c>
      <c r="E17" s="23" t="s">
        <v>312</v>
      </c>
      <c r="F17" s="18" t="s">
        <v>16</v>
      </c>
    </row>
    <row r="18" spans="1:20" x14ac:dyDescent="0.25">
      <c r="A18" s="17">
        <v>11</v>
      </c>
      <c r="B18" s="113"/>
      <c r="C18" s="19">
        <v>27092026</v>
      </c>
      <c r="D18" s="18" t="s">
        <v>313</v>
      </c>
      <c r="E18" s="23" t="s">
        <v>314</v>
      </c>
      <c r="F18" s="18" t="s">
        <v>16</v>
      </c>
    </row>
    <row r="19" spans="1:20" x14ac:dyDescent="0.25">
      <c r="A19" s="17">
        <v>12</v>
      </c>
      <c r="B19" s="88"/>
      <c r="C19" s="19"/>
      <c r="D19" s="84"/>
      <c r="E19" s="84"/>
      <c r="F19" s="84"/>
      <c r="G19" s="7"/>
    </row>
    <row r="20" spans="1:20" x14ac:dyDescent="0.25">
      <c r="A20" s="17">
        <v>13</v>
      </c>
      <c r="B20" s="88"/>
      <c r="C20" s="62"/>
      <c r="D20" s="84"/>
      <c r="E20" s="84"/>
      <c r="F20" s="84"/>
      <c r="G20" s="7"/>
    </row>
    <row r="21" spans="1:20" ht="15.75" x14ac:dyDescent="0.25">
      <c r="A21" s="17"/>
      <c r="B21" s="61"/>
      <c r="C21" s="62"/>
      <c r="D21" s="84"/>
      <c r="E21" s="84"/>
      <c r="F21" s="84"/>
      <c r="G21" s="7"/>
    </row>
    <row r="22" spans="1:20" ht="15.75" x14ac:dyDescent="0.25">
      <c r="A22" s="6"/>
      <c r="B22" s="20"/>
      <c r="C22" s="7"/>
      <c r="D22" s="89"/>
      <c r="E22" s="89"/>
      <c r="F22" s="89"/>
      <c r="G22" s="7"/>
    </row>
    <row r="23" spans="1:20" ht="15.75" x14ac:dyDescent="0.25">
      <c r="A23" s="6"/>
      <c r="B23" s="20"/>
      <c r="C23" s="7"/>
      <c r="D23" s="89"/>
      <c r="E23" s="89"/>
      <c r="F23" s="89"/>
      <c r="G23" s="7"/>
    </row>
    <row r="24" spans="1:20" ht="15.75" x14ac:dyDescent="0.25">
      <c r="A24" s="6"/>
      <c r="B24" s="11" t="s">
        <v>20</v>
      </c>
    </row>
    <row r="25" spans="1:20" ht="15.75" thickBot="1" x14ac:dyDescent="0.3">
      <c r="A25" s="6"/>
      <c r="B25" s="13"/>
      <c r="C25" s="7"/>
      <c r="D25" s="7"/>
      <c r="E25" s="7"/>
      <c r="F25" s="7"/>
      <c r="N25" s="31"/>
      <c r="O25" s="31"/>
      <c r="P25" s="31"/>
      <c r="Q25" s="31"/>
      <c r="R25" s="31"/>
      <c r="S25"/>
      <c r="T25"/>
    </row>
    <row r="26" spans="1:20" x14ac:dyDescent="0.25">
      <c r="A26" s="14" t="s">
        <v>10</v>
      </c>
      <c r="B26" s="15" t="s">
        <v>21</v>
      </c>
      <c r="C26" s="15" t="s">
        <v>22</v>
      </c>
      <c r="D26" s="15" t="s">
        <v>13</v>
      </c>
      <c r="E26" s="15" t="s">
        <v>14</v>
      </c>
      <c r="F26" s="16" t="s">
        <v>15</v>
      </c>
      <c r="N26" s="31"/>
      <c r="O26" s="31"/>
      <c r="P26" s="81"/>
      <c r="Q26" s="31"/>
      <c r="R26" s="31"/>
      <c r="S26" s="31"/>
      <c r="T26" s="31"/>
    </row>
    <row r="27" spans="1:20" x14ac:dyDescent="0.25">
      <c r="A27" s="25">
        <v>1</v>
      </c>
      <c r="B27" s="19">
        <v>27092026</v>
      </c>
      <c r="C27" s="34" t="s">
        <v>319</v>
      </c>
      <c r="D27" s="52" t="s">
        <v>58</v>
      </c>
      <c r="E27" s="29">
        <v>3560</v>
      </c>
      <c r="F27" s="66">
        <v>20</v>
      </c>
      <c r="N27" s="31"/>
      <c r="O27" s="81"/>
      <c r="P27" s="31"/>
      <c r="Q27" s="31"/>
      <c r="R27"/>
      <c r="S27"/>
      <c r="T27"/>
    </row>
    <row r="28" spans="1:20" ht="15.75" customHeight="1" x14ac:dyDescent="0.25">
      <c r="A28" s="25">
        <v>2</v>
      </c>
      <c r="B28" s="19">
        <v>27092026</v>
      </c>
      <c r="C28" s="29" t="s">
        <v>320</v>
      </c>
      <c r="D28" s="22" t="s">
        <v>60</v>
      </c>
      <c r="E28" s="29">
        <v>3557</v>
      </c>
      <c r="F28" s="66">
        <v>40</v>
      </c>
      <c r="I28" s="31"/>
      <c r="J28" s="31"/>
      <c r="K28" s="31"/>
      <c r="L28" s="31"/>
      <c r="M28" s="31"/>
    </row>
    <row r="29" spans="1:20" ht="15.75" customHeight="1" x14ac:dyDescent="0.25">
      <c r="A29" s="25">
        <v>3</v>
      </c>
      <c r="B29" s="19"/>
      <c r="C29" s="34"/>
      <c r="D29" s="18"/>
      <c r="E29" s="23"/>
      <c r="F29" s="18"/>
      <c r="I29" s="31"/>
      <c r="J29" s="31"/>
      <c r="K29" s="31"/>
      <c r="L29" s="31"/>
      <c r="M29" s="31"/>
    </row>
    <row r="30" spans="1:20" ht="15.75" customHeight="1" x14ac:dyDescent="0.25">
      <c r="A30" s="25">
        <v>4</v>
      </c>
      <c r="B30" s="19"/>
      <c r="C30" s="29"/>
      <c r="D30" s="18"/>
      <c r="E30" s="23"/>
      <c r="F30" s="18"/>
      <c r="I30" s="31"/>
      <c r="J30" s="31"/>
      <c r="K30" s="31"/>
      <c r="L30" s="31"/>
      <c r="M30" s="31"/>
    </row>
    <row r="31" spans="1:20" ht="15.75" customHeight="1" x14ac:dyDescent="0.25">
      <c r="A31" s="25">
        <v>5</v>
      </c>
      <c r="B31" s="19"/>
      <c r="C31" s="29"/>
      <c r="D31" s="18"/>
      <c r="E31" s="23"/>
      <c r="F31" s="18"/>
      <c r="I31" s="31"/>
      <c r="J31" s="31"/>
      <c r="K31" s="31"/>
      <c r="L31" s="31"/>
      <c r="M31" s="31"/>
    </row>
    <row r="32" spans="1:20" ht="15.75" customHeight="1" x14ac:dyDescent="0.25">
      <c r="A32" s="25">
        <v>6</v>
      </c>
      <c r="B32" s="19"/>
      <c r="C32" s="29"/>
      <c r="D32" s="24"/>
      <c r="E32" s="23"/>
      <c r="F32" s="18"/>
      <c r="I32" s="31"/>
      <c r="J32" s="31"/>
      <c r="K32" s="31"/>
      <c r="L32" s="31"/>
      <c r="M32" s="31"/>
    </row>
    <row r="33" spans="1:13" ht="15.75" customHeight="1" x14ac:dyDescent="0.25">
      <c r="A33" s="25">
        <v>7</v>
      </c>
      <c r="B33" s="19"/>
      <c r="C33" s="29"/>
      <c r="D33" s="24"/>
      <c r="E33" s="29"/>
      <c r="F33" s="32"/>
      <c r="I33" s="31"/>
      <c r="J33" s="31"/>
      <c r="K33" s="31"/>
      <c r="L33" s="31"/>
      <c r="M33" s="31"/>
    </row>
    <row r="34" spans="1:13" ht="15.75" customHeight="1" x14ac:dyDescent="0.25">
      <c r="A34" s="35"/>
      <c r="B34" s="36"/>
      <c r="C34" s="37"/>
      <c r="D34"/>
      <c r="E34" s="38"/>
      <c r="F34" s="35"/>
    </row>
    <row r="35" spans="1:13" ht="15.75" x14ac:dyDescent="0.25">
      <c r="A35" s="6"/>
      <c r="B35" s="11" t="s">
        <v>23</v>
      </c>
      <c r="E35" s="7"/>
      <c r="F35" s="7"/>
    </row>
    <row r="36" spans="1:13" ht="15.75" thickBot="1" x14ac:dyDescent="0.3">
      <c r="A36" s="6"/>
      <c r="B36" s="13"/>
      <c r="C36" s="7"/>
      <c r="D36" s="7"/>
      <c r="E36" s="7"/>
      <c r="F36" s="7"/>
    </row>
    <row r="37" spans="1:13" x14ac:dyDescent="0.25">
      <c r="A37" s="14" t="s">
        <v>10</v>
      </c>
      <c r="B37" s="15" t="s">
        <v>24</v>
      </c>
      <c r="C37" s="15" t="s">
        <v>13</v>
      </c>
      <c r="D37" s="15" t="s">
        <v>25</v>
      </c>
      <c r="E37" s="15" t="s">
        <v>26</v>
      </c>
      <c r="F37" s="16" t="s">
        <v>15</v>
      </c>
    </row>
    <row r="38" spans="1:13" ht="15.75" customHeight="1" x14ac:dyDescent="0.25">
      <c r="A38" s="25">
        <v>1</v>
      </c>
      <c r="B38" s="19">
        <v>27092026</v>
      </c>
      <c r="C38" s="34" t="s">
        <v>171</v>
      </c>
      <c r="D38" s="29">
        <v>3720</v>
      </c>
      <c r="E38" s="80">
        <v>3712</v>
      </c>
      <c r="F38" s="29">
        <v>40</v>
      </c>
      <c r="G38" s="74"/>
    </row>
    <row r="39" spans="1:13" ht="15.75" customHeight="1" x14ac:dyDescent="0.25">
      <c r="A39" s="25">
        <v>2</v>
      </c>
      <c r="B39" s="19"/>
      <c r="C39" s="34" t="s">
        <v>321</v>
      </c>
      <c r="D39" s="79">
        <v>3707</v>
      </c>
      <c r="E39" s="29">
        <v>3715</v>
      </c>
      <c r="F39" s="18"/>
      <c r="G39" s="74"/>
    </row>
    <row r="40" spans="1:13" ht="15.75" customHeight="1" x14ac:dyDescent="0.25">
      <c r="A40" s="25">
        <v>3</v>
      </c>
      <c r="B40" s="19"/>
      <c r="C40" s="34" t="s">
        <v>322</v>
      </c>
      <c r="D40" s="79">
        <v>3706</v>
      </c>
      <c r="E40" s="78">
        <v>3713</v>
      </c>
      <c r="F40" s="18"/>
      <c r="G40" s="74"/>
    </row>
    <row r="41" spans="1:13" ht="15.75" customHeight="1" x14ac:dyDescent="0.25">
      <c r="A41" s="25">
        <v>4</v>
      </c>
      <c r="B41" s="19"/>
      <c r="C41" s="34" t="s">
        <v>323</v>
      </c>
      <c r="D41" s="29"/>
      <c r="E41" s="29">
        <v>3716</v>
      </c>
      <c r="F41" s="39"/>
      <c r="G41" s="74"/>
    </row>
    <row r="42" spans="1:13" ht="15.75" customHeight="1" x14ac:dyDescent="0.25">
      <c r="A42" s="25">
        <v>5</v>
      </c>
      <c r="B42" s="19"/>
      <c r="C42" s="79" t="s">
        <v>324</v>
      </c>
      <c r="D42" s="29"/>
      <c r="E42" s="29">
        <v>3662</v>
      </c>
      <c r="F42" s="29"/>
      <c r="G42" s="74"/>
    </row>
    <row r="43" spans="1:13" x14ac:dyDescent="0.25">
      <c r="A43" s="25">
        <v>6</v>
      </c>
      <c r="B43" s="19"/>
      <c r="C43" s="79" t="s">
        <v>325</v>
      </c>
      <c r="D43" s="34"/>
      <c r="E43" s="29">
        <v>3663</v>
      </c>
      <c r="F43" s="29"/>
      <c r="G43" s="74"/>
    </row>
    <row r="44" spans="1:13" x14ac:dyDescent="0.25">
      <c r="A44" s="25">
        <v>7</v>
      </c>
      <c r="B44" s="19"/>
      <c r="C44" s="34" t="s">
        <v>326</v>
      </c>
      <c r="D44" s="34"/>
      <c r="E44" s="29">
        <v>3661</v>
      </c>
      <c r="F44" s="29"/>
      <c r="G44" s="74"/>
    </row>
    <row r="45" spans="1:13" x14ac:dyDescent="0.25">
      <c r="A45" s="25">
        <v>8</v>
      </c>
      <c r="B45" s="19"/>
      <c r="C45" s="34" t="s">
        <v>327</v>
      </c>
      <c r="D45" s="34"/>
      <c r="E45" s="29">
        <v>3664</v>
      </c>
      <c r="F45" s="29"/>
      <c r="G45" s="74"/>
    </row>
    <row r="46" spans="1:13" x14ac:dyDescent="0.25">
      <c r="A46" s="25">
        <v>9</v>
      </c>
      <c r="B46" s="19"/>
      <c r="C46" s="34"/>
      <c r="D46" s="46"/>
      <c r="E46" s="29"/>
      <c r="F46" s="29"/>
      <c r="G46" s="74"/>
    </row>
    <row r="47" spans="1:13" x14ac:dyDescent="0.25">
      <c r="A47" s="25">
        <v>10</v>
      </c>
      <c r="B47" s="19"/>
      <c r="C47" s="34"/>
      <c r="D47" s="46"/>
      <c r="E47" s="29"/>
      <c r="F47" s="29"/>
      <c r="G47" s="74"/>
    </row>
  </sheetData>
  <mergeCells count="3">
    <mergeCell ref="B10:B12"/>
    <mergeCell ref="B13:B18"/>
    <mergeCell ref="A3:H3"/>
  </mergeCells>
  <dataValidations count="2">
    <dataValidation type="list" allowBlank="1" showInputMessage="1" showErrorMessage="1" sqref="F38:F40 F8:F18 F27:F32" xr:uid="{E61E5A94-8428-4EA6-94CA-49751DEB7CF5}">
      <formula1>"20,40,45,50"</formula1>
      <formula2>0</formula2>
    </dataValidation>
    <dataValidation type="list" allowBlank="1" showInputMessage="1" showErrorMessage="1" sqref="F19:F23 F33" xr:uid="{F94C0A9E-1983-44B3-964E-9A78CC5364A0}">
      <formula1>"20,40,45,50"</formula1>
    </dataValidation>
  </dataValidations>
  <pageMargins left="0.31496062992125984" right="0.11811023622047245" top="0.74803149606299213" bottom="0.74803149606299213" header="0.31496062992125984" footer="0.31496062992125984"/>
  <pageSetup paperSize="9" orientation="portrait" verticalDpi="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D3411-B5DA-41FF-9644-27C4C45BB121}">
  <dimension ref="A1:T43"/>
  <sheetViews>
    <sheetView workbookViewId="0">
      <selection activeCell="J12" sqref="J12"/>
    </sheetView>
  </sheetViews>
  <sheetFormatPr baseColWidth="10" defaultRowHeight="15" x14ac:dyDescent="0.25"/>
  <cols>
    <col min="1" max="1" width="3.140625" style="21" bestFit="1" customWidth="1"/>
    <col min="2" max="2" width="15.5703125" style="21" bestFit="1" customWidth="1"/>
    <col min="3" max="3" width="19.28515625" style="21" customWidth="1"/>
    <col min="4" max="4" width="19.140625" style="21" customWidth="1"/>
    <col min="5" max="5" width="14.28515625" style="21" customWidth="1"/>
    <col min="6" max="6" width="13.85546875" style="21" bestFit="1" customWidth="1"/>
    <col min="7" max="7" width="12.140625" style="21" bestFit="1" customWidth="1"/>
    <col min="8" max="10" width="11.42578125" style="21"/>
    <col min="11" max="11" width="14.7109375" style="21" bestFit="1" customWidth="1"/>
    <col min="12" max="16384" width="11.42578125" style="21"/>
  </cols>
  <sheetData>
    <row r="1" spans="1:10" s="7" customFormat="1" ht="15.75" x14ac:dyDescent="0.25">
      <c r="A1" s="6"/>
      <c r="H1" s="8">
        <f>COUNTIF(C8:C15,"&lt;&gt;")</f>
        <v>2</v>
      </c>
      <c r="I1" s="9" t="s">
        <v>6</v>
      </c>
    </row>
    <row r="2" spans="1:10" s="7" customFormat="1" ht="15.75" x14ac:dyDescent="0.25">
      <c r="A2" s="6"/>
      <c r="F2" s="8">
        <f>COUNTIFS(B21:B29,"&lt;&gt;",C21:C29,"VH")</f>
        <v>0</v>
      </c>
      <c r="G2" s="9" t="s">
        <v>7</v>
      </c>
      <c r="H2" s="8">
        <f>COUNTA(C21:C29)-F2</f>
        <v>0</v>
      </c>
      <c r="I2" s="9" t="s">
        <v>6</v>
      </c>
      <c r="J2" s="10">
        <f>COUNTIF(E21:E29,"VIDE")</f>
        <v>0</v>
      </c>
    </row>
    <row r="3" spans="1:10" s="7" customFormat="1" ht="25.5" x14ac:dyDescent="0.25">
      <c r="A3" s="99" t="s">
        <v>8</v>
      </c>
      <c r="B3" s="99"/>
      <c r="C3" s="99"/>
      <c r="D3" s="99"/>
      <c r="E3" s="99"/>
      <c r="F3" s="99"/>
      <c r="G3" s="99"/>
      <c r="H3" s="99"/>
    </row>
    <row r="4" spans="1:10" s="7" customFormat="1" ht="12.75" x14ac:dyDescent="0.25">
      <c r="A4" s="6"/>
    </row>
    <row r="5" spans="1:10" s="7" customFormat="1" ht="15.75" x14ac:dyDescent="0.25">
      <c r="A5" s="6"/>
      <c r="B5" s="11" t="s">
        <v>9</v>
      </c>
      <c r="G5" s="12">
        <v>46293</v>
      </c>
    </row>
    <row r="6" spans="1:10" s="7" customFormat="1" ht="14.25" x14ac:dyDescent="0.25">
      <c r="A6" s="6"/>
      <c r="B6" s="13"/>
    </row>
    <row r="7" spans="1:10" s="7" customFormat="1" ht="14.25" x14ac:dyDescent="0.25">
      <c r="A7" s="82" t="s">
        <v>10</v>
      </c>
      <c r="B7" s="82" t="s">
        <v>11</v>
      </c>
      <c r="C7" s="82" t="s">
        <v>12</v>
      </c>
      <c r="D7" s="82" t="s">
        <v>13</v>
      </c>
      <c r="E7" s="82" t="s">
        <v>14</v>
      </c>
      <c r="F7" s="82" t="s">
        <v>15</v>
      </c>
    </row>
    <row r="8" spans="1:10" x14ac:dyDescent="0.25">
      <c r="A8" s="17">
        <v>1</v>
      </c>
      <c r="B8" s="25" t="s">
        <v>338</v>
      </c>
      <c r="C8" s="19">
        <v>28092026</v>
      </c>
      <c r="D8" s="94" t="s">
        <v>334</v>
      </c>
      <c r="E8" s="94" t="s">
        <v>335</v>
      </c>
      <c r="F8" s="95" t="s">
        <v>70</v>
      </c>
    </row>
    <row r="9" spans="1:10" x14ac:dyDescent="0.25">
      <c r="A9" s="17">
        <v>2</v>
      </c>
      <c r="B9" s="70" t="s">
        <v>339</v>
      </c>
      <c r="C9" s="19">
        <v>28092026</v>
      </c>
      <c r="D9" s="97" t="s">
        <v>336</v>
      </c>
      <c r="E9" s="95" t="s">
        <v>337</v>
      </c>
      <c r="F9" s="95" t="s">
        <v>70</v>
      </c>
    </row>
    <row r="10" spans="1:10" x14ac:dyDescent="0.25">
      <c r="A10" s="17">
        <v>3</v>
      </c>
      <c r="B10" s="92"/>
      <c r="C10" s="19"/>
      <c r="D10" s="18"/>
      <c r="E10" s="18"/>
      <c r="F10" s="18"/>
    </row>
    <row r="11" spans="1:10" x14ac:dyDescent="0.25">
      <c r="A11" s="17">
        <v>4</v>
      </c>
      <c r="B11" s="92"/>
      <c r="C11" s="19"/>
      <c r="D11" s="18"/>
      <c r="E11" s="18"/>
      <c r="F11" s="18"/>
    </row>
    <row r="12" spans="1:10" x14ac:dyDescent="0.25">
      <c r="A12" s="17">
        <v>5</v>
      </c>
      <c r="B12" s="92"/>
      <c r="C12" s="19"/>
      <c r="D12" s="18"/>
      <c r="E12" s="23"/>
      <c r="F12" s="18"/>
    </row>
    <row r="13" spans="1:10" x14ac:dyDescent="0.25">
      <c r="A13" s="17">
        <v>6</v>
      </c>
      <c r="B13" s="92"/>
      <c r="C13" s="19"/>
      <c r="D13" s="18"/>
      <c r="E13" s="23"/>
      <c r="F13" s="18"/>
    </row>
    <row r="14" spans="1:10" x14ac:dyDescent="0.25">
      <c r="A14" s="17">
        <v>7</v>
      </c>
      <c r="B14" s="92"/>
      <c r="C14" s="19"/>
      <c r="D14" s="18"/>
      <c r="E14" s="23"/>
      <c r="F14" s="18"/>
    </row>
    <row r="15" spans="1:10" x14ac:dyDescent="0.25">
      <c r="A15" s="17">
        <v>8</v>
      </c>
      <c r="B15" s="92"/>
      <c r="C15" s="19"/>
      <c r="D15" s="24"/>
      <c r="E15" s="23"/>
      <c r="F15" s="18"/>
    </row>
    <row r="16" spans="1:10" ht="15.75" x14ac:dyDescent="0.25">
      <c r="A16" s="6"/>
      <c r="B16" s="20"/>
      <c r="C16" s="7"/>
      <c r="D16" s="89"/>
      <c r="E16" s="89"/>
      <c r="F16" s="89"/>
      <c r="G16" s="7"/>
    </row>
    <row r="17" spans="1:20" ht="15.75" x14ac:dyDescent="0.25">
      <c r="A17" s="6"/>
      <c r="B17" s="20"/>
      <c r="C17" s="7"/>
      <c r="D17" s="89"/>
      <c r="E17" s="89"/>
      <c r="F17" s="89"/>
      <c r="G17" s="7"/>
    </row>
    <row r="18" spans="1:20" ht="15.75" x14ac:dyDescent="0.25">
      <c r="A18" s="6"/>
      <c r="B18" s="11" t="s">
        <v>20</v>
      </c>
    </row>
    <row r="19" spans="1:20" ht="15.75" thickBot="1" x14ac:dyDescent="0.3">
      <c r="A19" s="6"/>
      <c r="B19" s="13"/>
      <c r="C19" s="7"/>
      <c r="D19" s="7"/>
      <c r="E19" s="7"/>
      <c r="F19" s="7"/>
      <c r="N19" s="31"/>
      <c r="O19" s="31"/>
      <c r="P19" s="31"/>
      <c r="Q19" s="31"/>
      <c r="R19" s="31"/>
      <c r="S19"/>
      <c r="T19"/>
    </row>
    <row r="20" spans="1:20" x14ac:dyDescent="0.25">
      <c r="A20" s="14" t="s">
        <v>10</v>
      </c>
      <c r="B20" s="15" t="s">
        <v>21</v>
      </c>
      <c r="C20" s="15" t="s">
        <v>22</v>
      </c>
      <c r="D20" s="15" t="s">
        <v>13</v>
      </c>
      <c r="E20" s="15" t="s">
        <v>14</v>
      </c>
      <c r="F20" s="16" t="s">
        <v>15</v>
      </c>
      <c r="N20" s="31"/>
      <c r="O20" s="31"/>
      <c r="P20" s="81"/>
      <c r="Q20" s="31"/>
      <c r="R20" s="31"/>
      <c r="S20" s="31"/>
      <c r="T20" s="31"/>
    </row>
    <row r="21" spans="1:20" x14ac:dyDescent="0.25">
      <c r="A21" s="25">
        <v>1</v>
      </c>
      <c r="B21" s="19"/>
      <c r="C21" s="34"/>
      <c r="D21" s="52"/>
      <c r="E21" s="29"/>
      <c r="F21" s="66"/>
      <c r="N21" s="31"/>
      <c r="O21" s="81"/>
      <c r="P21" s="31"/>
      <c r="Q21" s="31"/>
      <c r="R21"/>
      <c r="S21"/>
      <c r="T21"/>
    </row>
    <row r="22" spans="1:20" ht="15.75" customHeight="1" x14ac:dyDescent="0.25">
      <c r="A22" s="25">
        <v>2</v>
      </c>
      <c r="B22" s="19"/>
      <c r="C22" s="29"/>
      <c r="D22" s="22"/>
      <c r="E22" s="29"/>
      <c r="F22" s="66"/>
      <c r="I22" s="31"/>
      <c r="J22" s="31"/>
      <c r="K22" s="31"/>
      <c r="L22" s="31"/>
      <c r="M22" s="31"/>
    </row>
    <row r="23" spans="1:20" ht="15.75" customHeight="1" x14ac:dyDescent="0.25">
      <c r="A23" s="25">
        <v>3</v>
      </c>
      <c r="B23" s="19"/>
      <c r="C23" s="34"/>
      <c r="D23" s="18"/>
      <c r="E23" s="23"/>
      <c r="F23" s="18"/>
      <c r="I23" s="31"/>
      <c r="J23" s="31"/>
      <c r="K23" s="31"/>
      <c r="L23" s="31"/>
      <c r="M23" s="31"/>
    </row>
    <row r="24" spans="1:20" ht="15.75" customHeight="1" x14ac:dyDescent="0.25">
      <c r="A24" s="25">
        <v>4</v>
      </c>
      <c r="B24" s="19"/>
      <c r="C24" s="29"/>
      <c r="D24" s="18"/>
      <c r="E24" s="23"/>
      <c r="F24" s="18"/>
      <c r="I24" s="31"/>
      <c r="J24" s="31"/>
      <c r="K24" s="31"/>
      <c r="L24" s="31"/>
      <c r="M24" s="31"/>
    </row>
    <row r="25" spans="1:20" ht="15.75" customHeight="1" x14ac:dyDescent="0.25">
      <c r="A25" s="25">
        <v>5</v>
      </c>
      <c r="B25" s="19"/>
      <c r="C25" s="29"/>
      <c r="D25" s="18"/>
      <c r="E25" s="23"/>
      <c r="F25" s="18"/>
      <c r="I25" s="31"/>
      <c r="J25" s="31"/>
      <c r="K25" s="31"/>
      <c r="L25" s="31"/>
      <c r="M25" s="31"/>
    </row>
    <row r="26" spans="1:20" ht="15.75" customHeight="1" x14ac:dyDescent="0.25">
      <c r="A26" s="25">
        <v>6</v>
      </c>
      <c r="B26" s="19"/>
      <c r="C26" s="29"/>
      <c r="D26" s="24"/>
      <c r="E26" s="23"/>
      <c r="F26" s="18"/>
      <c r="I26" s="31"/>
      <c r="J26" s="31"/>
      <c r="K26" s="31"/>
      <c r="L26" s="31"/>
      <c r="M26" s="31"/>
    </row>
    <row r="27" spans="1:20" ht="15.75" customHeight="1" x14ac:dyDescent="0.25">
      <c r="A27" s="25">
        <v>7</v>
      </c>
      <c r="B27" s="19"/>
      <c r="C27" s="29"/>
      <c r="D27" s="24"/>
      <c r="E27" s="80"/>
      <c r="F27" s="32"/>
      <c r="I27" s="31"/>
      <c r="J27" s="31"/>
      <c r="K27" s="31"/>
      <c r="L27" s="31"/>
      <c r="M27" s="31"/>
    </row>
    <row r="28" spans="1:20" x14ac:dyDescent="0.25">
      <c r="A28" s="25">
        <v>8</v>
      </c>
      <c r="B28" s="19"/>
      <c r="C28" s="27"/>
      <c r="D28" s="24"/>
      <c r="E28" s="24"/>
      <c r="F28" s="32"/>
    </row>
    <row r="29" spans="1:20" x14ac:dyDescent="0.25">
      <c r="A29" s="25">
        <v>9</v>
      </c>
      <c r="B29" s="19"/>
      <c r="C29" s="27"/>
      <c r="D29" s="28"/>
      <c r="E29" s="30"/>
      <c r="F29" s="25"/>
    </row>
    <row r="30" spans="1:20" ht="15.75" customHeight="1" x14ac:dyDescent="0.25">
      <c r="A30" s="35"/>
      <c r="B30" s="36"/>
      <c r="C30" s="37"/>
      <c r="D30"/>
      <c r="E30" s="38"/>
      <c r="F30" s="35"/>
    </row>
    <row r="31" spans="1:20" ht="15.75" x14ac:dyDescent="0.25">
      <c r="A31" s="6"/>
      <c r="B31" s="11" t="s">
        <v>23</v>
      </c>
      <c r="E31" s="7"/>
      <c r="F31" s="7"/>
    </row>
    <row r="32" spans="1:20" ht="15.75" thickBot="1" x14ac:dyDescent="0.3">
      <c r="A32" s="6"/>
      <c r="B32" s="13"/>
      <c r="C32" s="7"/>
      <c r="D32" s="7"/>
      <c r="E32" s="7"/>
      <c r="F32" s="7"/>
    </row>
    <row r="33" spans="1:7" x14ac:dyDescent="0.25">
      <c r="A33" s="14" t="s">
        <v>10</v>
      </c>
      <c r="B33" s="15" t="s">
        <v>24</v>
      </c>
      <c r="C33" s="15" t="s">
        <v>13</v>
      </c>
      <c r="D33" s="15" t="s">
        <v>25</v>
      </c>
      <c r="E33" s="15" t="s">
        <v>26</v>
      </c>
      <c r="F33" s="16" t="s">
        <v>15</v>
      </c>
    </row>
    <row r="34" spans="1:7" ht="15.75" customHeight="1" x14ac:dyDescent="0.25">
      <c r="A34" s="25">
        <v>1</v>
      </c>
      <c r="B34" s="19">
        <v>28092026</v>
      </c>
      <c r="C34" s="34" t="s">
        <v>328</v>
      </c>
      <c r="D34" s="29"/>
      <c r="E34" s="80">
        <v>3669</v>
      </c>
      <c r="F34" s="29">
        <v>40</v>
      </c>
      <c r="G34" s="74"/>
    </row>
    <row r="35" spans="1:7" ht="15.75" customHeight="1" x14ac:dyDescent="0.25">
      <c r="A35" s="25">
        <v>2</v>
      </c>
      <c r="B35" s="19">
        <v>28092026</v>
      </c>
      <c r="C35" s="34" t="s">
        <v>329</v>
      </c>
      <c r="D35" s="34"/>
      <c r="E35" s="29">
        <v>3666</v>
      </c>
      <c r="F35" s="18">
        <v>40</v>
      </c>
      <c r="G35" s="74"/>
    </row>
    <row r="36" spans="1:7" ht="15.75" customHeight="1" x14ac:dyDescent="0.25">
      <c r="A36" s="25">
        <v>3</v>
      </c>
      <c r="B36" s="19">
        <v>28092026</v>
      </c>
      <c r="C36" s="34" t="s">
        <v>330</v>
      </c>
      <c r="D36" s="34" t="s">
        <v>331</v>
      </c>
      <c r="E36" s="78">
        <v>3667</v>
      </c>
      <c r="F36" s="18">
        <v>40</v>
      </c>
      <c r="G36" s="74"/>
    </row>
    <row r="37" spans="1:7" ht="15.75" customHeight="1" x14ac:dyDescent="0.25">
      <c r="A37" s="25">
        <v>4</v>
      </c>
      <c r="B37" s="19">
        <v>28092026</v>
      </c>
      <c r="C37" s="34" t="s">
        <v>332</v>
      </c>
      <c r="D37" s="34" t="s">
        <v>333</v>
      </c>
      <c r="E37" s="29">
        <v>3668</v>
      </c>
      <c r="F37" s="39">
        <v>40</v>
      </c>
      <c r="G37" s="74"/>
    </row>
    <row r="38" spans="1:7" ht="15.75" customHeight="1" x14ac:dyDescent="0.25">
      <c r="A38" s="25">
        <v>5</v>
      </c>
      <c r="B38" s="19">
        <v>28092026</v>
      </c>
      <c r="C38" s="79" t="s">
        <v>324</v>
      </c>
      <c r="D38" s="29">
        <v>3662</v>
      </c>
      <c r="E38" s="29">
        <v>3670</v>
      </c>
      <c r="F38" s="29">
        <v>40</v>
      </c>
      <c r="G38" s="74"/>
    </row>
    <row r="39" spans="1:7" x14ac:dyDescent="0.25">
      <c r="A39" s="25">
        <v>6</v>
      </c>
      <c r="B39" s="19">
        <v>28092026</v>
      </c>
      <c r="C39" s="79" t="s">
        <v>325</v>
      </c>
      <c r="D39" s="29">
        <v>3663</v>
      </c>
      <c r="E39" s="29">
        <v>3714</v>
      </c>
      <c r="F39" s="29">
        <v>40</v>
      </c>
      <c r="G39" s="74"/>
    </row>
    <row r="40" spans="1:7" x14ac:dyDescent="0.25">
      <c r="A40" s="25">
        <v>7</v>
      </c>
      <c r="B40" s="19">
        <v>28092026</v>
      </c>
      <c r="C40" s="34" t="s">
        <v>326</v>
      </c>
      <c r="D40" s="29">
        <v>3661</v>
      </c>
      <c r="E40" s="29">
        <v>3612</v>
      </c>
      <c r="F40" s="29">
        <v>40</v>
      </c>
      <c r="G40" s="74"/>
    </row>
    <row r="41" spans="1:7" x14ac:dyDescent="0.25">
      <c r="A41" s="25">
        <v>8</v>
      </c>
      <c r="B41" s="19">
        <v>28092026</v>
      </c>
      <c r="C41" s="34" t="s">
        <v>327</v>
      </c>
      <c r="D41" s="29">
        <v>3664</v>
      </c>
      <c r="E41" s="29">
        <v>3665</v>
      </c>
      <c r="F41" s="29">
        <v>40</v>
      </c>
      <c r="G41" s="74"/>
    </row>
    <row r="42" spans="1:7" x14ac:dyDescent="0.25">
      <c r="A42" s="25">
        <v>9</v>
      </c>
      <c r="B42" s="19"/>
      <c r="C42" s="34"/>
      <c r="D42" s="46"/>
      <c r="E42" s="29"/>
      <c r="F42" s="29"/>
      <c r="G42" s="74"/>
    </row>
    <row r="43" spans="1:7" x14ac:dyDescent="0.25">
      <c r="A43" s="25">
        <v>10</v>
      </c>
      <c r="B43" s="19"/>
      <c r="C43" s="34"/>
      <c r="D43" s="46"/>
      <c r="E43" s="29"/>
      <c r="F43" s="29"/>
      <c r="G43" s="74"/>
    </row>
  </sheetData>
  <mergeCells count="1">
    <mergeCell ref="A3:H3"/>
  </mergeCells>
  <dataValidations count="2">
    <dataValidation type="list" allowBlank="1" showInputMessage="1" showErrorMessage="1" sqref="F27:F28 F16:F17" xr:uid="{9DD49125-3201-47B9-8F25-DA191F9048EE}">
      <formula1>"20,40,45,50"</formula1>
    </dataValidation>
    <dataValidation type="list" allowBlank="1" showInputMessage="1" showErrorMessage="1" sqref="F34:F36 F8:F15 F21:F26" xr:uid="{8238D721-B59B-4555-B936-A88079A56BE6}">
      <formula1>"20,40,45,50"</formula1>
      <formula2>0</formula2>
    </dataValidation>
  </dataValidations>
  <pageMargins left="0.31496062992125984" right="0.11811023622047245" top="0.74803149606299213" bottom="0.74803149606299213" header="0.31496062992125984" footer="0.31496062992125984"/>
  <pageSetup paperSize="9" orientation="portrait" verticalDpi="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86BC7-778F-439F-BDC0-BFA64045A9E5}">
  <dimension ref="A1:T43"/>
  <sheetViews>
    <sheetView tabSelected="1" topLeftCell="A9" workbookViewId="0">
      <selection activeCell="D18" sqref="D18"/>
    </sheetView>
  </sheetViews>
  <sheetFormatPr baseColWidth="10" defaultRowHeight="15" x14ac:dyDescent="0.25"/>
  <cols>
    <col min="1" max="1" width="3.140625" style="21" bestFit="1" customWidth="1"/>
    <col min="2" max="2" width="15.5703125" style="21" bestFit="1" customWidth="1"/>
    <col min="3" max="3" width="19.28515625" style="21" customWidth="1"/>
    <col min="4" max="4" width="19.140625" style="21" customWidth="1"/>
    <col min="5" max="5" width="14.28515625" style="21" customWidth="1"/>
    <col min="6" max="6" width="13.85546875" style="21" bestFit="1" customWidth="1"/>
    <col min="7" max="7" width="12.140625" style="21" bestFit="1" customWidth="1"/>
    <col min="8" max="10" width="11.42578125" style="21"/>
    <col min="11" max="11" width="14.7109375" style="21" bestFit="1" customWidth="1"/>
    <col min="12" max="16384" width="11.42578125" style="21"/>
  </cols>
  <sheetData>
    <row r="1" spans="1:10" s="7" customFormat="1" ht="15.75" x14ac:dyDescent="0.25">
      <c r="A1" s="6"/>
      <c r="H1" s="8">
        <f>COUNTIF(C8:C16,"&lt;&gt;")</f>
        <v>0</v>
      </c>
      <c r="I1" s="9" t="s">
        <v>6</v>
      </c>
    </row>
    <row r="2" spans="1:10" s="7" customFormat="1" ht="15.75" x14ac:dyDescent="0.25">
      <c r="A2" s="6"/>
      <c r="F2" s="8">
        <f>COUNTIFS(B21:B29,"&lt;&gt;",C21:C29,"VH")</f>
        <v>0</v>
      </c>
      <c r="G2" s="9" t="s">
        <v>7</v>
      </c>
      <c r="H2" s="8">
        <f>COUNTA(C21:C29)-F2</f>
        <v>6</v>
      </c>
      <c r="I2" s="9" t="s">
        <v>6</v>
      </c>
      <c r="J2" s="10">
        <f>COUNTIF(E21:E29,"VIDE")</f>
        <v>0</v>
      </c>
    </row>
    <row r="3" spans="1:10" s="7" customFormat="1" ht="25.5" x14ac:dyDescent="0.25">
      <c r="A3" s="99" t="s">
        <v>8</v>
      </c>
      <c r="B3" s="99"/>
      <c r="C3" s="99"/>
      <c r="D3" s="99"/>
      <c r="E3" s="99"/>
      <c r="F3" s="99"/>
      <c r="G3" s="99"/>
      <c r="H3" s="99"/>
    </row>
    <row r="4" spans="1:10" s="7" customFormat="1" ht="12.75" x14ac:dyDescent="0.25">
      <c r="A4" s="6"/>
    </row>
    <row r="5" spans="1:10" s="7" customFormat="1" ht="15.75" x14ac:dyDescent="0.25">
      <c r="A5" s="6"/>
      <c r="B5" s="11" t="s">
        <v>9</v>
      </c>
      <c r="G5" s="12">
        <v>46294</v>
      </c>
    </row>
    <row r="6" spans="1:10" s="7" customFormat="1" ht="14.25" x14ac:dyDescent="0.25">
      <c r="A6" s="6"/>
      <c r="B6" s="13"/>
    </row>
    <row r="7" spans="1:10" s="7" customFormat="1" ht="14.25" x14ac:dyDescent="0.25">
      <c r="A7" s="82" t="s">
        <v>10</v>
      </c>
      <c r="B7" s="82" t="s">
        <v>11</v>
      </c>
      <c r="C7" s="82" t="s">
        <v>12</v>
      </c>
      <c r="D7" s="82" t="s">
        <v>13</v>
      </c>
      <c r="E7" s="82" t="s">
        <v>14</v>
      </c>
      <c r="F7" s="82" t="s">
        <v>15</v>
      </c>
    </row>
    <row r="8" spans="1:10" x14ac:dyDescent="0.25">
      <c r="A8" s="17">
        <v>1</v>
      </c>
      <c r="B8" s="93"/>
      <c r="C8" s="19"/>
      <c r="D8" s="94"/>
      <c r="E8" s="94"/>
      <c r="F8" s="95"/>
    </row>
    <row r="9" spans="1:10" x14ac:dyDescent="0.25">
      <c r="A9" s="17">
        <v>2</v>
      </c>
      <c r="B9" s="96"/>
      <c r="C9" s="19"/>
      <c r="D9" s="97"/>
      <c r="E9" s="95"/>
      <c r="F9" s="95"/>
    </row>
    <row r="10" spans="1:10" x14ac:dyDescent="0.25">
      <c r="A10" s="17">
        <v>3</v>
      </c>
      <c r="B10" s="92"/>
      <c r="C10" s="19"/>
      <c r="D10" s="18"/>
      <c r="E10" s="18"/>
      <c r="F10" s="18"/>
    </row>
    <row r="11" spans="1:10" x14ac:dyDescent="0.25">
      <c r="A11" s="17">
        <v>4</v>
      </c>
      <c r="B11" s="92"/>
      <c r="C11" s="19"/>
      <c r="D11" s="18"/>
      <c r="E11" s="18"/>
      <c r="F11" s="18"/>
    </row>
    <row r="12" spans="1:10" x14ac:dyDescent="0.25">
      <c r="A12" s="17">
        <v>5</v>
      </c>
      <c r="B12" s="92"/>
      <c r="C12" s="19"/>
      <c r="D12" s="18"/>
      <c r="E12" s="23"/>
      <c r="F12" s="18"/>
    </row>
    <row r="13" spans="1:10" x14ac:dyDescent="0.25">
      <c r="A13" s="17">
        <v>6</v>
      </c>
      <c r="B13" s="92"/>
      <c r="C13" s="19"/>
      <c r="D13" s="18"/>
      <c r="E13" s="23"/>
      <c r="F13" s="18"/>
    </row>
    <row r="14" spans="1:10" x14ac:dyDescent="0.25">
      <c r="A14" s="17">
        <v>7</v>
      </c>
      <c r="B14" s="92"/>
      <c r="C14" s="19"/>
      <c r="D14" s="18"/>
      <c r="E14" s="23"/>
      <c r="F14" s="18"/>
    </row>
    <row r="15" spans="1:10" x14ac:dyDescent="0.25">
      <c r="A15" s="17">
        <v>8</v>
      </c>
      <c r="B15" s="92"/>
      <c r="C15" s="19"/>
      <c r="D15" s="24"/>
      <c r="E15" s="23"/>
      <c r="F15" s="18"/>
    </row>
    <row r="16" spans="1:10" x14ac:dyDescent="0.25">
      <c r="A16" s="17">
        <v>9</v>
      </c>
      <c r="B16" s="92"/>
      <c r="C16" s="19"/>
      <c r="D16" s="24"/>
      <c r="E16" s="23"/>
      <c r="F16" s="18"/>
    </row>
    <row r="17" spans="1:20" ht="15.75" x14ac:dyDescent="0.25">
      <c r="A17" s="6"/>
      <c r="B17" s="20"/>
      <c r="C17" s="7"/>
      <c r="D17" s="89"/>
      <c r="E17" s="89"/>
      <c r="F17" s="89"/>
      <c r="G17" s="7"/>
    </row>
    <row r="18" spans="1:20" ht="15.75" x14ac:dyDescent="0.25">
      <c r="A18" s="6"/>
      <c r="B18" s="11" t="s">
        <v>20</v>
      </c>
    </row>
    <row r="19" spans="1:20" ht="15.75" thickBot="1" x14ac:dyDescent="0.3">
      <c r="A19" s="6"/>
      <c r="B19" s="13"/>
      <c r="C19" s="7"/>
      <c r="D19" s="7"/>
      <c r="E19" s="7"/>
      <c r="F19" s="7"/>
      <c r="N19" s="31"/>
      <c r="O19" s="31"/>
      <c r="P19" s="31"/>
      <c r="Q19" s="31"/>
      <c r="R19" s="31"/>
      <c r="S19"/>
      <c r="T19"/>
    </row>
    <row r="20" spans="1:20" x14ac:dyDescent="0.25">
      <c r="A20" s="14" t="s">
        <v>10</v>
      </c>
      <c r="B20" s="15" t="s">
        <v>21</v>
      </c>
      <c r="C20" s="15" t="s">
        <v>22</v>
      </c>
      <c r="D20" s="15" t="s">
        <v>13</v>
      </c>
      <c r="E20" s="15" t="s">
        <v>14</v>
      </c>
      <c r="F20" s="16" t="s">
        <v>15</v>
      </c>
      <c r="N20" s="31"/>
      <c r="O20" s="31"/>
      <c r="P20" s="81"/>
      <c r="Q20" s="31"/>
      <c r="R20" s="31"/>
      <c r="S20" s="31"/>
      <c r="T20" s="31"/>
    </row>
    <row r="21" spans="1:20" x14ac:dyDescent="0.25">
      <c r="A21" s="25">
        <v>1</v>
      </c>
      <c r="B21" s="19">
        <v>29092026</v>
      </c>
      <c r="C21" s="34" t="s">
        <v>341</v>
      </c>
      <c r="D21" s="18" t="s">
        <v>177</v>
      </c>
      <c r="E21" s="29">
        <v>3708</v>
      </c>
      <c r="F21" s="66">
        <v>45</v>
      </c>
      <c r="N21" s="31"/>
      <c r="O21" s="81"/>
      <c r="P21" s="31"/>
      <c r="Q21" s="31"/>
      <c r="R21"/>
      <c r="S21"/>
      <c r="T21"/>
    </row>
    <row r="22" spans="1:20" ht="15.75" customHeight="1" x14ac:dyDescent="0.25">
      <c r="A22" s="25">
        <v>2</v>
      </c>
      <c r="B22" s="19">
        <v>29092026</v>
      </c>
      <c r="C22" s="29" t="s">
        <v>342</v>
      </c>
      <c r="D22" s="34" t="s">
        <v>232</v>
      </c>
      <c r="E22" s="29">
        <v>3654</v>
      </c>
      <c r="F22" s="66">
        <v>20</v>
      </c>
      <c r="I22" s="31"/>
      <c r="J22" s="31"/>
      <c r="K22" s="31"/>
      <c r="L22" s="31"/>
      <c r="M22" s="31"/>
    </row>
    <row r="23" spans="1:20" ht="15.75" customHeight="1" x14ac:dyDescent="0.25">
      <c r="A23" s="25">
        <v>3</v>
      </c>
      <c r="B23" s="19">
        <v>29092026</v>
      </c>
      <c r="C23" s="34" t="s">
        <v>344</v>
      </c>
      <c r="D23" s="98" t="s">
        <v>330</v>
      </c>
      <c r="E23" s="78">
        <v>3667</v>
      </c>
      <c r="F23" s="18">
        <v>40</v>
      </c>
      <c r="I23" s="31"/>
      <c r="J23" s="31"/>
      <c r="K23" s="31"/>
      <c r="L23" s="31"/>
      <c r="M23" s="31"/>
    </row>
    <row r="24" spans="1:20" ht="15.75" customHeight="1" x14ac:dyDescent="0.25">
      <c r="A24" s="25">
        <v>4</v>
      </c>
      <c r="B24" s="19">
        <v>29092026</v>
      </c>
      <c r="C24" s="29" t="s">
        <v>343</v>
      </c>
      <c r="D24" s="18" t="s">
        <v>332</v>
      </c>
      <c r="E24" s="23">
        <v>3668</v>
      </c>
      <c r="F24" s="18">
        <v>40</v>
      </c>
      <c r="I24" s="31"/>
      <c r="J24" s="31"/>
      <c r="K24" s="31"/>
      <c r="L24" s="31"/>
      <c r="M24" s="31"/>
    </row>
    <row r="25" spans="1:20" ht="15.75" customHeight="1" x14ac:dyDescent="0.25">
      <c r="A25" s="25">
        <v>5</v>
      </c>
      <c r="B25" s="19">
        <v>29092026</v>
      </c>
      <c r="C25" s="29" t="s">
        <v>160</v>
      </c>
      <c r="D25" s="52" t="s">
        <v>97</v>
      </c>
      <c r="E25" s="23">
        <v>3665</v>
      </c>
      <c r="F25" s="18">
        <v>40</v>
      </c>
      <c r="I25" s="31"/>
      <c r="J25" s="31"/>
      <c r="K25" s="31"/>
      <c r="L25" s="31"/>
      <c r="M25" s="31"/>
    </row>
    <row r="26" spans="1:20" ht="15.75" customHeight="1" x14ac:dyDescent="0.25">
      <c r="A26" s="25">
        <v>6</v>
      </c>
      <c r="B26" s="19">
        <v>29092026</v>
      </c>
      <c r="C26" s="29" t="s">
        <v>347</v>
      </c>
      <c r="D26" s="18" t="s">
        <v>103</v>
      </c>
      <c r="E26" s="23">
        <v>3651</v>
      </c>
      <c r="F26" s="18">
        <v>40</v>
      </c>
      <c r="I26" s="31"/>
      <c r="J26" s="31"/>
      <c r="K26" s="31"/>
      <c r="L26" s="31"/>
      <c r="M26" s="31"/>
    </row>
    <row r="27" spans="1:20" ht="15.75" customHeight="1" x14ac:dyDescent="0.25">
      <c r="A27" s="25">
        <v>7</v>
      </c>
      <c r="B27" s="19"/>
      <c r="C27" s="29"/>
      <c r="D27" s="24"/>
      <c r="E27" s="80"/>
      <c r="F27" s="32"/>
      <c r="I27" s="31"/>
      <c r="J27" s="31"/>
      <c r="K27" s="31"/>
      <c r="L27" s="31"/>
      <c r="M27" s="31"/>
    </row>
    <row r="28" spans="1:20" x14ac:dyDescent="0.25">
      <c r="A28" s="25">
        <v>8</v>
      </c>
      <c r="B28" s="19"/>
      <c r="C28" s="27"/>
      <c r="D28" s="24"/>
      <c r="E28" s="24"/>
      <c r="F28" s="32"/>
    </row>
    <row r="29" spans="1:20" x14ac:dyDescent="0.25">
      <c r="A29" s="25">
        <v>9</v>
      </c>
      <c r="B29" s="19"/>
      <c r="C29" s="27"/>
      <c r="D29" s="28"/>
      <c r="E29" s="30"/>
      <c r="F29" s="25"/>
    </row>
    <row r="30" spans="1:20" ht="15.75" customHeight="1" x14ac:dyDescent="0.25">
      <c r="A30" s="35"/>
      <c r="B30" s="36"/>
      <c r="C30" s="37"/>
      <c r="D30"/>
      <c r="E30" s="38"/>
      <c r="F30" s="35"/>
    </row>
    <row r="31" spans="1:20" ht="15.75" x14ac:dyDescent="0.25">
      <c r="A31" s="6"/>
      <c r="B31" s="11" t="s">
        <v>23</v>
      </c>
      <c r="E31" s="7"/>
      <c r="F31" s="7"/>
    </row>
    <row r="32" spans="1:20" ht="15.75" thickBot="1" x14ac:dyDescent="0.3">
      <c r="A32" s="6"/>
      <c r="B32" s="13"/>
      <c r="C32" s="7"/>
      <c r="D32" s="7"/>
      <c r="E32" s="7"/>
      <c r="F32" s="7"/>
    </row>
    <row r="33" spans="1:7" x14ac:dyDescent="0.25">
      <c r="A33" s="14" t="s">
        <v>10</v>
      </c>
      <c r="B33" s="15" t="s">
        <v>24</v>
      </c>
      <c r="C33" s="15" t="s">
        <v>13</v>
      </c>
      <c r="D33" s="15" t="s">
        <v>25</v>
      </c>
      <c r="E33" s="15" t="s">
        <v>26</v>
      </c>
      <c r="F33" s="16" t="s">
        <v>15</v>
      </c>
    </row>
    <row r="34" spans="1:7" ht="15.75" customHeight="1" x14ac:dyDescent="0.25">
      <c r="A34" s="25">
        <v>1</v>
      </c>
      <c r="B34" s="19">
        <v>29092026</v>
      </c>
      <c r="C34" s="18" t="s">
        <v>345</v>
      </c>
      <c r="D34" s="18" t="s">
        <v>346</v>
      </c>
      <c r="E34" s="29">
        <v>3611</v>
      </c>
      <c r="F34" s="18">
        <v>40</v>
      </c>
      <c r="G34" s="74"/>
    </row>
    <row r="35" spans="1:7" ht="15.75" customHeight="1" x14ac:dyDescent="0.25">
      <c r="A35" s="25">
        <v>2</v>
      </c>
      <c r="B35" s="19">
        <v>29092026</v>
      </c>
      <c r="C35" s="34" t="s">
        <v>171</v>
      </c>
      <c r="D35" s="34">
        <v>3712</v>
      </c>
      <c r="E35" s="29">
        <v>3613</v>
      </c>
      <c r="F35" s="18">
        <v>45</v>
      </c>
      <c r="G35" s="74"/>
    </row>
    <row r="36" spans="1:7" ht="15.75" customHeight="1" x14ac:dyDescent="0.25">
      <c r="A36" s="25">
        <v>3</v>
      </c>
      <c r="B36" s="19"/>
      <c r="C36" s="34"/>
      <c r="D36" s="34"/>
      <c r="E36" s="78"/>
      <c r="F36" s="18"/>
      <c r="G36" s="74"/>
    </row>
    <row r="37" spans="1:7" ht="15.75" customHeight="1" x14ac:dyDescent="0.25">
      <c r="A37" s="25">
        <v>4</v>
      </c>
      <c r="B37" s="19"/>
      <c r="C37" s="34"/>
      <c r="D37" s="34"/>
      <c r="E37" s="29"/>
      <c r="F37" s="39"/>
      <c r="G37" s="74"/>
    </row>
    <row r="38" spans="1:7" ht="15.75" customHeight="1" x14ac:dyDescent="0.25">
      <c r="A38" s="25">
        <v>5</v>
      </c>
      <c r="B38" s="19"/>
      <c r="C38" s="79"/>
      <c r="D38" s="29"/>
      <c r="E38" s="29"/>
      <c r="F38" s="29"/>
      <c r="G38" s="74"/>
    </row>
    <row r="39" spans="1:7" x14ac:dyDescent="0.25">
      <c r="A39" s="25">
        <v>6</v>
      </c>
      <c r="B39" s="19"/>
      <c r="C39" s="79"/>
      <c r="D39" s="29"/>
      <c r="E39" s="29"/>
      <c r="F39" s="29"/>
      <c r="G39" s="74"/>
    </row>
    <row r="40" spans="1:7" x14ac:dyDescent="0.25">
      <c r="A40" s="25">
        <v>7</v>
      </c>
      <c r="B40" s="19"/>
      <c r="C40" s="34"/>
      <c r="D40" s="29"/>
      <c r="E40" s="29"/>
      <c r="F40" s="29"/>
      <c r="G40" s="74"/>
    </row>
    <row r="41" spans="1:7" x14ac:dyDescent="0.25">
      <c r="A41" s="25">
        <v>8</v>
      </c>
      <c r="B41" s="19"/>
      <c r="C41" s="34"/>
      <c r="D41" s="29"/>
      <c r="E41" s="29"/>
      <c r="F41" s="29"/>
      <c r="G41" s="74"/>
    </row>
    <row r="42" spans="1:7" x14ac:dyDescent="0.25">
      <c r="A42" s="25">
        <v>9</v>
      </c>
      <c r="B42" s="19"/>
      <c r="C42" s="34"/>
      <c r="D42" s="46"/>
      <c r="E42" s="29"/>
      <c r="F42" s="29"/>
      <c r="G42" s="74"/>
    </row>
    <row r="43" spans="1:7" x14ac:dyDescent="0.25">
      <c r="A43" s="25">
        <v>10</v>
      </c>
      <c r="B43" s="19"/>
      <c r="C43" s="34"/>
      <c r="D43" s="46"/>
      <c r="E43" s="29"/>
      <c r="F43" s="29"/>
      <c r="G43" s="74"/>
    </row>
  </sheetData>
  <mergeCells count="1">
    <mergeCell ref="A3:H3"/>
  </mergeCells>
  <dataValidations count="2">
    <dataValidation type="list" allowBlank="1" showInputMessage="1" showErrorMessage="1" sqref="F8:F16 F21:F26 F34:F36" xr:uid="{C5FD7997-EAA4-4D3E-8C84-A4A8AD74CB4D}">
      <formula1>"20,40,45,50"</formula1>
      <formula2>0</formula2>
    </dataValidation>
    <dataValidation type="list" allowBlank="1" showInputMessage="1" showErrorMessage="1" sqref="F27:F28 F17" xr:uid="{510B70D1-B670-4BEF-AA01-54BB5A0531CD}">
      <formula1>"20,40,45,50"</formula1>
    </dataValidation>
  </dataValidations>
  <pageMargins left="0.31496062992125984" right="0.11811023622047245" top="0.74803149606299213" bottom="0.74803149606299213" header="0.31496062992125984" footer="0.31496062992125984"/>
  <pageSetup paperSize="9" orientation="portrait" verticalDpi="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8299D-A573-45A4-8EA0-3FF7076E28B8}">
  <dimension ref="A1:M42"/>
  <sheetViews>
    <sheetView workbookViewId="0">
      <selection activeCell="I6" sqref="I6"/>
    </sheetView>
  </sheetViews>
  <sheetFormatPr baseColWidth="10" defaultRowHeight="15" x14ac:dyDescent="0.25"/>
  <cols>
    <col min="1" max="1" width="3.140625" style="21" bestFit="1" customWidth="1"/>
    <col min="2" max="2" width="15.5703125" style="21" bestFit="1" customWidth="1"/>
    <col min="3" max="3" width="19.28515625" style="21" customWidth="1"/>
    <col min="4" max="4" width="19.140625" style="21" customWidth="1"/>
    <col min="5" max="5" width="14.28515625" style="21" customWidth="1"/>
    <col min="6" max="6" width="13.85546875" style="21" bestFit="1" customWidth="1"/>
    <col min="7" max="7" width="12.140625" style="21" bestFit="1" customWidth="1"/>
    <col min="8" max="10" width="11.42578125" style="21"/>
    <col min="11" max="11" width="14.7109375" style="21" bestFit="1" customWidth="1"/>
    <col min="12" max="16384" width="11.42578125" style="21"/>
  </cols>
  <sheetData>
    <row r="1" spans="1:10" s="7" customFormat="1" ht="15.75" x14ac:dyDescent="0.25">
      <c r="A1" s="6"/>
      <c r="H1" s="8">
        <f>COUNTIF(C8:C15,"&lt;&gt;")</f>
        <v>0</v>
      </c>
      <c r="I1" s="9" t="s">
        <v>6</v>
      </c>
    </row>
    <row r="2" spans="1:10" s="7" customFormat="1" ht="15.75" x14ac:dyDescent="0.25">
      <c r="A2" s="6"/>
      <c r="F2" s="8">
        <f>COUNTIFS(B20:B29,"&lt;&gt;",C20:C29,"VH")</f>
        <v>0</v>
      </c>
      <c r="G2" s="9" t="s">
        <v>7</v>
      </c>
      <c r="H2" s="8">
        <f>COUNTA(C20:C29)-F2</f>
        <v>2</v>
      </c>
      <c r="I2" s="9" t="s">
        <v>6</v>
      </c>
      <c r="J2" s="10">
        <f>COUNTIF(E20:E29,"VIDE")</f>
        <v>0</v>
      </c>
    </row>
    <row r="3" spans="1:10" s="7" customFormat="1" ht="25.5" x14ac:dyDescent="0.25">
      <c r="A3" s="99" t="s">
        <v>8</v>
      </c>
      <c r="B3" s="99"/>
      <c r="C3" s="99"/>
      <c r="D3" s="99"/>
      <c r="E3" s="99"/>
      <c r="F3" s="99"/>
      <c r="G3" s="99"/>
      <c r="H3" s="99"/>
    </row>
    <row r="4" spans="1:10" s="7" customFormat="1" ht="12.75" x14ac:dyDescent="0.25">
      <c r="A4" s="6"/>
    </row>
    <row r="5" spans="1:10" s="7" customFormat="1" ht="15.75" x14ac:dyDescent="0.25">
      <c r="A5" s="6"/>
      <c r="B5" s="11" t="s">
        <v>9</v>
      </c>
      <c r="G5" s="12">
        <v>46295</v>
      </c>
    </row>
    <row r="6" spans="1:10" s="7" customFormat="1" thickBot="1" x14ac:dyDescent="0.3">
      <c r="A6" s="6"/>
      <c r="B6" s="13"/>
    </row>
    <row r="7" spans="1:10" s="7" customFormat="1" ht="14.25" x14ac:dyDescent="0.25">
      <c r="A7" s="14" t="s">
        <v>10</v>
      </c>
      <c r="B7" s="15" t="s">
        <v>11</v>
      </c>
      <c r="C7" s="15" t="s">
        <v>12</v>
      </c>
      <c r="D7" s="15" t="s">
        <v>13</v>
      </c>
      <c r="E7" s="15" t="s">
        <v>14</v>
      </c>
      <c r="F7" s="16" t="s">
        <v>15</v>
      </c>
    </row>
    <row r="8" spans="1:10" ht="15.75" x14ac:dyDescent="0.25">
      <c r="A8" s="17">
        <v>1</v>
      </c>
      <c r="B8" s="17"/>
      <c r="C8" s="19"/>
      <c r="D8" s="52"/>
      <c r="E8" s="52"/>
      <c r="F8" s="18"/>
      <c r="G8" s="20"/>
    </row>
    <row r="9" spans="1:10" ht="15.75" x14ac:dyDescent="0.25">
      <c r="A9" s="17">
        <v>2</v>
      </c>
      <c r="B9" s="53"/>
      <c r="C9" s="47"/>
      <c r="D9" s="22"/>
      <c r="E9" s="18"/>
      <c r="F9" s="18"/>
      <c r="G9" s="20"/>
    </row>
    <row r="10" spans="1:10" ht="15.75" x14ac:dyDescent="0.25">
      <c r="A10" s="17">
        <v>3</v>
      </c>
      <c r="B10" s="42"/>
      <c r="C10" s="19"/>
      <c r="D10" s="18"/>
      <c r="E10" s="18"/>
      <c r="F10" s="18"/>
      <c r="G10" s="20"/>
    </row>
    <row r="11" spans="1:10" ht="15.75" x14ac:dyDescent="0.25">
      <c r="A11" s="17">
        <v>4</v>
      </c>
      <c r="B11" s="42"/>
      <c r="C11" s="19"/>
      <c r="D11" s="18"/>
      <c r="E11" s="18"/>
      <c r="F11" s="18"/>
      <c r="G11" s="20"/>
    </row>
    <row r="12" spans="1:10" ht="15.75" x14ac:dyDescent="0.25">
      <c r="A12" s="17">
        <v>5</v>
      </c>
      <c r="B12" s="42"/>
      <c r="C12" s="19"/>
      <c r="D12" s="18"/>
      <c r="E12" s="23"/>
      <c r="F12" s="18"/>
      <c r="G12" s="20"/>
    </row>
    <row r="13" spans="1:10" ht="15.75" x14ac:dyDescent="0.25">
      <c r="A13" s="17">
        <v>6</v>
      </c>
      <c r="B13" s="42"/>
      <c r="C13" s="19"/>
      <c r="D13" s="18"/>
      <c r="E13" s="23"/>
      <c r="F13" s="18"/>
      <c r="G13" s="20"/>
    </row>
    <row r="14" spans="1:10" ht="15.75" x14ac:dyDescent="0.25">
      <c r="A14" s="17">
        <v>7</v>
      </c>
      <c r="B14" s="42"/>
      <c r="C14" s="19"/>
      <c r="D14" s="18"/>
      <c r="E14" s="23"/>
      <c r="F14" s="18"/>
      <c r="G14" s="20"/>
    </row>
    <row r="15" spans="1:10" ht="15.75" x14ac:dyDescent="0.25">
      <c r="A15" s="17">
        <v>8</v>
      </c>
      <c r="B15" s="42"/>
      <c r="C15" s="19"/>
      <c r="D15" s="24"/>
      <c r="E15" s="23"/>
      <c r="F15" s="18"/>
      <c r="G15" s="20"/>
    </row>
    <row r="16" spans="1:10" ht="15.75" x14ac:dyDescent="0.25">
      <c r="A16" s="6"/>
      <c r="B16" s="20"/>
      <c r="C16" s="7"/>
      <c r="D16" s="26"/>
      <c r="E16" s="26"/>
      <c r="F16" s="26"/>
      <c r="G16" s="7"/>
    </row>
    <row r="17" spans="1:13" ht="15.75" x14ac:dyDescent="0.25">
      <c r="A17" s="6"/>
      <c r="B17" s="11" t="s">
        <v>20</v>
      </c>
    </row>
    <row r="18" spans="1:13" ht="15.75" thickBot="1" x14ac:dyDescent="0.3">
      <c r="A18" s="6"/>
      <c r="B18" s="13"/>
      <c r="C18" s="7"/>
      <c r="D18" s="7"/>
      <c r="E18" s="7"/>
      <c r="F18" s="7"/>
    </row>
    <row r="19" spans="1:13" x14ac:dyDescent="0.25">
      <c r="A19" s="14" t="s">
        <v>10</v>
      </c>
      <c r="B19" s="15" t="s">
        <v>21</v>
      </c>
      <c r="C19" s="15" t="s">
        <v>22</v>
      </c>
      <c r="D19" s="15" t="s">
        <v>13</v>
      </c>
      <c r="E19" s="15" t="s">
        <v>14</v>
      </c>
      <c r="F19" s="16" t="s">
        <v>15</v>
      </c>
    </row>
    <row r="20" spans="1:13" x14ac:dyDescent="0.25">
      <c r="A20" s="25">
        <v>1</v>
      </c>
      <c r="B20" s="19">
        <v>30092026</v>
      </c>
      <c r="C20" s="27" t="s">
        <v>348</v>
      </c>
      <c r="D20" s="79" t="s">
        <v>258</v>
      </c>
      <c r="E20" s="29">
        <v>3709</v>
      </c>
      <c r="F20" s="18">
        <v>45</v>
      </c>
    </row>
    <row r="21" spans="1:13" ht="15.75" customHeight="1" x14ac:dyDescent="0.25">
      <c r="A21" s="25">
        <v>2</v>
      </c>
      <c r="B21" s="19">
        <v>30092026</v>
      </c>
      <c r="C21" s="29" t="s">
        <v>349</v>
      </c>
      <c r="D21" s="79" t="s">
        <v>259</v>
      </c>
      <c r="E21" s="78">
        <v>3710</v>
      </c>
      <c r="F21" s="18">
        <v>45</v>
      </c>
      <c r="I21" s="31"/>
      <c r="J21" s="31"/>
      <c r="K21" s="31"/>
      <c r="L21" s="31"/>
      <c r="M21" s="31"/>
    </row>
    <row r="22" spans="1:13" ht="15.75" customHeight="1" x14ac:dyDescent="0.25">
      <c r="A22" s="25">
        <v>3</v>
      </c>
      <c r="B22" s="19"/>
      <c r="C22" s="27"/>
      <c r="D22" s="18"/>
      <c r="E22" s="58"/>
      <c r="F22" s="25"/>
      <c r="I22" s="31"/>
      <c r="J22" s="31"/>
      <c r="K22" s="31"/>
      <c r="L22" s="31"/>
      <c r="M22" s="31"/>
    </row>
    <row r="23" spans="1:13" ht="15.75" customHeight="1" x14ac:dyDescent="0.25">
      <c r="A23" s="25">
        <v>4</v>
      </c>
      <c r="B23" s="19"/>
      <c r="C23" s="29"/>
      <c r="D23" s="18"/>
      <c r="E23" s="23"/>
      <c r="F23" s="25"/>
      <c r="I23" s="31"/>
      <c r="J23" s="31"/>
      <c r="K23" s="31"/>
      <c r="L23" s="31"/>
      <c r="M23" s="31"/>
    </row>
    <row r="24" spans="1:13" ht="15.75" customHeight="1" x14ac:dyDescent="0.25">
      <c r="A24" s="25">
        <v>5</v>
      </c>
      <c r="B24" s="19"/>
      <c r="C24" s="29"/>
      <c r="D24" s="18"/>
      <c r="E24" s="59"/>
      <c r="F24" s="25"/>
      <c r="I24" s="31"/>
      <c r="J24" s="31"/>
      <c r="K24" s="31"/>
      <c r="L24" s="31"/>
      <c r="M24" s="31"/>
    </row>
    <row r="25" spans="1:13" ht="15.75" customHeight="1" x14ac:dyDescent="0.25">
      <c r="A25" s="25">
        <v>6</v>
      </c>
      <c r="B25" s="19"/>
      <c r="C25" s="27"/>
      <c r="D25" s="18"/>
      <c r="E25" s="23"/>
      <c r="F25" s="25"/>
      <c r="I25" s="31"/>
      <c r="J25" s="31"/>
      <c r="K25" s="31"/>
      <c r="L25" s="31"/>
      <c r="M25" s="31"/>
    </row>
    <row r="26" spans="1:13" ht="15.75" customHeight="1" x14ac:dyDescent="0.25">
      <c r="A26" s="25">
        <v>7</v>
      </c>
      <c r="B26" s="19"/>
      <c r="C26" s="29"/>
      <c r="D26" s="24"/>
      <c r="E26" s="23"/>
      <c r="F26" s="25"/>
      <c r="I26" s="31"/>
      <c r="J26" s="31"/>
      <c r="K26" s="31"/>
      <c r="L26" s="31"/>
      <c r="M26" s="31"/>
    </row>
    <row r="27" spans="1:13" x14ac:dyDescent="0.25">
      <c r="A27" s="25">
        <v>8</v>
      </c>
      <c r="B27" s="19"/>
      <c r="C27" s="27"/>
      <c r="D27" s="34"/>
      <c r="E27" s="30"/>
      <c r="F27" s="25"/>
    </row>
    <row r="28" spans="1:13" x14ac:dyDescent="0.25">
      <c r="A28" s="25">
        <v>9</v>
      </c>
      <c r="B28" s="19"/>
      <c r="C28" s="27"/>
      <c r="D28" s="28"/>
      <c r="E28" s="30"/>
      <c r="F28" s="25"/>
    </row>
    <row r="29" spans="1:13" x14ac:dyDescent="0.25">
      <c r="A29" s="25">
        <v>10</v>
      </c>
      <c r="B29" s="19"/>
      <c r="C29" s="33"/>
      <c r="D29" s="34"/>
      <c r="E29" s="30"/>
      <c r="F29" s="25"/>
    </row>
    <row r="30" spans="1:13" ht="15.75" customHeight="1" x14ac:dyDescent="0.25">
      <c r="A30" s="25">
        <v>11</v>
      </c>
      <c r="B30" s="19"/>
      <c r="C30" s="33"/>
      <c r="D30" s="46"/>
      <c r="E30" s="30"/>
      <c r="F30" s="25"/>
    </row>
    <row r="31" spans="1:13" ht="15.75" customHeight="1" x14ac:dyDescent="0.25">
      <c r="A31" s="35"/>
      <c r="B31" s="36"/>
      <c r="C31" s="37"/>
      <c r="D31"/>
      <c r="E31" s="38"/>
      <c r="F31" s="35"/>
    </row>
    <row r="32" spans="1:13" ht="15.75" x14ac:dyDescent="0.25">
      <c r="A32" s="6"/>
      <c r="B32" s="11" t="s">
        <v>23</v>
      </c>
      <c r="E32" s="7"/>
      <c r="F32" s="7"/>
    </row>
    <row r="33" spans="1:6" ht="15.75" thickBot="1" x14ac:dyDescent="0.3">
      <c r="A33" s="6"/>
      <c r="B33" s="13"/>
      <c r="C33" s="7"/>
      <c r="D33" s="7"/>
      <c r="E33" s="7"/>
      <c r="F33" s="7"/>
    </row>
    <row r="34" spans="1:6" x14ac:dyDescent="0.25">
      <c r="A34" s="14" t="s">
        <v>10</v>
      </c>
      <c r="B34" s="15" t="s">
        <v>24</v>
      </c>
      <c r="C34" s="15" t="s">
        <v>13</v>
      </c>
      <c r="D34" s="15" t="s">
        <v>25</v>
      </c>
      <c r="E34" s="15" t="s">
        <v>26</v>
      </c>
      <c r="F34" s="16" t="s">
        <v>15</v>
      </c>
    </row>
    <row r="35" spans="1:6" ht="15.75" customHeight="1" x14ac:dyDescent="0.25">
      <c r="A35" s="25">
        <v>1</v>
      </c>
      <c r="B35" s="19"/>
      <c r="C35" s="34"/>
      <c r="D35" s="34"/>
      <c r="E35" s="39"/>
      <c r="F35" s="39"/>
    </row>
    <row r="36" spans="1:6" ht="15.75" customHeight="1" x14ac:dyDescent="0.25">
      <c r="A36" s="25">
        <v>2</v>
      </c>
      <c r="B36" s="19"/>
      <c r="C36" s="28"/>
      <c r="D36" s="34"/>
      <c r="E36" s="39"/>
      <c r="F36" s="39"/>
    </row>
    <row r="37" spans="1:6" ht="15.75" customHeight="1" x14ac:dyDescent="0.25">
      <c r="A37" s="25">
        <v>3</v>
      </c>
      <c r="B37" s="19"/>
      <c r="C37" s="29"/>
      <c r="D37" s="29"/>
      <c r="E37" s="39"/>
      <c r="F37" s="39"/>
    </row>
    <row r="38" spans="1:6" ht="15.75" customHeight="1" x14ac:dyDescent="0.25">
      <c r="A38" s="25">
        <v>4</v>
      </c>
      <c r="B38" s="19"/>
      <c r="C38" s="29"/>
      <c r="D38" s="29"/>
      <c r="E38" s="39"/>
      <c r="F38" s="39"/>
    </row>
    <row r="39" spans="1:6" ht="15.75" customHeight="1" x14ac:dyDescent="0.25">
      <c r="A39" s="25">
        <v>5</v>
      </c>
      <c r="B39" s="19"/>
      <c r="C39" s="18"/>
      <c r="D39" s="18"/>
      <c r="E39" s="39"/>
      <c r="F39" s="39"/>
    </row>
    <row r="40" spans="1:6" x14ac:dyDescent="0.25">
      <c r="A40" s="40">
        <v>6</v>
      </c>
      <c r="B40" s="19"/>
      <c r="C40" s="25"/>
      <c r="D40" s="32"/>
      <c r="E40" s="29"/>
      <c r="F40" s="29"/>
    </row>
    <row r="41" spans="1:6" x14ac:dyDescent="0.25">
      <c r="A41" s="40">
        <v>7</v>
      </c>
      <c r="B41" s="19"/>
      <c r="C41" s="29"/>
      <c r="D41" s="25"/>
      <c r="E41" s="29"/>
      <c r="F41" s="25"/>
    </row>
    <row r="42" spans="1:6" x14ac:dyDescent="0.25">
      <c r="F42" s="41"/>
    </row>
  </sheetData>
  <mergeCells count="1">
    <mergeCell ref="A3:H3"/>
  </mergeCells>
  <dataValidations count="2">
    <dataValidation type="list" allowBlank="1" showInputMessage="1" showErrorMessage="1" sqref="F41 F16" xr:uid="{E6BD5D6F-9413-4BD9-A567-BD5097D933EA}">
      <formula1>"20,40,45,50"</formula1>
    </dataValidation>
    <dataValidation type="list" allowBlank="1" showInputMessage="1" showErrorMessage="1" sqref="F8:F15 F20:F21" xr:uid="{43477B74-5097-4BDB-8038-F8500D404237}">
      <formula1>"20,40,45,50"</formula1>
      <formula2>0</formula2>
    </dataValidation>
  </dataValidations>
  <pageMargins left="0.31496062992125984" right="0.11811023622047245" top="0.74803149606299213" bottom="0.74803149606299213" header="0.31496062992125984" footer="0.31496062992125984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24</vt:i4>
      </vt:variant>
    </vt:vector>
  </HeadingPairs>
  <TitlesOfParts>
    <vt:vector size="24" baseType="lpstr">
      <vt:lpstr>DASHBOARD</vt:lpstr>
      <vt:lpstr>01-09</vt:lpstr>
      <vt:lpstr>02-09</vt:lpstr>
      <vt:lpstr>03-09</vt:lpstr>
      <vt:lpstr>06-09</vt:lpstr>
      <vt:lpstr>07-09</vt:lpstr>
      <vt:lpstr>08-09</vt:lpstr>
      <vt:lpstr>09-09</vt:lpstr>
      <vt:lpstr>10-09</vt:lpstr>
      <vt:lpstr>13-09</vt:lpstr>
      <vt:lpstr>14-09</vt:lpstr>
      <vt:lpstr>15-09</vt:lpstr>
      <vt:lpstr>16-09</vt:lpstr>
      <vt:lpstr>17-09</vt:lpstr>
      <vt:lpstr>20-09</vt:lpstr>
      <vt:lpstr>21-09</vt:lpstr>
      <vt:lpstr>22-09</vt:lpstr>
      <vt:lpstr>23-09</vt:lpstr>
      <vt:lpstr>24-09</vt:lpstr>
      <vt:lpstr>26-09</vt:lpstr>
      <vt:lpstr>27-09</vt:lpstr>
      <vt:lpstr>28-09</vt:lpstr>
      <vt:lpstr>29-09</vt:lpstr>
      <vt:lpstr>30-09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Samir Haddad</cp:lastModifiedBy>
  <cp:lastPrinted>2026-10-01T08:43:58Z</cp:lastPrinted>
  <dcterms:created xsi:type="dcterms:W3CDTF">2026-09-01T09:18:21Z</dcterms:created>
  <dcterms:modified xsi:type="dcterms:W3CDTF">2026-10-15T12:33:22Z</dcterms:modified>
</cp:coreProperties>
</file>