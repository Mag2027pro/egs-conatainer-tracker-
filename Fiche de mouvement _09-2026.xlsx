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0" documentId="8_{E527636B-0A8B-40F1-81C6-614DDE3390C6}" xr6:coauthVersionLast="47" xr6:coauthVersionMax="47" xr10:uidLastSave="{00000000-0000-0000-0000-000000000000}"/>
  <bookViews>
    <workbookView xWindow="-120" yWindow="-120" windowWidth="29040" windowHeight="15720" activeTab="8" xr2:uid="{403A34A7-5625-45D4-A0A1-FEBBA2615750}"/>
  </bookViews>
  <sheets>
    <sheet name="DASHBOARD" sheetId="1" r:id="rId1"/>
    <sheet name="01-09" sheetId="2" r:id="rId2"/>
    <sheet name="02-09" sheetId="3" r:id="rId3"/>
    <sheet name="03-09" sheetId="4" r:id="rId4"/>
    <sheet name="06-09" sheetId="5" r:id="rId5"/>
    <sheet name="07-09" sheetId="6" r:id="rId6"/>
    <sheet name="08-09" sheetId="7" r:id="rId7"/>
    <sheet name="09-09" sheetId="8" r:id="rId8"/>
    <sheet name="10-09" sheetId="9" r:id="rId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1" l="1"/>
  <c r="C8" i="1"/>
  <c r="D8" i="1" s="1"/>
  <c r="B8" i="1"/>
  <c r="J2" i="9"/>
  <c r="F2" i="9"/>
  <c r="H2" i="9" s="1"/>
  <c r="H1" i="9"/>
  <c r="B9" i="1" s="1"/>
  <c r="D9" i="1" s="1"/>
  <c r="J2" i="8"/>
  <c r="F2" i="8"/>
  <c r="H2" i="8" s="1"/>
  <c r="H1" i="8"/>
  <c r="J2" i="7"/>
  <c r="F2" i="7"/>
  <c r="H2" i="7" s="1"/>
  <c r="C7" i="1" s="1"/>
  <c r="H1" i="7"/>
  <c r="B7" i="1" s="1"/>
  <c r="B6" i="1"/>
  <c r="J2" i="6"/>
  <c r="F2" i="6"/>
  <c r="H2" i="6" s="1"/>
  <c r="C6" i="1" s="1"/>
  <c r="D6" i="1" s="1"/>
  <c r="H1" i="6"/>
  <c r="B4" i="1"/>
  <c r="J2" i="5"/>
  <c r="F2" i="5"/>
  <c r="H2" i="5" s="1"/>
  <c r="C5" i="1" s="1"/>
  <c r="H1" i="5"/>
  <c r="B5" i="1" s="1"/>
  <c r="L2" i="4"/>
  <c r="H2" i="4"/>
  <c r="J2" i="4" s="1"/>
  <c r="C4" i="1" s="1"/>
  <c r="J1" i="4"/>
  <c r="C3" i="1"/>
  <c r="B3" i="1"/>
  <c r="D3" i="1"/>
  <c r="J2" i="3"/>
  <c r="F2" i="3"/>
  <c r="H2" i="3" s="1"/>
  <c r="H1" i="3"/>
  <c r="F2" i="2"/>
  <c r="H2" i="2" s="1"/>
  <c r="C2" i="1" s="1"/>
  <c r="J2" i="2"/>
  <c r="H1" i="2"/>
  <c r="B2" i="1" s="1"/>
  <c r="D7" i="1" l="1"/>
  <c r="D5" i="1"/>
  <c r="D4" i="1"/>
  <c r="C24" i="1"/>
  <c r="B24" i="1"/>
  <c r="D2" i="1"/>
  <c r="D24" i="1" l="1"/>
</calcChain>
</file>

<file path=xl/sharedStrings.xml><?xml version="1.0" encoding="utf-8"?>
<sst xmlns="http://schemas.openxmlformats.org/spreadsheetml/2006/main" count="430" uniqueCount="142">
  <si>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</si>
  <si>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</si>
  <si>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</si>
  <si>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</si>
  <si>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</si>
  <si>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</si>
  <si>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</si>
  <si>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</si>
  <si>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</si>
  <si>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</si>
  <si>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</si>
  <si>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</si>
  <si>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</si>
  <si>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</si>
  <si>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</si>
  <si>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</si>
  <si>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40</t>
  </si>
  <si>
    <t>20</t>
  </si>
  <si>
    <t>CAIU873171 /8</t>
  </si>
  <si>
    <t>MEDU733219 /1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</si>
  <si>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</si>
  <si>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</si>
  <si>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</si>
  <si>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</si>
  <si>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</si>
  <si>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</si>
  <si>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</si>
  <si>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</si>
  <si>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</si>
  <si>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</si>
  <si>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</si>
  <si>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</si>
  <si>
    <t>TRLU948903 /4</t>
  </si>
  <si>
    <t>00327-510-31</t>
  </si>
  <si>
    <t>ROWEI I5</t>
  </si>
  <si>
    <t>LSJ--SZ782970</t>
  </si>
  <si>
    <t>LSJ--SZ782961</t>
  </si>
  <si>
    <t>LSJ--SZ783783</t>
  </si>
  <si>
    <t>LSJ--SZ754980</t>
  </si>
  <si>
    <t>LSJ--SZ754107</t>
  </si>
  <si>
    <t>LSJ--SZ754982</t>
  </si>
  <si>
    <t>LSJ--SZ754109</t>
  </si>
  <si>
    <t>TCLU331996 /2</t>
  </si>
  <si>
    <t>0073-512-31</t>
  </si>
  <si>
    <t>VIDE</t>
  </si>
  <si>
    <t>TIIU811908 /0</t>
  </si>
  <si>
    <t>TIIU811819 /1</t>
  </si>
  <si>
    <t>02177-588-31</t>
  </si>
  <si>
    <t>TGBU749046 /1</t>
  </si>
  <si>
    <t>FX48662628</t>
  </si>
  <si>
    <t>FDCU031798 /9</t>
  </si>
  <si>
    <t>FJ27558901</t>
  </si>
  <si>
    <t>0157ICS0016</t>
  </si>
  <si>
    <t>0157ICS0083</t>
  </si>
  <si>
    <t>DRYU939251 /7</t>
  </si>
  <si>
    <t>FDCU009891 /5</t>
  </si>
  <si>
    <t>LG00557484</t>
  </si>
  <si>
    <t>LG00557480</t>
  </si>
  <si>
    <t>FBIU026728 /0</t>
  </si>
  <si>
    <t>FX48618480</t>
  </si>
  <si>
    <t>MSMU769241 /6</t>
  </si>
  <si>
    <t>FX48648827</t>
  </si>
  <si>
    <t>0156ICS0112</t>
  </si>
  <si>
    <t>00563-510-31</t>
  </si>
  <si>
    <t>MSMU924819 /1</t>
  </si>
  <si>
    <t>02148-588-31</t>
  </si>
  <si>
    <t>02197-585-31</t>
  </si>
  <si>
    <t>TIIU809713 /9</t>
  </si>
  <si>
    <t>M1726190</t>
  </si>
  <si>
    <t>DRYU455945 /3</t>
  </si>
  <si>
    <t>45</t>
  </si>
  <si>
    <t>0754ICS0033</t>
  </si>
  <si>
    <t>0754ICS0069</t>
  </si>
  <si>
    <t>HGTU261674 /4</t>
  </si>
  <si>
    <t>184912</t>
  </si>
  <si>
    <t>TANK</t>
  </si>
  <si>
    <t>0754ICS0106</t>
  </si>
  <si>
    <t>ANNULL</t>
  </si>
  <si>
    <t>MEDU744845 /3</t>
  </si>
  <si>
    <t>006533-508-31</t>
  </si>
  <si>
    <t>CMAU225333 /7</t>
  </si>
  <si>
    <t>00168</t>
  </si>
  <si>
    <t>CMAU265891 /0</t>
  </si>
  <si>
    <t>00183</t>
  </si>
  <si>
    <t>CMAU326542 /0</t>
  </si>
  <si>
    <t>001577</t>
  </si>
  <si>
    <t>SEKU160562 /2</t>
  </si>
  <si>
    <t>00163</t>
  </si>
  <si>
    <t>TCLU734251 /2</t>
  </si>
  <si>
    <t>005369</t>
  </si>
  <si>
    <t>TLLU313561 /8</t>
  </si>
  <si>
    <t>005370</t>
  </si>
  <si>
    <t>00121-517-31</t>
  </si>
  <si>
    <t>00124-517-31</t>
  </si>
  <si>
    <t>CMAU995757 /7</t>
  </si>
  <si>
    <t>M2002559</t>
  </si>
  <si>
    <t>0765ICS0037</t>
  </si>
  <si>
    <t>ECMU753339 /6</t>
  </si>
  <si>
    <t>J1979281</t>
  </si>
  <si>
    <t>0083ICS0038</t>
  </si>
  <si>
    <t>MRSU491361 /6</t>
  </si>
  <si>
    <t>CN6436798</t>
  </si>
  <si>
    <t>0083ICS0014</t>
  </si>
  <si>
    <t>GCXU573668 /2</t>
  </si>
  <si>
    <t>CN6536328</t>
  </si>
  <si>
    <t>0765ICS0233</t>
  </si>
  <si>
    <t>APHU463551 /5</t>
  </si>
  <si>
    <t>M9168709</t>
  </si>
  <si>
    <t>0765ICS0116</t>
  </si>
  <si>
    <t>ECMU814116 /8</t>
  </si>
  <si>
    <t>J0695804</t>
  </si>
  <si>
    <t>0083ICS0144</t>
  </si>
  <si>
    <t>TGHU805347 /3</t>
  </si>
  <si>
    <t>0083ICS0079</t>
  </si>
  <si>
    <t>MRSU215858 /4</t>
  </si>
  <si>
    <t>CN8343648</t>
  </si>
  <si>
    <t>0671ICS0026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</si>
  <si>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</si>
  <si>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</si>
  <si>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</si>
  <si>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</si>
  <si>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</si>
  <si>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</si>
  <si>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</si>
  <si>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</si>
  <si>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</si>
  <si>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</si>
  <si>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</si>
  <si>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</si>
  <si>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0159ICS0027</t>
  </si>
  <si>
    <t>FFAU811399 /0</t>
  </si>
  <si>
    <t>18233786</t>
  </si>
  <si>
    <t>0159ICS0010</t>
  </si>
  <si>
    <t>CSNU688630 /2</t>
  </si>
  <si>
    <t>CX185022</t>
  </si>
  <si>
    <t>0159ICS0008</t>
  </si>
  <si>
    <t>ARKU855448 /4</t>
  </si>
  <si>
    <t>239388</t>
  </si>
  <si>
    <t>0159ICS0007</t>
  </si>
  <si>
    <t>ARKU150130 /6</t>
  </si>
  <si>
    <t>1441385</t>
  </si>
  <si>
    <t>Date 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</si>
</sst>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334155"/>
      <name val="Segoe UI"/>
      <family val="2"/>
    </font>
    <font>
      <b/>
      <sz val="10"/>
      <name val="Segoe UI"/>
      <family val="2"/>
    </font>
    <font>
      <b/>
      <sz val="11"/>
      <color rgb="FF000000"/>
      <name val="Calibri"/>
      <family val="2"/>
    </font>
    <font>
      <b/>
      <sz val="10"/>
      <color rgb="FF000000"/>
      <name val="Segoe UI"/>
      <family val="2"/>
    </font>
    <font>
      <b/>
      <sz val="1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5" xfId="0" applyBorder="1"/>
    <xf numFmtId="165" fontId="13" fillId="0" borderId="5" xfId="0" applyNumberFormat="1" applyFont="1" applyBorder="1" applyAlignment="1">
      <alignment horizontal="center" vertical="top"/>
    </xf>
    <xf numFmtId="0" fontId="13" fillId="0" borderId="5" xfId="0" applyFont="1" applyBorder="1" applyAlignment="1">
      <alignment horizontal="left" vertical="top"/>
    </xf>
    <xf numFmtId="0" fontId="12" fillId="0" borderId="5" xfId="0" applyFont="1" applyBorder="1" applyAlignment="1">
      <alignment horizontal="center" vertical="top" wrapText="1"/>
    </xf>
    <xf numFmtId="14" fontId="13" fillId="0" borderId="5" xfId="0" applyNumberFormat="1" applyFont="1" applyBorder="1" applyAlignment="1">
      <alignment horizontal="left"/>
    </xf>
    <xf numFmtId="0" fontId="12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top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/>
    </xf>
    <xf numFmtId="14" fontId="6" fillId="0" borderId="7" xfId="0" applyNumberFormat="1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95247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C32A58-E0EC-438C-8359-D84AE7F1F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85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752475</xdr:colOff>
      <xdr:row>2</xdr:row>
      <xdr:rowOff>142872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6AD9580-2333-433B-9112-1D778915C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5429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BC811C5-8BD0-4D50-90C9-361BDEF2E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F6463E0-D715-4FF7-8BE6-CD00B622D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9A74B33-2C1E-4DA3-A901-6884EF7E6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4017FB2-1320-404C-99C9-DEEBADD74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38100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BA9419C-B4CB-4FFD-B6E5-4C3A714E7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workbookViewId="0">
      <selection activeCell="C10" sqref="C10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3</v>
      </c>
      <c r="D2" s="4">
        <f t="shared" ref="D2:D7" si="0">SUM(B2:C2)</f>
        <v>4</v>
      </c>
      <c r="F2" s="3"/>
    </row>
    <row r="3" spans="1:6" ht="16.5" x14ac:dyDescent="0.25">
      <c r="A3" s="2">
        <v>46267</v>
      </c>
      <c r="B3" s="3">
        <f>'02-09'!H1</f>
        <v>2</v>
      </c>
      <c r="C3" s="3">
        <f>'02-09'!H1</f>
        <v>2</v>
      </c>
      <c r="D3" s="4">
        <f t="shared" si="0"/>
        <v>4</v>
      </c>
      <c r="F3" s="3"/>
    </row>
    <row r="4" spans="1:6" ht="16.5" x14ac:dyDescent="0.25">
      <c r="A4" s="2">
        <v>46268</v>
      </c>
      <c r="B4" s="3">
        <f>'03-09'!J1</f>
        <v>2</v>
      </c>
      <c r="C4" s="3">
        <f>'03-09'!J2</f>
        <v>3</v>
      </c>
      <c r="D4" s="4">
        <f t="shared" si="0"/>
        <v>5</v>
      </c>
      <c r="F4" s="3"/>
    </row>
    <row r="5" spans="1:6" ht="16.5" x14ac:dyDescent="0.25">
      <c r="A5" s="2">
        <v>46271</v>
      </c>
      <c r="B5" s="3">
        <f>'06-09'!H1</f>
        <v>1</v>
      </c>
      <c r="C5" s="3">
        <f>'06-09'!H2</f>
        <v>0</v>
      </c>
      <c r="D5" s="4">
        <f t="shared" si="0"/>
        <v>1</v>
      </c>
      <c r="F5" s="3"/>
    </row>
    <row r="6" spans="1:6" ht="16.5" x14ac:dyDescent="0.25">
      <c r="A6" s="2">
        <v>46272</v>
      </c>
      <c r="B6" s="3">
        <f>'07-09'!H1</f>
        <v>1</v>
      </c>
      <c r="C6" s="3">
        <f>'07-09'!H2</f>
        <v>7</v>
      </c>
      <c r="D6" s="4">
        <f t="shared" si="0"/>
        <v>8</v>
      </c>
      <c r="F6" s="3"/>
    </row>
    <row r="7" spans="1:6" ht="16.5" x14ac:dyDescent="0.25">
      <c r="A7" s="2">
        <v>46273</v>
      </c>
      <c r="B7" s="3">
        <f>'08-09'!H1</f>
        <v>0</v>
      </c>
      <c r="C7" s="3">
        <f>'08-09'!H2</f>
        <v>0</v>
      </c>
      <c r="D7" s="4">
        <f t="shared" si="0"/>
        <v>0</v>
      </c>
      <c r="F7" s="3"/>
    </row>
    <row r="8" spans="1:6" ht="16.5" x14ac:dyDescent="0.25">
      <c r="A8" s="2">
        <v>46274</v>
      </c>
      <c r="B8" s="3">
        <f>'09-09'!H1</f>
        <v>11</v>
      </c>
      <c r="C8" s="3">
        <f>'09-09'!H2</f>
        <v>0</v>
      </c>
      <c r="D8" s="4">
        <f t="shared" ref="D8:D9" si="1">SUM(B8:C8)</f>
        <v>11</v>
      </c>
      <c r="F8" s="3"/>
    </row>
    <row r="9" spans="1:6" ht="16.5" x14ac:dyDescent="0.25">
      <c r="A9" s="2">
        <v>46275</v>
      </c>
      <c r="B9" s="3">
        <f>'10-09'!H1</f>
        <v>0</v>
      </c>
      <c r="C9" s="3">
        <f>'10-09'!H2</f>
        <v>0</v>
      </c>
      <c r="D9" s="4">
        <f t="shared" si="1"/>
        <v>0</v>
      </c>
      <c r="F9" s="3"/>
    </row>
    <row r="10" spans="1:6" ht="16.5" x14ac:dyDescent="0.25">
      <c r="A10" s="2">
        <v>46274</v>
      </c>
      <c r="B10" s="3"/>
      <c r="C10" s="3"/>
      <c r="D10" s="4"/>
      <c r="F10" s="3"/>
    </row>
    <row r="11" spans="1:6" ht="16.5" x14ac:dyDescent="0.25">
      <c r="A11" s="2">
        <v>46275</v>
      </c>
      <c r="B11" s="3"/>
      <c r="C11" s="3"/>
      <c r="D11" s="4"/>
      <c r="F11" s="3"/>
    </row>
    <row r="12" spans="1:6" ht="16.5" x14ac:dyDescent="0.25">
      <c r="A12" s="2">
        <v>46276</v>
      </c>
      <c r="B12" s="3"/>
      <c r="C12" s="3"/>
      <c r="D12" s="4"/>
      <c r="F12" s="3"/>
    </row>
    <row r="13" spans="1:6" ht="16.5" x14ac:dyDescent="0.25">
      <c r="A13" s="2">
        <v>46277</v>
      </c>
      <c r="B13" s="3"/>
      <c r="C13" s="3"/>
      <c r="D13" s="4"/>
      <c r="F13" s="3"/>
    </row>
    <row r="14" spans="1:6" ht="16.5" x14ac:dyDescent="0.25">
      <c r="A14" s="2">
        <v>46278</v>
      </c>
      <c r="B14" s="3"/>
      <c r="C14" s="3"/>
      <c r="D14" s="4"/>
      <c r="F14" s="3"/>
    </row>
    <row r="15" spans="1:6" ht="16.5" x14ac:dyDescent="0.25">
      <c r="A15" s="2">
        <v>46279</v>
      </c>
      <c r="B15" s="3"/>
      <c r="C15" s="3"/>
      <c r="D15" s="4"/>
      <c r="F15" s="3"/>
    </row>
    <row r="16" spans="1:6" ht="16.5" x14ac:dyDescent="0.25">
      <c r="A16" s="2">
        <v>46280</v>
      </c>
      <c r="B16" s="3"/>
      <c r="C16" s="3"/>
      <c r="D16" s="4"/>
      <c r="F16" s="3"/>
    </row>
    <row r="17" spans="1:6" ht="16.5" x14ac:dyDescent="0.25">
      <c r="A17" s="2">
        <v>46281</v>
      </c>
      <c r="B17" s="3"/>
      <c r="C17" s="3"/>
      <c r="D17" s="4"/>
      <c r="F17" s="3"/>
    </row>
    <row r="18" spans="1:6" ht="16.5" x14ac:dyDescent="0.25">
      <c r="A18" s="2">
        <v>46282</v>
      </c>
      <c r="B18" s="3"/>
      <c r="C18" s="3"/>
      <c r="D18" s="4"/>
      <c r="F18" s="3"/>
    </row>
    <row r="19" spans="1:6" ht="16.5" x14ac:dyDescent="0.25">
      <c r="A19" s="2">
        <v>46283</v>
      </c>
      <c r="B19" s="3"/>
      <c r="C19" s="3"/>
      <c r="D19" s="4"/>
      <c r="F19" s="3"/>
    </row>
    <row r="20" spans="1:6" ht="16.5" x14ac:dyDescent="0.25">
      <c r="A20" s="2">
        <v>46284</v>
      </c>
      <c r="B20" s="3"/>
      <c r="C20" s="3"/>
      <c r="D20" s="4"/>
      <c r="F20" s="3"/>
    </row>
    <row r="21" spans="1:6" ht="16.5" x14ac:dyDescent="0.25">
      <c r="A21" s="2">
        <v>46285</v>
      </c>
      <c r="B21" s="3"/>
      <c r="C21" s="3"/>
      <c r="D21" s="4"/>
      <c r="F21" s="3"/>
    </row>
    <row r="22" spans="1:6" ht="16.5" x14ac:dyDescent="0.25">
      <c r="A22" s="2">
        <v>46286</v>
      </c>
      <c r="B22" s="3"/>
      <c r="C22" s="3"/>
      <c r="D22" s="4"/>
      <c r="F22" s="3"/>
    </row>
    <row r="23" spans="1:6" ht="16.5" x14ac:dyDescent="0.25">
      <c r="F23" s="3"/>
    </row>
    <row r="24" spans="1:6" ht="16.5" x14ac:dyDescent="0.25">
      <c r="A24" s="1" t="s">
        <v>5</v>
      </c>
      <c r="B24" s="5">
        <f>SUM(B2:B22)</f>
        <v>18</v>
      </c>
      <c r="C24" s="5">
        <f>SUM(C2:C22)</f>
        <v>15</v>
      </c>
      <c r="D24" s="5">
        <f>SUM(D2:D22)</f>
        <v>33</v>
      </c>
      <c r="E24" s="5"/>
      <c r="F24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2"/>
  <sheetViews>
    <sheetView topLeftCell="B1" workbookViewId="0">
      <selection activeCell="J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7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2" t="s">
        <v>8</v>
      </c>
      <c r="B3" s="62"/>
      <c r="C3" s="62"/>
      <c r="D3" s="62"/>
      <c r="E3" s="62"/>
      <c r="F3" s="62"/>
      <c r="G3" s="62"/>
      <c r="H3" s="6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5" t="s">
        <v>31</v>
      </c>
      <c r="C8" s="19">
        <v>1092026</v>
      </c>
      <c r="D8" s="43" t="s">
        <v>29</v>
      </c>
      <c r="E8" s="43" t="s">
        <v>30</v>
      </c>
      <c r="F8" s="44" t="s">
        <v>17</v>
      </c>
      <c r="G8" s="20"/>
    </row>
    <row r="9" spans="1:10" ht="15.75" x14ac:dyDescent="0.25">
      <c r="A9" s="17">
        <v>2</v>
      </c>
      <c r="B9" s="42"/>
      <c r="C9" s="19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1092026</v>
      </c>
      <c r="C20" s="27" t="s">
        <v>28</v>
      </c>
      <c r="D20" s="28" t="s">
        <v>27</v>
      </c>
      <c r="E20" s="29">
        <v>3579</v>
      </c>
      <c r="F20" s="25">
        <v>40</v>
      </c>
    </row>
    <row r="21" spans="1:13" ht="15.75" customHeight="1" x14ac:dyDescent="0.25">
      <c r="A21" s="25">
        <v>2</v>
      </c>
      <c r="B21" s="19">
        <v>1092026</v>
      </c>
      <c r="C21" s="27" t="s">
        <v>33</v>
      </c>
      <c r="D21" s="30" t="s">
        <v>32</v>
      </c>
      <c r="E21" s="30">
        <v>3571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1092026</v>
      </c>
      <c r="C22" s="27" t="s">
        <v>7</v>
      </c>
      <c r="D22" s="30" t="s">
        <v>35</v>
      </c>
      <c r="E22" s="30" t="s">
        <v>34</v>
      </c>
      <c r="F22" s="27" t="s">
        <v>7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1092026</v>
      </c>
      <c r="C23" s="27" t="s">
        <v>7</v>
      </c>
      <c r="D23" s="30" t="s">
        <v>36</v>
      </c>
      <c r="E23" s="30" t="s">
        <v>34</v>
      </c>
      <c r="F23" s="27" t="s">
        <v>7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1092026</v>
      </c>
      <c r="C24" s="27" t="s">
        <v>7</v>
      </c>
      <c r="D24" s="30" t="s">
        <v>37</v>
      </c>
      <c r="E24" s="30" t="s">
        <v>34</v>
      </c>
      <c r="F24" s="27" t="s">
        <v>7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1092026</v>
      </c>
      <c r="C25" s="27" t="s">
        <v>7</v>
      </c>
      <c r="D25" s="30" t="s">
        <v>38</v>
      </c>
      <c r="E25" s="30" t="s">
        <v>34</v>
      </c>
      <c r="F25" s="27" t="s">
        <v>7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1092026</v>
      </c>
      <c r="C26" s="27" t="s">
        <v>7</v>
      </c>
      <c r="D26" s="25" t="s">
        <v>39</v>
      </c>
      <c r="E26" s="30" t="s">
        <v>34</v>
      </c>
      <c r="F26" s="27" t="s">
        <v>7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>
        <v>1092026</v>
      </c>
      <c r="C27" s="27" t="s">
        <v>7</v>
      </c>
      <c r="D27" s="34" t="s">
        <v>40</v>
      </c>
      <c r="E27" s="30" t="s">
        <v>34</v>
      </c>
      <c r="F27" s="27" t="s">
        <v>7</v>
      </c>
    </row>
    <row r="28" spans="1:13" x14ac:dyDescent="0.25">
      <c r="A28" s="25">
        <v>9</v>
      </c>
      <c r="B28" s="19">
        <v>1092026</v>
      </c>
      <c r="C28" s="27" t="s">
        <v>7</v>
      </c>
      <c r="D28" s="28" t="s">
        <v>41</v>
      </c>
      <c r="E28" s="30" t="s">
        <v>34</v>
      </c>
      <c r="F28" s="27" t="s">
        <v>7</v>
      </c>
    </row>
    <row r="29" spans="1:13" x14ac:dyDescent="0.25">
      <c r="A29" s="25">
        <v>10</v>
      </c>
      <c r="B29" s="19">
        <v>1092026</v>
      </c>
      <c r="C29" s="33" t="s">
        <v>43</v>
      </c>
      <c r="D29" s="34" t="s">
        <v>42</v>
      </c>
      <c r="E29" s="30">
        <v>3572</v>
      </c>
      <c r="F29" s="25">
        <v>40</v>
      </c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29"/>
      <c r="D35" s="29"/>
      <c r="E35" s="39"/>
      <c r="F35" s="39"/>
    </row>
    <row r="36" spans="1:6" ht="15.75" customHeight="1" x14ac:dyDescent="0.25">
      <c r="A36" s="25">
        <v>2</v>
      </c>
      <c r="B36" s="19"/>
      <c r="C36" s="34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phoneticPr fontId="5" type="noConversion"/>
  <dataValidations count="2">
    <dataValidation type="list" allowBlank="1" showInputMessage="1" showErrorMessage="1" sqref="F41 F16" xr:uid="{8D5CED29-C3B3-4840-830F-0E19160AE997}">
      <formula1>"20,40,45,50"</formula1>
    </dataValidation>
    <dataValidation type="list" allowBlank="1" showInputMessage="1" showErrorMessage="1" sqref="F8:F15" xr:uid="{EB3D4CBD-BBEF-4A47-B1AA-9DF877D833AD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2</v>
      </c>
    </row>
    <row r="3" spans="1:10" s="7" customFormat="1" ht="25.5" x14ac:dyDescent="0.25">
      <c r="A3" s="62" t="s">
        <v>8</v>
      </c>
      <c r="B3" s="62"/>
      <c r="C3" s="62"/>
      <c r="D3" s="62"/>
      <c r="E3" s="62"/>
      <c r="F3" s="62"/>
      <c r="G3" s="62"/>
      <c r="H3" s="6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8" t="s">
        <v>52</v>
      </c>
      <c r="C8" s="47">
        <v>2092026</v>
      </c>
      <c r="D8" s="49" t="s">
        <v>48</v>
      </c>
      <c r="E8" s="49" t="s">
        <v>49</v>
      </c>
      <c r="F8" s="18" t="s">
        <v>16</v>
      </c>
      <c r="G8" s="20"/>
    </row>
    <row r="9" spans="1:10" ht="15.75" x14ac:dyDescent="0.25">
      <c r="A9" s="17">
        <v>2</v>
      </c>
      <c r="B9" s="50" t="s">
        <v>53</v>
      </c>
      <c r="C9" s="47">
        <v>2092026</v>
      </c>
      <c r="D9" s="51" t="s">
        <v>50</v>
      </c>
      <c r="E9" s="51" t="s">
        <v>51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2092026</v>
      </c>
      <c r="C20" s="27" t="s">
        <v>47</v>
      </c>
      <c r="D20" s="28" t="s">
        <v>45</v>
      </c>
      <c r="E20" s="29" t="s">
        <v>44</v>
      </c>
      <c r="F20" s="25">
        <v>40</v>
      </c>
    </row>
    <row r="21" spans="1:13" ht="15.75" customHeight="1" x14ac:dyDescent="0.25">
      <c r="A21" s="25">
        <v>2</v>
      </c>
      <c r="B21" s="19">
        <v>2092026</v>
      </c>
      <c r="C21" s="27" t="s">
        <v>47</v>
      </c>
      <c r="D21" s="30" t="s">
        <v>46</v>
      </c>
      <c r="E21" s="30" t="s">
        <v>44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30"/>
      <c r="E22" s="30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0"/>
      <c r="E23" s="30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0"/>
      <c r="E24" s="30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2092026</v>
      </c>
      <c r="C35" s="34" t="s">
        <v>54</v>
      </c>
      <c r="D35" s="34" t="s">
        <v>56</v>
      </c>
      <c r="E35" s="39">
        <v>3575</v>
      </c>
      <c r="F35" s="39">
        <v>40</v>
      </c>
    </row>
    <row r="36" spans="1:6" ht="15.75" customHeight="1" x14ac:dyDescent="0.25">
      <c r="A36" s="25">
        <v>2</v>
      </c>
      <c r="B36" s="19">
        <v>2092026</v>
      </c>
      <c r="C36" s="28" t="s">
        <v>55</v>
      </c>
      <c r="D36" s="34" t="s">
        <v>57</v>
      </c>
      <c r="E36" s="39">
        <v>3576</v>
      </c>
      <c r="F36" s="39">
        <v>40</v>
      </c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8BBACC69-AE68-4940-9EE9-D3253579B367}">
      <formula1>"20,40,45,50"</formula1>
      <formula2>0</formula2>
    </dataValidation>
    <dataValidation type="list" allowBlank="1" showInputMessage="1" showErrorMessage="1" sqref="F41 F16" xr:uid="{D2505F38-AE05-4E92-861B-69325FDB849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90F6-620A-405F-A592-028D59F85BE0}">
  <dimension ref="A1:M42"/>
  <sheetViews>
    <sheetView workbookViewId="0">
      <selection activeCell="I13" sqref="I13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2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3</v>
      </c>
      <c r="K2" s="9" t="s">
        <v>6</v>
      </c>
      <c r="L2" s="10">
        <f>COUNTIF(E20:E29,"VIDE")</f>
        <v>0</v>
      </c>
    </row>
    <row r="3" spans="1:12" s="7" customFormat="1" ht="25.5" x14ac:dyDescent="0.25">
      <c r="A3" s="62" t="s">
        <v>8</v>
      </c>
      <c r="B3" s="62"/>
      <c r="C3" s="62"/>
      <c r="D3" s="62"/>
      <c r="E3" s="62"/>
      <c r="F3" s="62"/>
      <c r="G3" s="62"/>
      <c r="H3" s="62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46268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2" ht="15.75" x14ac:dyDescent="0.25">
      <c r="A8" s="17">
        <v>1</v>
      </c>
      <c r="B8" s="17" t="s">
        <v>62</v>
      </c>
      <c r="C8" s="47">
        <v>3092026</v>
      </c>
      <c r="D8" s="52" t="s">
        <v>58</v>
      </c>
      <c r="E8" s="52" t="s">
        <v>59</v>
      </c>
      <c r="F8" s="18" t="s">
        <v>17</v>
      </c>
      <c r="G8" s="20"/>
    </row>
    <row r="9" spans="1:12" ht="15.75" x14ac:dyDescent="0.25">
      <c r="A9" s="17">
        <v>2</v>
      </c>
      <c r="B9" s="53" t="s">
        <v>62</v>
      </c>
      <c r="C9" s="47">
        <v>3092026</v>
      </c>
      <c r="D9" s="22" t="s">
        <v>60</v>
      </c>
      <c r="E9" s="18" t="s">
        <v>61</v>
      </c>
      <c r="F9" s="18" t="s">
        <v>16</v>
      </c>
      <c r="G9" s="20"/>
    </row>
    <row r="10" spans="1:12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2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2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2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2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2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2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3092026</v>
      </c>
      <c r="C20" s="27" t="s">
        <v>63</v>
      </c>
      <c r="D20" s="28" t="s">
        <v>64</v>
      </c>
      <c r="E20" s="29">
        <v>3578</v>
      </c>
      <c r="F20" s="25">
        <v>45</v>
      </c>
    </row>
    <row r="21" spans="1:13" ht="15.75" customHeight="1" x14ac:dyDescent="0.25">
      <c r="A21" s="25">
        <v>2</v>
      </c>
      <c r="B21" s="19">
        <v>3092026</v>
      </c>
      <c r="C21" s="29" t="s">
        <v>66</v>
      </c>
      <c r="D21" s="29" t="s">
        <v>18</v>
      </c>
      <c r="E21" s="39">
        <v>3573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3092026</v>
      </c>
      <c r="C22" s="27" t="s">
        <v>65</v>
      </c>
      <c r="D22" s="29" t="s">
        <v>19</v>
      </c>
      <c r="E22" s="39">
        <v>3574</v>
      </c>
      <c r="F22" s="25">
        <v>40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B1F619BD-3EA3-41B1-A495-D1424868D8F1}">
      <formula1>"20,40,45,50"</formula1>
    </dataValidation>
    <dataValidation type="list" allowBlank="1" showInputMessage="1" showErrorMessage="1" sqref="F8:F15" xr:uid="{B8E3B6BF-1734-4653-860B-14E738E727D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6CC4-8E30-4C4B-8984-EC96F1E08576}">
  <dimension ref="A1:M42"/>
  <sheetViews>
    <sheetView workbookViewId="0">
      <selection activeCell="J11" sqref="J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2" t="s">
        <v>8</v>
      </c>
      <c r="B3" s="62"/>
      <c r="C3" s="62"/>
      <c r="D3" s="62"/>
      <c r="E3" s="62"/>
      <c r="F3" s="62"/>
      <c r="G3" s="62"/>
      <c r="H3" s="6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71</v>
      </c>
      <c r="C8" s="19">
        <v>6092026</v>
      </c>
      <c r="D8" s="52" t="s">
        <v>67</v>
      </c>
      <c r="E8" s="52" t="s">
        <v>68</v>
      </c>
      <c r="F8" s="18" t="s">
        <v>16</v>
      </c>
      <c r="G8" s="20"/>
    </row>
    <row r="9" spans="1:10" ht="15.75" x14ac:dyDescent="0.25">
      <c r="A9" s="17">
        <v>2</v>
      </c>
      <c r="B9" s="57" t="s">
        <v>72</v>
      </c>
      <c r="D9" s="55" t="s">
        <v>69</v>
      </c>
      <c r="E9" s="54" t="s">
        <v>77</v>
      </c>
      <c r="F9" s="56" t="s">
        <v>70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29"/>
      <c r="E21" s="39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29"/>
      <c r="E22" s="39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49196DC9-871A-49B7-B76F-217BE4312612}">
      <formula1>"20,40,45,50"</formula1>
      <formula2>0</formula2>
    </dataValidation>
    <dataValidation type="list" allowBlank="1" showInputMessage="1" showErrorMessage="1" sqref="F41 F16" xr:uid="{E6B381A0-C4BE-4983-9414-E5E4F42AD60C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8D52-F617-4B72-ADA0-C765A313D71B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7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2" t="s">
        <v>8</v>
      </c>
      <c r="B3" s="62"/>
      <c r="C3" s="62"/>
      <c r="D3" s="62"/>
      <c r="E3" s="62"/>
      <c r="F3" s="62"/>
      <c r="G3" s="62"/>
      <c r="H3" s="6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76</v>
      </c>
      <c r="C8" s="19">
        <v>7092026</v>
      </c>
      <c r="D8" s="52" t="s">
        <v>73</v>
      </c>
      <c r="E8" s="52" t="s">
        <v>74</v>
      </c>
      <c r="F8" s="18">
        <v>20</v>
      </c>
      <c r="G8" s="20" t="s">
        <v>75</v>
      </c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7092026</v>
      </c>
      <c r="C20" s="27" t="s">
        <v>79</v>
      </c>
      <c r="D20" s="28" t="s">
        <v>78</v>
      </c>
      <c r="E20" s="29">
        <v>3994</v>
      </c>
      <c r="F20" s="25">
        <v>40</v>
      </c>
    </row>
    <row r="21" spans="1:13" ht="15.75" customHeight="1" x14ac:dyDescent="0.25">
      <c r="A21" s="25">
        <v>2</v>
      </c>
      <c r="B21" s="19">
        <v>7092026</v>
      </c>
      <c r="C21" s="29" t="s">
        <v>92</v>
      </c>
      <c r="D21" s="18" t="s">
        <v>80</v>
      </c>
      <c r="E21" s="58" t="s">
        <v>81</v>
      </c>
      <c r="F21" s="25">
        <v>20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7092026</v>
      </c>
      <c r="C22" s="27" t="s">
        <v>93</v>
      </c>
      <c r="D22" s="18" t="s">
        <v>82</v>
      </c>
      <c r="E22" s="58" t="s">
        <v>83</v>
      </c>
      <c r="F22" s="25">
        <v>20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7092026</v>
      </c>
      <c r="C23" s="29" t="s">
        <v>92</v>
      </c>
      <c r="D23" s="18" t="s">
        <v>84</v>
      </c>
      <c r="E23" s="23" t="s">
        <v>85</v>
      </c>
      <c r="F23" s="25">
        <v>20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7092026</v>
      </c>
      <c r="C24" s="29" t="s">
        <v>92</v>
      </c>
      <c r="D24" s="18" t="s">
        <v>86</v>
      </c>
      <c r="E24" s="59" t="s">
        <v>87</v>
      </c>
      <c r="F24" s="25">
        <v>20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7092026</v>
      </c>
      <c r="C25" s="27" t="s">
        <v>93</v>
      </c>
      <c r="D25" s="18" t="s">
        <v>88</v>
      </c>
      <c r="E25" s="23" t="s">
        <v>89</v>
      </c>
      <c r="F25" s="25">
        <v>20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7092026</v>
      </c>
      <c r="C26" s="29" t="s">
        <v>92</v>
      </c>
      <c r="D26" s="24" t="s">
        <v>90</v>
      </c>
      <c r="E26" s="23" t="s">
        <v>91</v>
      </c>
      <c r="F26" s="25">
        <v>20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CE340E61-1C9A-4626-AE21-92A800AC9FC7}">
      <formula1>"20,40,45,50"</formula1>
    </dataValidation>
    <dataValidation type="list" allowBlank="1" showInputMessage="1" showErrorMessage="1" sqref="F8:F15" xr:uid="{11B51B2B-7C69-4E18-85F6-9C40A9E67DB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11B97-4126-4C83-B74A-4E710002A39D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2" t="s">
        <v>8</v>
      </c>
      <c r="B3" s="62"/>
      <c r="C3" s="62"/>
      <c r="D3" s="62"/>
      <c r="E3" s="62"/>
      <c r="F3" s="62"/>
      <c r="G3" s="62"/>
      <c r="H3" s="6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/>
      <c r="C8" s="19"/>
      <c r="D8" s="52"/>
      <c r="E8" s="52"/>
      <c r="F8" s="18"/>
      <c r="G8" s="20"/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18"/>
      <c r="E21" s="58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18"/>
      <c r="E22" s="58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9"/>
      <c r="D23" s="18"/>
      <c r="E23" s="23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9"/>
      <c r="D24" s="18"/>
      <c r="E24" s="5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9"/>
      <c r="D26" s="24"/>
      <c r="E26" s="23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2EC0EC5B-7C08-4C22-AA95-368F2D69FED9}">
      <formula1>"20,40,45,50"</formula1>
      <formula2>0</formula2>
    </dataValidation>
    <dataValidation type="list" allowBlank="1" showInputMessage="1" showErrorMessage="1" sqref="F41 F16" xr:uid="{14D22049-3295-498F-9836-6B814172B93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55FDF-6DCB-4DDA-B827-6D1FD6BE3879}">
  <dimension ref="A1:M58"/>
  <sheetViews>
    <sheetView workbookViewId="0">
      <selection activeCell="C19" sqref="C1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COUNTIF(C8:C31,"&lt;&gt;")</f>
        <v>11</v>
      </c>
      <c r="I1" s="9" t="s">
        <v>6</v>
      </c>
    </row>
    <row r="2" spans="1:10" s="7" customFormat="1" ht="15.75" x14ac:dyDescent="0.25">
      <c r="A2" s="6"/>
      <c r="F2" s="8">
        <f>COUNTIFS(B36:B45,"&lt;&gt;",C36:C45,"VH")</f>
        <v>0</v>
      </c>
      <c r="G2" s="9" t="s">
        <v>7</v>
      </c>
      <c r="H2" s="8">
        <f>COUNTA(C36:C45)-F2</f>
        <v>0</v>
      </c>
      <c r="I2" s="9" t="s">
        <v>6</v>
      </c>
      <c r="J2" s="10">
        <f>COUNTIF(E36:E45,"VIDE")</f>
        <v>0</v>
      </c>
    </row>
    <row r="3" spans="1:10" s="7" customFormat="1" ht="25.5" x14ac:dyDescent="0.25">
      <c r="A3" s="62" t="s">
        <v>8</v>
      </c>
      <c r="B3" s="62"/>
      <c r="C3" s="62"/>
      <c r="D3" s="62"/>
      <c r="E3" s="62"/>
      <c r="F3" s="62"/>
      <c r="G3" s="62"/>
      <c r="H3" s="6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46274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ht="15.75" x14ac:dyDescent="0.25">
      <c r="A8" s="17">
        <v>1</v>
      </c>
      <c r="B8" s="45" t="s">
        <v>96</v>
      </c>
      <c r="C8" s="19">
        <v>9092026</v>
      </c>
      <c r="D8" s="52" t="s">
        <v>97</v>
      </c>
      <c r="E8" s="52" t="s">
        <v>98</v>
      </c>
      <c r="F8" s="18" t="s">
        <v>16</v>
      </c>
      <c r="G8" s="61"/>
    </row>
    <row r="9" spans="1:10" ht="15.75" x14ac:dyDescent="0.25">
      <c r="A9" s="17">
        <v>2</v>
      </c>
      <c r="B9" s="60" t="s">
        <v>99</v>
      </c>
      <c r="C9" s="19">
        <v>9092026</v>
      </c>
      <c r="D9" s="18" t="s">
        <v>100</v>
      </c>
      <c r="E9" s="18" t="s">
        <v>101</v>
      </c>
      <c r="F9" s="18" t="s">
        <v>16</v>
      </c>
      <c r="G9" s="61"/>
    </row>
    <row r="10" spans="1:10" ht="15.75" x14ac:dyDescent="0.25">
      <c r="A10" s="17">
        <v>3</v>
      </c>
      <c r="B10" s="60" t="s">
        <v>102</v>
      </c>
      <c r="C10" s="19">
        <v>9092026</v>
      </c>
      <c r="D10" s="18" t="s">
        <v>103</v>
      </c>
      <c r="E10" s="18" t="s">
        <v>104</v>
      </c>
      <c r="F10" s="18" t="s">
        <v>16</v>
      </c>
      <c r="G10" s="61"/>
    </row>
    <row r="11" spans="1:10" ht="15.75" x14ac:dyDescent="0.25">
      <c r="A11" s="17">
        <v>4</v>
      </c>
      <c r="B11" s="60" t="s">
        <v>105</v>
      </c>
      <c r="C11" s="19">
        <v>9092026</v>
      </c>
      <c r="D11" s="18" t="s">
        <v>106</v>
      </c>
      <c r="E11" s="18" t="s">
        <v>107</v>
      </c>
      <c r="F11" s="18" t="s">
        <v>70</v>
      </c>
      <c r="G11" s="61">
        <v>46262</v>
      </c>
    </row>
    <row r="12" spans="1:10" ht="15.75" x14ac:dyDescent="0.25">
      <c r="A12" s="17">
        <v>5</v>
      </c>
      <c r="B12" s="60" t="s">
        <v>108</v>
      </c>
      <c r="C12" s="19">
        <v>9092026</v>
      </c>
      <c r="D12" s="18" t="s">
        <v>109</v>
      </c>
      <c r="E12" s="18" t="s">
        <v>110</v>
      </c>
      <c r="F12" s="18" t="s">
        <v>70</v>
      </c>
      <c r="G12" s="61"/>
    </row>
    <row r="13" spans="1:10" ht="15.75" x14ac:dyDescent="0.25">
      <c r="A13" s="17">
        <v>6</v>
      </c>
      <c r="B13" s="60" t="s">
        <v>111</v>
      </c>
      <c r="C13" s="19"/>
      <c r="D13" s="18" t="s">
        <v>112</v>
      </c>
      <c r="E13" s="18">
        <v>313157</v>
      </c>
      <c r="F13" s="18">
        <v>40</v>
      </c>
      <c r="G13" s="61"/>
    </row>
    <row r="14" spans="1:10" ht="15.75" x14ac:dyDescent="0.25">
      <c r="A14" s="17">
        <v>7</v>
      </c>
      <c r="B14" s="60" t="s">
        <v>113</v>
      </c>
      <c r="C14" s="19">
        <v>9092026</v>
      </c>
      <c r="D14" s="24" t="s">
        <v>114</v>
      </c>
      <c r="E14" s="18" t="s">
        <v>115</v>
      </c>
      <c r="F14" s="18" t="s">
        <v>16</v>
      </c>
      <c r="G14" s="61"/>
    </row>
    <row r="15" spans="1:10" ht="15.75" x14ac:dyDescent="0.25">
      <c r="A15" s="17">
        <v>8</v>
      </c>
      <c r="B15" s="63" t="s">
        <v>116</v>
      </c>
      <c r="C15" s="19"/>
      <c r="D15" s="24" t="s">
        <v>117</v>
      </c>
      <c r="E15" s="18" t="s">
        <v>118</v>
      </c>
      <c r="F15" s="18" t="s">
        <v>17</v>
      </c>
      <c r="G15" s="61"/>
    </row>
    <row r="16" spans="1:10" ht="15.75" x14ac:dyDescent="0.25">
      <c r="A16" s="17">
        <v>9</v>
      </c>
      <c r="B16" s="64"/>
      <c r="C16" s="19"/>
      <c r="D16" s="24" t="s">
        <v>119</v>
      </c>
      <c r="E16" s="18" t="s">
        <v>120</v>
      </c>
      <c r="F16" s="18" t="s">
        <v>16</v>
      </c>
      <c r="G16" s="61"/>
    </row>
    <row r="17" spans="1:7" ht="15.75" x14ac:dyDescent="0.25">
      <c r="A17" s="17">
        <v>10</v>
      </c>
      <c r="B17" s="64"/>
      <c r="C17" s="19"/>
      <c r="D17" s="18" t="s">
        <v>121</v>
      </c>
      <c r="E17" s="18" t="s">
        <v>122</v>
      </c>
      <c r="F17" s="18" t="s">
        <v>16</v>
      </c>
      <c r="G17" s="61"/>
    </row>
    <row r="18" spans="1:7" ht="15.75" x14ac:dyDescent="0.25">
      <c r="A18" s="17">
        <v>11</v>
      </c>
      <c r="B18" s="64"/>
      <c r="C18" s="19"/>
      <c r="D18" s="18" t="s">
        <v>123</v>
      </c>
      <c r="E18" s="18" t="s">
        <v>124</v>
      </c>
      <c r="F18" s="18" t="s">
        <v>16</v>
      </c>
      <c r="G18" s="61"/>
    </row>
    <row r="19" spans="1:7" ht="15.75" x14ac:dyDescent="0.25">
      <c r="A19" s="17">
        <v>12</v>
      </c>
      <c r="B19" s="64"/>
      <c r="C19" s="19">
        <v>9092026</v>
      </c>
      <c r="D19" s="18" t="s">
        <v>125</v>
      </c>
      <c r="E19" s="18" t="s">
        <v>126</v>
      </c>
      <c r="F19" s="18" t="s">
        <v>70</v>
      </c>
      <c r="G19" s="61"/>
    </row>
    <row r="20" spans="1:7" ht="15.75" x14ac:dyDescent="0.25">
      <c r="A20" s="17">
        <v>13</v>
      </c>
      <c r="B20" s="65"/>
      <c r="C20" s="19">
        <v>9092026</v>
      </c>
      <c r="D20" s="18" t="s">
        <v>127</v>
      </c>
      <c r="E20" s="18" t="s">
        <v>128</v>
      </c>
      <c r="F20" s="18">
        <v>40</v>
      </c>
      <c r="G20" s="61"/>
    </row>
    <row r="21" spans="1:7" ht="15.75" x14ac:dyDescent="0.25">
      <c r="A21" s="17">
        <v>14</v>
      </c>
      <c r="B21" s="60" t="s">
        <v>129</v>
      </c>
      <c r="C21" s="19">
        <v>9092026</v>
      </c>
      <c r="D21" s="18" t="s">
        <v>130</v>
      </c>
      <c r="E21" s="18" t="s">
        <v>131</v>
      </c>
      <c r="F21" s="18">
        <v>40</v>
      </c>
      <c r="G21" s="61"/>
    </row>
    <row r="22" spans="1:7" ht="15.75" x14ac:dyDescent="0.25">
      <c r="A22" s="17">
        <v>15</v>
      </c>
      <c r="B22" s="60" t="s">
        <v>132</v>
      </c>
      <c r="C22" s="19">
        <v>9092026</v>
      </c>
      <c r="D22" s="24" t="s">
        <v>133</v>
      </c>
      <c r="E22" s="24" t="s">
        <v>134</v>
      </c>
      <c r="F22" s="18">
        <v>40</v>
      </c>
      <c r="G22" s="61"/>
    </row>
    <row r="23" spans="1:7" ht="15.75" x14ac:dyDescent="0.25">
      <c r="A23" s="17">
        <v>16</v>
      </c>
      <c r="B23" s="60" t="s">
        <v>135</v>
      </c>
      <c r="C23" s="19">
        <v>9092026</v>
      </c>
      <c r="D23" s="24" t="s">
        <v>136</v>
      </c>
      <c r="E23" s="24" t="s">
        <v>137</v>
      </c>
      <c r="F23" s="18" t="s">
        <v>16</v>
      </c>
      <c r="G23" s="61"/>
    </row>
    <row r="24" spans="1:7" ht="15.75" x14ac:dyDescent="0.25">
      <c r="A24" s="17">
        <v>17</v>
      </c>
      <c r="B24" s="60" t="s">
        <v>138</v>
      </c>
      <c r="C24" s="19"/>
      <c r="D24" s="24" t="s">
        <v>139</v>
      </c>
      <c r="E24" s="24" t="s">
        <v>140</v>
      </c>
      <c r="F24" s="18">
        <v>20</v>
      </c>
      <c r="G24" s="61"/>
    </row>
    <row r="25" spans="1:7" ht="15.75" x14ac:dyDescent="0.25">
      <c r="A25" s="17">
        <v>18</v>
      </c>
      <c r="B25" s="42"/>
      <c r="C25" s="19"/>
      <c r="D25" s="18"/>
      <c r="E25" s="18"/>
      <c r="F25" s="18"/>
      <c r="G25" s="61"/>
    </row>
    <row r="26" spans="1:7" ht="15.75" x14ac:dyDescent="0.25">
      <c r="A26" s="17">
        <v>19</v>
      </c>
      <c r="B26" s="42"/>
      <c r="C26" s="19"/>
      <c r="D26" s="18"/>
      <c r="E26" s="18"/>
      <c r="F26" s="18"/>
      <c r="G26" s="61"/>
    </row>
    <row r="27" spans="1:7" ht="15.75" x14ac:dyDescent="0.25">
      <c r="A27" s="17">
        <v>20</v>
      </c>
      <c r="B27" s="42"/>
      <c r="C27" s="19"/>
      <c r="D27" s="18"/>
      <c r="E27" s="18"/>
      <c r="F27" s="18"/>
      <c r="G27" s="61"/>
    </row>
    <row r="28" spans="1:7" ht="15.75" x14ac:dyDescent="0.25">
      <c r="A28" s="17">
        <v>21</v>
      </c>
      <c r="B28" s="42"/>
      <c r="C28" s="19"/>
      <c r="D28" s="18"/>
      <c r="E28" s="23"/>
      <c r="F28" s="18"/>
      <c r="G28" s="61"/>
    </row>
    <row r="29" spans="1:7" ht="15.75" x14ac:dyDescent="0.25">
      <c r="A29" s="17">
        <v>22</v>
      </c>
      <c r="B29" s="42"/>
      <c r="C29" s="19"/>
      <c r="D29" s="18"/>
      <c r="E29" s="23"/>
      <c r="F29" s="18"/>
      <c r="G29" s="61"/>
    </row>
    <row r="30" spans="1:7" ht="15.75" x14ac:dyDescent="0.25">
      <c r="A30" s="17">
        <v>23</v>
      </c>
      <c r="B30" s="42"/>
      <c r="C30" s="19"/>
      <c r="D30" s="18"/>
      <c r="E30" s="23"/>
      <c r="F30" s="18"/>
      <c r="G30" s="61"/>
    </row>
    <row r="31" spans="1:7" ht="15.75" x14ac:dyDescent="0.25">
      <c r="A31" s="17">
        <v>24</v>
      </c>
      <c r="B31" s="42"/>
      <c r="C31" s="19"/>
      <c r="D31" s="24"/>
      <c r="E31" s="23"/>
      <c r="F31" s="18"/>
      <c r="G31" s="61"/>
    </row>
    <row r="32" spans="1:7" ht="15.75" x14ac:dyDescent="0.25">
      <c r="A32" s="6"/>
      <c r="B32" s="20"/>
      <c r="C32" s="7"/>
      <c r="D32" s="26"/>
      <c r="E32" s="26"/>
      <c r="F32" s="26"/>
      <c r="G32" s="7"/>
    </row>
    <row r="33" spans="1:13" ht="15.75" x14ac:dyDescent="0.25">
      <c r="A33" s="6"/>
      <c r="B33" s="11" t="s">
        <v>20</v>
      </c>
    </row>
    <row r="34" spans="1:13" ht="15.75" thickBot="1" x14ac:dyDescent="0.3">
      <c r="A34" s="6"/>
      <c r="B34" s="13"/>
      <c r="C34" s="7"/>
      <c r="D34" s="7"/>
      <c r="E34" s="7"/>
      <c r="F34" s="7"/>
    </row>
    <row r="35" spans="1:13" x14ac:dyDescent="0.25">
      <c r="A35" s="14" t="s">
        <v>10</v>
      </c>
      <c r="B35" s="15" t="s">
        <v>21</v>
      </c>
      <c r="C35" s="15" t="s">
        <v>22</v>
      </c>
      <c r="D35" s="15" t="s">
        <v>13</v>
      </c>
      <c r="E35" s="15" t="s">
        <v>14</v>
      </c>
      <c r="F35" s="16" t="s">
        <v>15</v>
      </c>
    </row>
    <row r="36" spans="1:13" x14ac:dyDescent="0.25">
      <c r="A36" s="25">
        <v>1</v>
      </c>
      <c r="B36" s="19">
        <v>7092026</v>
      </c>
      <c r="C36" s="27"/>
      <c r="D36" s="28"/>
      <c r="E36" s="29"/>
      <c r="F36" s="25"/>
    </row>
    <row r="37" spans="1:13" ht="15.75" customHeight="1" x14ac:dyDescent="0.25">
      <c r="A37" s="25">
        <v>2</v>
      </c>
      <c r="B37" s="19"/>
      <c r="C37" s="29"/>
      <c r="D37" s="18"/>
      <c r="E37" s="58"/>
      <c r="F37" s="25"/>
      <c r="I37" s="31"/>
      <c r="J37" s="31"/>
      <c r="K37" s="31"/>
      <c r="L37" s="31"/>
      <c r="M37" s="31"/>
    </row>
    <row r="38" spans="1:13" ht="15.75" customHeight="1" x14ac:dyDescent="0.25">
      <c r="A38" s="25">
        <v>3</v>
      </c>
      <c r="B38" s="19"/>
      <c r="C38" s="27"/>
      <c r="D38" s="18"/>
      <c r="E38" s="58"/>
      <c r="F38" s="25"/>
      <c r="I38" s="31"/>
      <c r="J38" s="31"/>
      <c r="K38" s="31"/>
      <c r="L38" s="31"/>
      <c r="M38" s="31"/>
    </row>
    <row r="39" spans="1:13" ht="15.75" customHeight="1" x14ac:dyDescent="0.25">
      <c r="A39" s="25">
        <v>4</v>
      </c>
      <c r="B39" s="19"/>
      <c r="C39" s="29"/>
      <c r="D39" s="18"/>
      <c r="E39" s="23"/>
      <c r="F39" s="25"/>
      <c r="I39" s="31"/>
      <c r="J39" s="31"/>
      <c r="K39" s="31"/>
      <c r="L39" s="31"/>
      <c r="M39" s="31"/>
    </row>
    <row r="40" spans="1:13" ht="15.75" customHeight="1" x14ac:dyDescent="0.25">
      <c r="A40" s="25">
        <v>5</v>
      </c>
      <c r="B40" s="19"/>
      <c r="C40" s="29"/>
      <c r="D40" s="18"/>
      <c r="E40" s="59"/>
      <c r="F40" s="25"/>
      <c r="I40" s="31"/>
      <c r="J40" s="31"/>
      <c r="K40" s="31"/>
      <c r="L40" s="31"/>
      <c r="M40" s="31"/>
    </row>
    <row r="41" spans="1:13" ht="15.75" customHeight="1" x14ac:dyDescent="0.25">
      <c r="A41" s="25">
        <v>6</v>
      </c>
      <c r="B41" s="19"/>
      <c r="C41" s="27"/>
      <c r="D41" s="18"/>
      <c r="E41" s="23"/>
      <c r="F41" s="25"/>
      <c r="I41" s="31"/>
      <c r="J41" s="31"/>
      <c r="K41" s="31"/>
      <c r="L41" s="31"/>
      <c r="M41" s="31"/>
    </row>
    <row r="42" spans="1:13" ht="15.75" customHeight="1" x14ac:dyDescent="0.25">
      <c r="A42" s="25">
        <v>7</v>
      </c>
      <c r="B42" s="19"/>
      <c r="C42" s="29"/>
      <c r="D42" s="24"/>
      <c r="E42" s="23"/>
      <c r="F42" s="25"/>
      <c r="I42" s="31"/>
      <c r="J42" s="31"/>
      <c r="K42" s="31"/>
      <c r="L42" s="31"/>
      <c r="M42" s="31"/>
    </row>
    <row r="43" spans="1:13" x14ac:dyDescent="0.25">
      <c r="A43" s="25">
        <v>8</v>
      </c>
      <c r="B43" s="19"/>
      <c r="C43" s="27"/>
      <c r="D43" s="34"/>
      <c r="E43" s="30"/>
      <c r="F43" s="25"/>
    </row>
    <row r="44" spans="1:13" x14ac:dyDescent="0.25">
      <c r="A44" s="25">
        <v>9</v>
      </c>
      <c r="B44" s="19"/>
      <c r="C44" s="27"/>
      <c r="D44" s="28"/>
      <c r="E44" s="30"/>
      <c r="F44" s="25"/>
    </row>
    <row r="45" spans="1:13" x14ac:dyDescent="0.25">
      <c r="A45" s="25">
        <v>10</v>
      </c>
      <c r="B45" s="19"/>
      <c r="C45" s="33"/>
      <c r="D45" s="34"/>
      <c r="E45" s="30"/>
      <c r="F45" s="25"/>
    </row>
    <row r="46" spans="1:13" ht="15.75" customHeight="1" x14ac:dyDescent="0.25">
      <c r="A46" s="25">
        <v>11</v>
      </c>
      <c r="B46" s="19"/>
      <c r="C46" s="33"/>
      <c r="D46" s="46"/>
      <c r="E46" s="30"/>
      <c r="F46" s="25"/>
    </row>
    <row r="47" spans="1:13" ht="15.75" customHeight="1" x14ac:dyDescent="0.25">
      <c r="A47" s="35"/>
      <c r="B47" s="36"/>
      <c r="C47" s="37"/>
      <c r="D47"/>
      <c r="E47" s="38"/>
      <c r="F47" s="35"/>
    </row>
    <row r="48" spans="1:13" ht="15.75" x14ac:dyDescent="0.25">
      <c r="A48" s="6"/>
      <c r="B48" s="11" t="s">
        <v>23</v>
      </c>
      <c r="E48" s="7"/>
      <c r="F48" s="7"/>
    </row>
    <row r="49" spans="1:6" ht="15.75" thickBot="1" x14ac:dyDescent="0.3">
      <c r="A49" s="6"/>
      <c r="B49" s="13"/>
      <c r="C49" s="7"/>
      <c r="D49" s="7"/>
      <c r="E49" s="7"/>
      <c r="F49" s="7"/>
    </row>
    <row r="50" spans="1:6" x14ac:dyDescent="0.25">
      <c r="A50" s="14" t="s">
        <v>10</v>
      </c>
      <c r="B50" s="15" t="s">
        <v>24</v>
      </c>
      <c r="C50" s="15" t="s">
        <v>13</v>
      </c>
      <c r="D50" s="15" t="s">
        <v>25</v>
      </c>
      <c r="E50" s="15" t="s">
        <v>26</v>
      </c>
      <c r="F50" s="16" t="s">
        <v>15</v>
      </c>
    </row>
    <row r="51" spans="1:6" ht="15.75" customHeight="1" x14ac:dyDescent="0.25">
      <c r="A51" s="25">
        <v>1</v>
      </c>
      <c r="B51" s="19">
        <v>9092026</v>
      </c>
      <c r="C51" s="34" t="s">
        <v>94</v>
      </c>
      <c r="D51" s="34" t="s">
        <v>95</v>
      </c>
      <c r="E51" s="39">
        <v>3577</v>
      </c>
      <c r="F51" s="39">
        <v>40</v>
      </c>
    </row>
    <row r="52" spans="1:6" ht="15.75" customHeight="1" x14ac:dyDescent="0.25">
      <c r="A52" s="25">
        <v>2</v>
      </c>
      <c r="B52" s="19"/>
      <c r="C52" s="28"/>
      <c r="D52" s="34"/>
      <c r="E52" s="39"/>
      <c r="F52" s="39"/>
    </row>
    <row r="53" spans="1:6" ht="15.75" customHeight="1" x14ac:dyDescent="0.25">
      <c r="A53" s="25">
        <v>3</v>
      </c>
      <c r="B53" s="19"/>
      <c r="C53" s="29"/>
      <c r="D53" s="29"/>
      <c r="E53" s="39"/>
      <c r="F53" s="39"/>
    </row>
    <row r="54" spans="1:6" ht="15.75" customHeight="1" x14ac:dyDescent="0.25">
      <c r="A54" s="25">
        <v>4</v>
      </c>
      <c r="B54" s="19"/>
      <c r="C54" s="29"/>
      <c r="D54" s="29"/>
      <c r="E54" s="39"/>
      <c r="F54" s="39"/>
    </row>
    <row r="55" spans="1:6" ht="15.75" customHeight="1" x14ac:dyDescent="0.25">
      <c r="A55" s="25">
        <v>5</v>
      </c>
      <c r="B55" s="19"/>
      <c r="C55" s="18"/>
      <c r="D55" s="18"/>
      <c r="E55" s="39"/>
      <c r="F55" s="39"/>
    </row>
    <row r="56" spans="1:6" x14ac:dyDescent="0.25">
      <c r="A56" s="40">
        <v>6</v>
      </c>
      <c r="B56" s="19"/>
      <c r="C56" s="25"/>
      <c r="D56" s="32"/>
      <c r="E56" s="29"/>
      <c r="F56" s="29"/>
    </row>
    <row r="57" spans="1:6" x14ac:dyDescent="0.25">
      <c r="A57" s="40">
        <v>7</v>
      </c>
      <c r="B57" s="19"/>
      <c r="C57" s="29"/>
      <c r="D57" s="25"/>
      <c r="E57" s="29"/>
      <c r="F57" s="25"/>
    </row>
    <row r="58" spans="1:6" x14ac:dyDescent="0.25">
      <c r="F58" s="41"/>
    </row>
  </sheetData>
  <mergeCells count="2">
    <mergeCell ref="A3:H3"/>
    <mergeCell ref="B15:B20"/>
  </mergeCells>
  <dataValidations count="2">
    <dataValidation type="list" allowBlank="1" showInputMessage="1" showErrorMessage="1" sqref="F57 F32" xr:uid="{C60EBE37-60DD-4590-A805-1B082306F56F}">
      <formula1>"20,40,45,50"</formula1>
    </dataValidation>
    <dataValidation type="list" allowBlank="1" showInputMessage="1" showErrorMessage="1" sqref="F8:F31" xr:uid="{38E0B31F-E63B-4BBF-A034-5D91A0C57AEC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1CCA-C2A4-4E26-88A6-3C25B115BC82}">
  <dimension ref="A1:M58"/>
  <sheetViews>
    <sheetView tabSelected="1" workbookViewId="0">
      <selection activeCell="J16" sqref="J1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COUNTIF(C8:C31,"&lt;&gt;")</f>
        <v>0</v>
      </c>
      <c r="I1" s="9" t="s">
        <v>6</v>
      </c>
    </row>
    <row r="2" spans="1:10" s="7" customFormat="1" ht="15.75" x14ac:dyDescent="0.25">
      <c r="A2" s="6"/>
      <c r="F2" s="8">
        <f>COUNTIFS(B36:B45,"&lt;&gt;",C36:C45,"VH")</f>
        <v>0</v>
      </c>
      <c r="G2" s="9" t="s">
        <v>7</v>
      </c>
      <c r="H2" s="8">
        <f>COUNTA(C36:C45)-F2</f>
        <v>0</v>
      </c>
      <c r="I2" s="9" t="s">
        <v>6</v>
      </c>
      <c r="J2" s="10">
        <f>COUNTIF(E36:E45,"VIDE")</f>
        <v>0</v>
      </c>
    </row>
    <row r="3" spans="1:10" s="7" customFormat="1" ht="25.5" x14ac:dyDescent="0.25">
      <c r="A3" s="62" t="s">
        <v>8</v>
      </c>
      <c r="B3" s="62"/>
      <c r="C3" s="62"/>
      <c r="D3" s="62"/>
      <c r="E3" s="62"/>
      <c r="F3" s="62"/>
      <c r="G3" s="62"/>
      <c r="H3" s="6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46274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ht="15.75" x14ac:dyDescent="0.25">
      <c r="A8" s="17">
        <v>1</v>
      </c>
      <c r="B8" s="45" t="s">
        <v>96</v>
      </c>
      <c r="C8" s="19"/>
      <c r="D8" s="52" t="s">
        <v>97</v>
      </c>
      <c r="E8" s="52" t="s">
        <v>98</v>
      </c>
      <c r="F8" s="18" t="s">
        <v>16</v>
      </c>
      <c r="G8" s="61"/>
    </row>
    <row r="9" spans="1:10" ht="15.75" x14ac:dyDescent="0.25">
      <c r="A9" s="17">
        <v>2</v>
      </c>
      <c r="B9" s="60" t="s">
        <v>99</v>
      </c>
      <c r="C9" s="19"/>
      <c r="D9" s="18" t="s">
        <v>100</v>
      </c>
      <c r="E9" s="18" t="s">
        <v>101</v>
      </c>
      <c r="F9" s="18" t="s">
        <v>16</v>
      </c>
      <c r="G9" s="61"/>
    </row>
    <row r="10" spans="1:10" ht="15.75" x14ac:dyDescent="0.25">
      <c r="A10" s="17">
        <v>3</v>
      </c>
      <c r="B10" s="60" t="s">
        <v>102</v>
      </c>
      <c r="C10" s="19"/>
      <c r="D10" s="18" t="s">
        <v>103</v>
      </c>
      <c r="E10" s="18" t="s">
        <v>104</v>
      </c>
      <c r="F10" s="18" t="s">
        <v>16</v>
      </c>
      <c r="G10" s="61"/>
    </row>
    <row r="11" spans="1:10" ht="15.75" x14ac:dyDescent="0.25">
      <c r="A11" s="17">
        <v>4</v>
      </c>
      <c r="B11" s="60" t="s">
        <v>105</v>
      </c>
      <c r="C11" s="19"/>
      <c r="D11" s="18" t="s">
        <v>106</v>
      </c>
      <c r="E11" s="18" t="s">
        <v>107</v>
      </c>
      <c r="F11" s="18" t="s">
        <v>70</v>
      </c>
      <c r="G11" s="61"/>
    </row>
    <row r="12" spans="1:10" ht="15.75" x14ac:dyDescent="0.25">
      <c r="A12" s="17">
        <v>5</v>
      </c>
      <c r="B12" s="60" t="s">
        <v>108</v>
      </c>
      <c r="C12" s="19"/>
      <c r="D12" s="18" t="s">
        <v>109</v>
      </c>
      <c r="E12" s="18" t="s">
        <v>110</v>
      </c>
      <c r="F12" s="18" t="s">
        <v>70</v>
      </c>
      <c r="G12" s="61"/>
    </row>
    <row r="13" spans="1:10" ht="15.75" x14ac:dyDescent="0.25">
      <c r="A13" s="17">
        <v>6</v>
      </c>
      <c r="B13" s="60" t="s">
        <v>111</v>
      </c>
      <c r="C13" s="19"/>
      <c r="D13" s="18" t="s">
        <v>112</v>
      </c>
      <c r="E13" s="18">
        <v>313157</v>
      </c>
      <c r="F13" s="18">
        <v>40</v>
      </c>
      <c r="G13" s="61"/>
    </row>
    <row r="14" spans="1:10" ht="15.75" x14ac:dyDescent="0.25">
      <c r="A14" s="17">
        <v>7</v>
      </c>
      <c r="B14" s="60" t="s">
        <v>113</v>
      </c>
      <c r="C14" s="19"/>
      <c r="D14" s="24" t="s">
        <v>114</v>
      </c>
      <c r="E14" s="18" t="s">
        <v>115</v>
      </c>
      <c r="F14" s="18" t="s">
        <v>16</v>
      </c>
      <c r="G14" s="61"/>
    </row>
    <row r="15" spans="1:10" ht="15.75" x14ac:dyDescent="0.25">
      <c r="A15" s="17">
        <v>8</v>
      </c>
      <c r="B15" s="63" t="s">
        <v>116</v>
      </c>
      <c r="C15" s="19"/>
      <c r="D15" s="24" t="s">
        <v>117</v>
      </c>
      <c r="E15" s="18" t="s">
        <v>118</v>
      </c>
      <c r="F15" s="18" t="s">
        <v>17</v>
      </c>
      <c r="G15" s="61"/>
    </row>
    <row r="16" spans="1:10" ht="15.75" x14ac:dyDescent="0.25">
      <c r="A16" s="17">
        <v>9</v>
      </c>
      <c r="B16" s="64"/>
      <c r="C16" s="19"/>
      <c r="D16" s="24" t="s">
        <v>119</v>
      </c>
      <c r="E16" s="18" t="s">
        <v>120</v>
      </c>
      <c r="F16" s="18" t="s">
        <v>16</v>
      </c>
      <c r="G16" s="61"/>
    </row>
    <row r="17" spans="1:7" ht="15.75" x14ac:dyDescent="0.25">
      <c r="A17" s="17">
        <v>10</v>
      </c>
      <c r="B17" s="64"/>
      <c r="C17" s="19"/>
      <c r="D17" s="18" t="s">
        <v>121</v>
      </c>
      <c r="E17" s="18" t="s">
        <v>122</v>
      </c>
      <c r="F17" s="18" t="s">
        <v>16</v>
      </c>
      <c r="G17" s="61"/>
    </row>
    <row r="18" spans="1:7" ht="15.75" x14ac:dyDescent="0.25">
      <c r="A18" s="17">
        <v>11</v>
      </c>
      <c r="B18" s="64"/>
      <c r="C18" s="19"/>
      <c r="D18" s="18" t="s">
        <v>123</v>
      </c>
      <c r="E18" s="18" t="s">
        <v>124</v>
      </c>
      <c r="F18" s="18" t="s">
        <v>16</v>
      </c>
      <c r="G18" s="61"/>
    </row>
    <row r="19" spans="1:7" ht="15.75" x14ac:dyDescent="0.25">
      <c r="A19" s="17">
        <v>12</v>
      </c>
      <c r="B19" s="64"/>
      <c r="C19" s="19"/>
      <c r="D19" s="18" t="s">
        <v>125</v>
      </c>
      <c r="E19" s="18" t="s">
        <v>126</v>
      </c>
      <c r="F19" s="18" t="s">
        <v>70</v>
      </c>
      <c r="G19" s="61"/>
    </row>
    <row r="20" spans="1:7" ht="15.75" x14ac:dyDescent="0.25">
      <c r="A20" s="17">
        <v>13</v>
      </c>
      <c r="B20" s="65"/>
      <c r="C20" s="19"/>
      <c r="D20" s="18" t="s">
        <v>127</v>
      </c>
      <c r="E20" s="18" t="s">
        <v>128</v>
      </c>
      <c r="F20" s="18">
        <v>40</v>
      </c>
      <c r="G20" s="61"/>
    </row>
    <row r="21" spans="1:7" ht="15.75" x14ac:dyDescent="0.25">
      <c r="A21" s="17">
        <v>14</v>
      </c>
      <c r="B21" s="60" t="s">
        <v>129</v>
      </c>
      <c r="C21" s="19"/>
      <c r="D21" s="18" t="s">
        <v>130</v>
      </c>
      <c r="E21" s="18" t="s">
        <v>131</v>
      </c>
      <c r="F21" s="18">
        <v>40</v>
      </c>
      <c r="G21" s="61"/>
    </row>
    <row r="22" spans="1:7" ht="15.75" x14ac:dyDescent="0.25">
      <c r="A22" s="17">
        <v>15</v>
      </c>
      <c r="B22" s="60" t="s">
        <v>132</v>
      </c>
      <c r="C22" s="19"/>
      <c r="D22" s="24" t="s">
        <v>133</v>
      </c>
      <c r="E22" s="24" t="s">
        <v>134</v>
      </c>
      <c r="F22" s="18">
        <v>40</v>
      </c>
      <c r="G22" s="61"/>
    </row>
    <row r="23" spans="1:7" ht="15.75" x14ac:dyDescent="0.25">
      <c r="A23" s="17">
        <v>16</v>
      </c>
      <c r="B23" s="60" t="s">
        <v>135</v>
      </c>
      <c r="C23" s="19"/>
      <c r="D23" s="24" t="s">
        <v>136</v>
      </c>
      <c r="E23" s="24" t="s">
        <v>137</v>
      </c>
      <c r="F23" s="18" t="s">
        <v>16</v>
      </c>
      <c r="G23" s="61"/>
    </row>
    <row r="24" spans="1:7" ht="15.75" x14ac:dyDescent="0.25">
      <c r="A24" s="17">
        <v>17</v>
      </c>
      <c r="B24" s="60" t="s">
        <v>138</v>
      </c>
      <c r="C24" s="19"/>
      <c r="D24" s="24" t="s">
        <v>139</v>
      </c>
      <c r="E24" s="24" t="s">
        <v>140</v>
      </c>
      <c r="F24" s="18">
        <v>20</v>
      </c>
      <c r="G24" s="61"/>
    </row>
    <row r="25" spans="1:7" ht="15.75" x14ac:dyDescent="0.25">
      <c r="A25" s="17">
        <v>18</v>
      </c>
      <c r="B25" s="42"/>
      <c r="C25" s="19"/>
      <c r="D25" s="18"/>
      <c r="E25" s="18"/>
      <c r="F25" s="18"/>
      <c r="G25" s="61"/>
    </row>
    <row r="26" spans="1:7" ht="15.75" x14ac:dyDescent="0.25">
      <c r="A26" s="17">
        <v>19</v>
      </c>
      <c r="B26" s="42"/>
      <c r="C26" s="19"/>
      <c r="D26" s="18"/>
      <c r="E26" s="18"/>
      <c r="F26" s="18"/>
      <c r="G26" s="61"/>
    </row>
    <row r="27" spans="1:7" ht="15.75" x14ac:dyDescent="0.25">
      <c r="A27" s="17">
        <v>20</v>
      </c>
      <c r="B27" s="42"/>
      <c r="C27" s="19"/>
      <c r="D27" s="18"/>
      <c r="E27" s="18"/>
      <c r="F27" s="19"/>
      <c r="G27" s="61"/>
    </row>
    <row r="28" spans="1:7" ht="15.75" x14ac:dyDescent="0.25">
      <c r="A28" s="17">
        <v>21</v>
      </c>
      <c r="B28" s="42"/>
      <c r="C28" s="19"/>
      <c r="D28" s="18"/>
      <c r="E28" s="23"/>
      <c r="F28" s="18"/>
      <c r="G28" s="61"/>
    </row>
    <row r="29" spans="1:7" ht="15.75" x14ac:dyDescent="0.25">
      <c r="A29" s="17">
        <v>22</v>
      </c>
      <c r="B29" s="42"/>
      <c r="C29" s="19"/>
      <c r="D29" s="18"/>
      <c r="E29" s="23"/>
      <c r="F29" s="18"/>
      <c r="G29" s="61"/>
    </row>
    <row r="30" spans="1:7" ht="15.75" x14ac:dyDescent="0.25">
      <c r="A30" s="17">
        <v>23</v>
      </c>
      <c r="B30" s="42"/>
      <c r="C30" s="19"/>
      <c r="D30" s="18"/>
      <c r="E30" s="23"/>
      <c r="F30" s="18"/>
      <c r="G30" s="61"/>
    </row>
    <row r="31" spans="1:7" ht="15.75" x14ac:dyDescent="0.25">
      <c r="A31" s="17">
        <v>24</v>
      </c>
      <c r="B31" s="42"/>
      <c r="C31" s="19"/>
      <c r="D31" s="24"/>
      <c r="E31" s="23"/>
      <c r="F31" s="18"/>
      <c r="G31" s="61"/>
    </row>
    <row r="32" spans="1:7" ht="15.75" x14ac:dyDescent="0.25">
      <c r="A32" s="6"/>
      <c r="B32" s="20"/>
      <c r="C32" s="7"/>
      <c r="D32" s="26"/>
      <c r="E32" s="26"/>
      <c r="F32" s="26"/>
      <c r="G32" s="7"/>
    </row>
    <row r="33" spans="1:13" ht="15.75" x14ac:dyDescent="0.25">
      <c r="A33" s="6"/>
      <c r="B33" s="11" t="s">
        <v>20</v>
      </c>
    </row>
    <row r="34" spans="1:13" ht="15.75" thickBot="1" x14ac:dyDescent="0.3">
      <c r="A34" s="6"/>
      <c r="B34" s="13"/>
      <c r="C34" s="7"/>
      <c r="D34" s="7"/>
      <c r="E34" s="7"/>
      <c r="F34" s="7"/>
    </row>
    <row r="35" spans="1:13" x14ac:dyDescent="0.25">
      <c r="A35" s="14" t="s">
        <v>10</v>
      </c>
      <c r="B35" s="15" t="s">
        <v>21</v>
      </c>
      <c r="C35" s="15" t="s">
        <v>22</v>
      </c>
      <c r="D35" s="15" t="s">
        <v>13</v>
      </c>
      <c r="E35" s="15" t="s">
        <v>14</v>
      </c>
      <c r="F35" s="16" t="s">
        <v>15</v>
      </c>
    </row>
    <row r="36" spans="1:13" x14ac:dyDescent="0.25">
      <c r="A36" s="25">
        <v>1</v>
      </c>
      <c r="B36" s="19">
        <v>7092026</v>
      </c>
      <c r="C36" s="27"/>
      <c r="D36" s="28"/>
      <c r="E36" s="29"/>
      <c r="F36" s="25"/>
    </row>
    <row r="37" spans="1:13" ht="15.75" customHeight="1" x14ac:dyDescent="0.25">
      <c r="A37" s="25">
        <v>2</v>
      </c>
      <c r="B37" s="19"/>
      <c r="C37" s="29"/>
      <c r="D37" s="18"/>
      <c r="E37" s="58"/>
      <c r="F37" s="25"/>
      <c r="I37" s="31"/>
      <c r="J37" s="31"/>
      <c r="K37" s="31"/>
      <c r="L37" s="31"/>
      <c r="M37" s="31"/>
    </row>
    <row r="38" spans="1:13" ht="15.75" customHeight="1" x14ac:dyDescent="0.25">
      <c r="A38" s="25">
        <v>3</v>
      </c>
      <c r="B38" s="19"/>
      <c r="C38" s="27"/>
      <c r="D38" s="18"/>
      <c r="E38" s="58"/>
      <c r="F38" s="25"/>
      <c r="I38" s="31"/>
      <c r="J38" s="31"/>
      <c r="K38" s="31"/>
      <c r="L38" s="31"/>
      <c r="M38" s="31"/>
    </row>
    <row r="39" spans="1:13" ht="15.75" customHeight="1" x14ac:dyDescent="0.25">
      <c r="A39" s="25">
        <v>4</v>
      </c>
      <c r="B39" s="19"/>
      <c r="C39" s="29"/>
      <c r="D39" s="18"/>
      <c r="E39" s="23"/>
      <c r="F39" s="25"/>
      <c r="I39" s="31"/>
      <c r="J39" s="31"/>
      <c r="K39" s="31"/>
      <c r="L39" s="31"/>
      <c r="M39" s="31"/>
    </row>
    <row r="40" spans="1:13" ht="15.75" customHeight="1" x14ac:dyDescent="0.25">
      <c r="A40" s="25">
        <v>5</v>
      </c>
      <c r="B40" s="19"/>
      <c r="C40" s="29"/>
      <c r="D40" s="18"/>
      <c r="E40" s="59"/>
      <c r="F40" s="25"/>
      <c r="I40" s="31"/>
      <c r="J40" s="31"/>
      <c r="K40" s="31"/>
      <c r="L40" s="31"/>
      <c r="M40" s="31"/>
    </row>
    <row r="41" spans="1:13" ht="15.75" customHeight="1" x14ac:dyDescent="0.25">
      <c r="A41" s="25">
        <v>6</v>
      </c>
      <c r="B41" s="19"/>
      <c r="C41" s="27"/>
      <c r="D41" s="18"/>
      <c r="E41" s="23"/>
      <c r="F41" s="25"/>
      <c r="I41" s="31"/>
      <c r="J41" s="31"/>
      <c r="K41" s="31"/>
      <c r="L41" s="31"/>
      <c r="M41" s="31"/>
    </row>
    <row r="42" spans="1:13" ht="15.75" customHeight="1" x14ac:dyDescent="0.25">
      <c r="A42" s="25">
        <v>7</v>
      </c>
      <c r="B42" s="19"/>
      <c r="C42" s="29"/>
      <c r="D42" s="24"/>
      <c r="E42" s="23"/>
      <c r="F42" s="25"/>
      <c r="I42" s="31"/>
      <c r="J42" s="31"/>
      <c r="K42" s="31"/>
      <c r="L42" s="31"/>
      <c r="M42" s="31"/>
    </row>
    <row r="43" spans="1:13" x14ac:dyDescent="0.25">
      <c r="A43" s="25">
        <v>8</v>
      </c>
      <c r="B43" s="19"/>
      <c r="C43" s="27"/>
      <c r="D43" s="34"/>
      <c r="E43" s="30"/>
      <c r="F43" s="25"/>
    </row>
    <row r="44" spans="1:13" x14ac:dyDescent="0.25">
      <c r="A44" s="25">
        <v>9</v>
      </c>
      <c r="B44" s="19"/>
      <c r="C44" s="27"/>
      <c r="D44" s="28"/>
      <c r="E44" s="30"/>
      <c r="F44" s="25"/>
    </row>
    <row r="45" spans="1:13" x14ac:dyDescent="0.25">
      <c r="A45" s="25">
        <v>10</v>
      </c>
      <c r="B45" s="19"/>
      <c r="C45" s="33"/>
      <c r="D45" s="34"/>
      <c r="E45" s="30"/>
      <c r="F45" s="25"/>
    </row>
    <row r="46" spans="1:13" ht="15.75" customHeight="1" x14ac:dyDescent="0.25">
      <c r="A46" s="25">
        <v>11</v>
      </c>
      <c r="B46" s="19"/>
      <c r="C46" s="33"/>
      <c r="D46" s="46"/>
      <c r="E46" s="30"/>
      <c r="F46" s="25"/>
    </row>
    <row r="47" spans="1:13" ht="15.75" customHeight="1" x14ac:dyDescent="0.25">
      <c r="A47" s="35"/>
      <c r="B47" s="36"/>
      <c r="C47" s="37"/>
      <c r="D47"/>
      <c r="E47" s="38"/>
      <c r="F47" s="35"/>
    </row>
    <row r="48" spans="1:13" ht="15.75" x14ac:dyDescent="0.25">
      <c r="A48" s="6"/>
      <c r="B48" s="11" t="s">
        <v>23</v>
      </c>
      <c r="E48" s="7"/>
      <c r="F48" s="7"/>
    </row>
    <row r="49" spans="1:6" ht="15.75" thickBot="1" x14ac:dyDescent="0.3">
      <c r="A49" s="6"/>
      <c r="B49" s="13"/>
      <c r="C49" s="7"/>
      <c r="D49" s="7"/>
      <c r="E49" s="7"/>
      <c r="F49" s="7"/>
    </row>
    <row r="50" spans="1:6" x14ac:dyDescent="0.25">
      <c r="A50" s="14" t="s">
        <v>10</v>
      </c>
      <c r="B50" s="15" t="s">
        <v>24</v>
      </c>
      <c r="C50" s="15" t="s">
        <v>13</v>
      </c>
      <c r="D50" s="15" t="s">
        <v>25</v>
      </c>
      <c r="E50" s="15" t="s">
        <v>26</v>
      </c>
      <c r="F50" s="16" t="s">
        <v>15</v>
      </c>
    </row>
    <row r="51" spans="1:6" ht="15.75" customHeight="1" x14ac:dyDescent="0.25">
      <c r="A51" s="25">
        <v>1</v>
      </c>
      <c r="B51" s="19">
        <v>9092026</v>
      </c>
      <c r="C51" s="34" t="s">
        <v>94</v>
      </c>
      <c r="D51" s="34" t="s">
        <v>95</v>
      </c>
      <c r="E51" s="39">
        <v>3577</v>
      </c>
      <c r="F51" s="39">
        <v>40</v>
      </c>
    </row>
    <row r="52" spans="1:6" ht="15.75" customHeight="1" x14ac:dyDescent="0.25">
      <c r="A52" s="25">
        <v>2</v>
      </c>
      <c r="B52" s="19"/>
      <c r="C52" s="28"/>
      <c r="D52" s="34"/>
      <c r="E52" s="39"/>
      <c r="F52" s="39"/>
    </row>
    <row r="53" spans="1:6" ht="15.75" customHeight="1" x14ac:dyDescent="0.25">
      <c r="A53" s="25">
        <v>3</v>
      </c>
      <c r="B53" s="19"/>
      <c r="C53" s="29"/>
      <c r="D53" s="29"/>
      <c r="E53" s="39"/>
      <c r="F53" s="39"/>
    </row>
    <row r="54" spans="1:6" ht="15.75" customHeight="1" x14ac:dyDescent="0.25">
      <c r="A54" s="25">
        <v>4</v>
      </c>
      <c r="B54" s="19"/>
      <c r="C54" s="29"/>
      <c r="D54" s="29"/>
      <c r="E54" s="39"/>
      <c r="F54" s="39"/>
    </row>
    <row r="55" spans="1:6" ht="15.75" customHeight="1" x14ac:dyDescent="0.25">
      <c r="A55" s="25">
        <v>5</v>
      </c>
      <c r="B55" s="19"/>
      <c r="C55" s="18"/>
      <c r="D55" s="18"/>
      <c r="E55" s="39"/>
      <c r="F55" s="39"/>
    </row>
    <row r="56" spans="1:6" x14ac:dyDescent="0.25">
      <c r="A56" s="40">
        <v>6</v>
      </c>
      <c r="B56" s="19"/>
      <c r="C56" s="25"/>
      <c r="D56" s="32"/>
      <c r="E56" s="29"/>
      <c r="F56" s="29"/>
    </row>
    <row r="57" spans="1:6" x14ac:dyDescent="0.25">
      <c r="A57" s="40">
        <v>7</v>
      </c>
      <c r="B57" s="19"/>
      <c r="C57" s="29"/>
      <c r="D57" s="25"/>
      <c r="E57" s="29"/>
      <c r="F57" s="25"/>
    </row>
    <row r="58" spans="1:6" x14ac:dyDescent="0.25">
      <c r="F58" s="41"/>
    </row>
  </sheetData>
  <mergeCells count="2">
    <mergeCell ref="A3:H3"/>
    <mergeCell ref="B15:B20"/>
  </mergeCells>
  <dataValidations count="2">
    <dataValidation type="list" allowBlank="1" showInputMessage="1" showErrorMessage="1" sqref="F8:F26 F28:F31" xr:uid="{6AE38A2C-D536-43A6-874D-A17F73BC6B4C}">
      <formula1>"20,40,45,50"</formula1>
      <formula2>0</formula2>
    </dataValidation>
    <dataValidation type="list" allowBlank="1" showInputMessage="1" showErrorMessage="1" sqref="F57 F32" xr:uid="{2C76199B-A1FF-4695-A4B3-E9AFCFD4BC11}">
      <formula1>"20,40,45,50"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DASHBOARD</vt:lpstr>
      <vt:lpstr>01-09</vt:lpstr>
      <vt:lpstr>02-09</vt:lpstr>
      <vt:lpstr>03-09</vt:lpstr>
      <vt:lpstr>06-09</vt:lpstr>
      <vt:lpstr>07-09</vt:lpstr>
      <vt:lpstr>08-09</vt:lpstr>
      <vt:lpstr>09-09</vt:lpstr>
      <vt:lpstr>10-09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Haddad</cp:lastModifiedBy>
  <cp:lastPrinted>2026-09-09T10:46:21Z</cp:lastPrinted>
  <dcterms:created xsi:type="dcterms:W3CDTF">2026-09-01T09:18:21Z</dcterms:created>
  <dcterms:modified xsi:type="dcterms:W3CDTF">2026-09-10T08:31:10Z</dcterms:modified>
</cp:coreProperties>
</file>