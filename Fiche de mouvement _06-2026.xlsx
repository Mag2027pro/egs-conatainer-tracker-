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ocuments\Samir\"/>
    </mc:Choice>
  </mc:AlternateContent>
  <xr:revisionPtr revIDLastSave="0" documentId="13_ncr:1_{8815AF30-265F-4680-A487-B1474EB68051}" xr6:coauthVersionLast="47" xr6:coauthVersionMax="47" xr10:uidLastSave="{00000000-0000-0000-0000-000000000000}"/>
  <bookViews>
    <workbookView xWindow="1560" yWindow="1560" windowWidth="21600" windowHeight="11295" firstSheet="3" activeTab="8" xr2:uid="{00000000-000D-0000-FFFF-FFFF00000000}"/>
  </bookViews>
  <sheets>
    <sheet name="DASHBOARD" sheetId="22" r:id="rId1"/>
    <sheet name="01-06" sheetId="4" r:id="rId2"/>
    <sheet name="02-06" sheetId="7" r:id="rId3"/>
    <sheet name="03-06" sheetId="8" r:id="rId4"/>
    <sheet name="04-06" sheetId="9" r:id="rId5"/>
    <sheet name="07-06" sheetId="10" r:id="rId6"/>
    <sheet name="08-06" sheetId="12" r:id="rId7"/>
    <sheet name="09-06" sheetId="13" r:id="rId8"/>
    <sheet name="10-06" sheetId="14" r:id="rId9"/>
    <sheet name="11-06" sheetId="15" r:id="rId10"/>
    <sheet name="14-06" sheetId="16" r:id="rId11"/>
    <sheet name="15-06" sheetId="17" r:id="rId12"/>
    <sheet name="17-06" sheetId="20" r:id="rId13"/>
    <sheet name="18-06" sheetId="23" r:id="rId14"/>
    <sheet name="21-06" sheetId="24" r:id="rId15"/>
    <sheet name="22-06" sheetId="25" r:id="rId16"/>
    <sheet name="23-06" sheetId="26" r:id="rId17"/>
    <sheet name="24-06" sheetId="27" r:id="rId18"/>
    <sheet name="28-06" sheetId="28" r:id="rId19"/>
    <sheet name="29-06" sheetId="29" r:id="rId20"/>
    <sheet name="30-06" sheetId="30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4" l="1"/>
  <c r="H2" i="12"/>
  <c r="H2" i="4"/>
  <c r="B13" i="22"/>
  <c r="B8" i="22"/>
  <c r="H1" i="29"/>
  <c r="B20" i="22" s="1"/>
  <c r="J2" i="30"/>
  <c r="F2" i="30"/>
  <c r="H2" i="30" s="1"/>
  <c r="C21" i="22" s="1"/>
  <c r="H1" i="30"/>
  <c r="B21" i="22" s="1"/>
  <c r="J2" i="29"/>
  <c r="F2" i="29"/>
  <c r="H2" i="29" s="1"/>
  <c r="J2" i="28"/>
  <c r="F2" i="28"/>
  <c r="H2" i="28" s="1"/>
  <c r="C19" i="22" s="1"/>
  <c r="H1" i="28"/>
  <c r="B19" i="22" s="1"/>
  <c r="F2" i="27"/>
  <c r="H2" i="27" s="1"/>
  <c r="C18" i="22" s="1"/>
  <c r="F2" i="17"/>
  <c r="J2" i="27"/>
  <c r="H1" i="27"/>
  <c r="B18" i="22" s="1"/>
  <c r="J2" i="26"/>
  <c r="F20" i="22"/>
  <c r="F17" i="22"/>
  <c r="F15" i="22"/>
  <c r="F19" i="22"/>
  <c r="F16" i="22"/>
  <c r="F18" i="22"/>
  <c r="F24" i="22"/>
  <c r="C20" i="22" l="1"/>
  <c r="F2" i="26"/>
  <c r="H2" i="26" s="1"/>
  <c r="H1" i="26"/>
  <c r="B17" i="22" s="1"/>
  <c r="J2" i="25"/>
  <c r="F2" i="25"/>
  <c r="H2" i="25" s="1"/>
  <c r="C16" i="22" s="1"/>
  <c r="H1" i="25"/>
  <c r="B16" i="22" s="1"/>
  <c r="H2" i="17"/>
  <c r="J2" i="23"/>
  <c r="J2" i="17"/>
  <c r="J2" i="20"/>
  <c r="J2" i="16"/>
  <c r="J2" i="24"/>
  <c r="F2" i="24"/>
  <c r="H2" i="24" s="1"/>
  <c r="C15" i="22" s="1"/>
  <c r="H1" i="24"/>
  <c r="F11" i="22"/>
  <c r="F13" i="22"/>
  <c r="F3" i="22"/>
  <c r="F10" i="22"/>
  <c r="F14" i="22"/>
  <c r="F9" i="22"/>
  <c r="F4" i="22"/>
  <c r="F5" i="22"/>
  <c r="F6" i="22"/>
  <c r="F7" i="22"/>
  <c r="F2" i="22"/>
  <c r="C17" i="22" l="1"/>
  <c r="B15" i="22"/>
  <c r="J2" i="8"/>
  <c r="J2" i="7"/>
  <c r="H1" i="23"/>
  <c r="B14" i="22" s="1"/>
  <c r="J2" i="14"/>
  <c r="J2" i="4" l="1"/>
  <c r="J2" i="9"/>
  <c r="J2" i="10"/>
  <c r="J2" i="12"/>
  <c r="J2" i="13"/>
  <c r="J2" i="15"/>
  <c r="F2" i="16"/>
  <c r="H2" i="16" s="1"/>
  <c r="C11" i="22" s="1"/>
  <c r="F2" i="14"/>
  <c r="F2" i="23"/>
  <c r="D21" i="22"/>
  <c r="D20" i="22"/>
  <c r="D19" i="22"/>
  <c r="D18" i="22"/>
  <c r="D17" i="22"/>
  <c r="D16" i="22"/>
  <c r="D15" i="22"/>
  <c r="C12" i="22"/>
  <c r="B12" i="22"/>
  <c r="H1" i="20"/>
  <c r="H1" i="17"/>
  <c r="H1" i="16"/>
  <c r="B11" i="22" s="1"/>
  <c r="H1" i="15"/>
  <c r="B10" i="22" s="1"/>
  <c r="H1" i="14"/>
  <c r="B9" i="22" s="1"/>
  <c r="H1" i="13"/>
  <c r="H1" i="12"/>
  <c r="B7" i="22" s="1"/>
  <c r="H1" i="10"/>
  <c r="B6" i="22" s="1"/>
  <c r="H1" i="9"/>
  <c r="B5" i="22" s="1"/>
  <c r="H1" i="8"/>
  <c r="B4" i="22" s="1"/>
  <c r="H1" i="7"/>
  <c r="B3" i="22" s="1"/>
  <c r="H1" i="4"/>
  <c r="B2" i="22" s="1"/>
  <c r="B24" i="22" s="1"/>
  <c r="F2" i="20"/>
  <c r="H2" i="20" s="1"/>
  <c r="F2" i="15"/>
  <c r="H2" i="15" s="1"/>
  <c r="C10" i="22" s="1"/>
  <c r="F2" i="13"/>
  <c r="H2" i="13" s="1"/>
  <c r="C8" i="22" s="1"/>
  <c r="F2" i="12"/>
  <c r="C7" i="22" s="1"/>
  <c r="F2" i="10"/>
  <c r="H2" i="10" s="1"/>
  <c r="C6" i="22" s="1"/>
  <c r="F2" i="9"/>
  <c r="H2" i="9" s="1"/>
  <c r="C5" i="22" s="1"/>
  <c r="F2" i="8"/>
  <c r="H2" i="8" s="1"/>
  <c r="C4" i="22" s="1"/>
  <c r="F2" i="7"/>
  <c r="H2" i="7" s="1"/>
  <c r="C3" i="22" s="1"/>
  <c r="F2" i="4"/>
  <c r="F8" i="22"/>
  <c r="H2" i="23" l="1"/>
  <c r="C14" i="22" s="1"/>
  <c r="D14" i="22" s="1"/>
  <c r="F26" i="22"/>
  <c r="F27" i="22"/>
  <c r="C2" i="22"/>
  <c r="C13" i="22"/>
  <c r="D13" i="22" s="1"/>
  <c r="C9" i="22"/>
  <c r="D9" i="22" s="1"/>
  <c r="D10" i="22"/>
  <c r="D12" i="22"/>
  <c r="D6" i="22"/>
  <c r="D3" i="22"/>
  <c r="D7" i="22"/>
  <c r="D11" i="22"/>
  <c r="D4" i="22"/>
  <c r="D8" i="22"/>
  <c r="D5" i="22"/>
  <c r="C24" i="22" l="1"/>
  <c r="D2" i="22"/>
  <c r="D24" i="22" s="1"/>
  <c r="F12" i="22"/>
</calcChain>
</file>

<file path=xl/sharedStrings.xml><?xml version="1.0" encoding="utf-8"?>
<sst xmlns="http://schemas.openxmlformats.org/spreadsheetml/2006/main" count="1341" uniqueCount="594">
  <si>
    <t>N° Conteneur</t>
  </si>
  <si>
    <t>N° Scellé</t>
  </si>
  <si>
    <t xml:space="preserve">N° </t>
  </si>
  <si>
    <t>RECEPTION</t>
  </si>
  <si>
    <t>SORTIE</t>
  </si>
  <si>
    <t xml:space="preserve">Date </t>
  </si>
  <si>
    <t>IMM</t>
  </si>
  <si>
    <t>ML-CN6237504</t>
  </si>
  <si>
    <t>N° CRN</t>
  </si>
  <si>
    <t>Vol</t>
  </si>
  <si>
    <t>FICHE DE MOUVEMENT</t>
  </si>
  <si>
    <t>Date S</t>
  </si>
  <si>
    <t>Date R</t>
  </si>
  <si>
    <t>TCNU 999465 /1</t>
  </si>
  <si>
    <t>AN° Scellé</t>
  </si>
  <si>
    <t>NO° Scellé</t>
  </si>
  <si>
    <t>M9561776</t>
  </si>
  <si>
    <t>TCKU 693680 /5</t>
  </si>
  <si>
    <t>CN4082328</t>
  </si>
  <si>
    <t>MSNU865171 /3</t>
  </si>
  <si>
    <t>FJ26137054</t>
  </si>
  <si>
    <t>MEDU718149 /6</t>
  </si>
  <si>
    <t>000193-511-02</t>
  </si>
  <si>
    <t>MSNU864526 /4</t>
  </si>
  <si>
    <t>0259875</t>
  </si>
  <si>
    <t>VH</t>
  </si>
  <si>
    <t>GEELY</t>
  </si>
  <si>
    <t>TCKU822040 /4</t>
  </si>
  <si>
    <t>00125-523-31</t>
  </si>
  <si>
    <t>00142-523-31</t>
  </si>
  <si>
    <t>TLLU466410 /6</t>
  </si>
  <si>
    <t>TCNU471329 /0</t>
  </si>
  <si>
    <t>00122-523-31</t>
  </si>
  <si>
    <t>CAAU860798 /3</t>
  </si>
  <si>
    <t>MSMU666679 /4</t>
  </si>
  <si>
    <t>FJ27554163</t>
  </si>
  <si>
    <t>MSDU854545 /5</t>
  </si>
  <si>
    <t>FJ27476918</t>
  </si>
  <si>
    <t>MSNU557983 /1</t>
  </si>
  <si>
    <t>FJ27476913</t>
  </si>
  <si>
    <t>TIIU285146 /8</t>
  </si>
  <si>
    <t>M1840507</t>
  </si>
  <si>
    <t>TIIU285215 /0</t>
  </si>
  <si>
    <t>M1840510</t>
  </si>
  <si>
    <t>CAJU522157 /1</t>
  </si>
  <si>
    <t>0090ICS0221 /3</t>
  </si>
  <si>
    <t>0090ICS0180 /4</t>
  </si>
  <si>
    <t>0090ICS0179 /4</t>
  </si>
  <si>
    <t>0420ICS0030</t>
  </si>
  <si>
    <t>0106ICS0012</t>
  </si>
  <si>
    <t>WTLU500068 /8</t>
  </si>
  <si>
    <t>CMAU752750 /7</t>
  </si>
  <si>
    <t>CMAU983077 /0</t>
  </si>
  <si>
    <t>CMAU983583 /3</t>
  </si>
  <si>
    <t>ECMU545635 /1</t>
  </si>
  <si>
    <t>CMAU983624 /9</t>
  </si>
  <si>
    <t>TCNU331174 /2</t>
  </si>
  <si>
    <t>R9838651</t>
  </si>
  <si>
    <t>R9803693</t>
  </si>
  <si>
    <t>R9799274</t>
  </si>
  <si>
    <t>R9799137</t>
  </si>
  <si>
    <t>R9803797</t>
  </si>
  <si>
    <t>R9803796</t>
  </si>
  <si>
    <t>00238-518-31</t>
  </si>
  <si>
    <t>00453-512-31</t>
  </si>
  <si>
    <t>MSMU928197 /0</t>
  </si>
  <si>
    <t>VISITE</t>
  </si>
  <si>
    <t>369ICS0145</t>
  </si>
  <si>
    <t>SUDU866062 /7</t>
  </si>
  <si>
    <t>CN6284860</t>
  </si>
  <si>
    <t>3691CS0095</t>
  </si>
  <si>
    <t>CAAU845506 /8</t>
  </si>
  <si>
    <t>CN5024551</t>
  </si>
  <si>
    <t>0081 ICS0057</t>
  </si>
  <si>
    <t>CAIU904854 /2</t>
  </si>
  <si>
    <t>B3916841</t>
  </si>
  <si>
    <t>FFAU252344 /8</t>
  </si>
  <si>
    <t>B3916632</t>
  </si>
  <si>
    <t>FFAU378505 /5</t>
  </si>
  <si>
    <t>B3916714</t>
  </si>
  <si>
    <t>MSDU782251 /3</t>
  </si>
  <si>
    <t>B3916633</t>
  </si>
  <si>
    <t>MSDU875862 /0</t>
  </si>
  <si>
    <t>B3916713</t>
  </si>
  <si>
    <t>MSMU897335 /7</t>
  </si>
  <si>
    <t>B3916631</t>
  </si>
  <si>
    <t>TCNU892435 /1</t>
  </si>
  <si>
    <t>B3915842</t>
  </si>
  <si>
    <t>UETU568729 /4</t>
  </si>
  <si>
    <t>B3916712</t>
  </si>
  <si>
    <t>0041ICS0032</t>
  </si>
  <si>
    <t>ML-CN6309165</t>
  </si>
  <si>
    <t>0041ICS0062</t>
  </si>
  <si>
    <t>TCNU262349 /5</t>
  </si>
  <si>
    <t>ML-CN3700782</t>
  </si>
  <si>
    <t>0041ICS0042</t>
  </si>
  <si>
    <t>MRSU345476 /5</t>
  </si>
  <si>
    <t>ML-CN37700789</t>
  </si>
  <si>
    <t>0041ICS0055</t>
  </si>
  <si>
    <t>MSKU148879 /1</t>
  </si>
  <si>
    <t>ML-CN6337956</t>
  </si>
  <si>
    <t>0081ICS0123</t>
  </si>
  <si>
    <t>CAIU986982 /5</t>
  </si>
  <si>
    <t>FX45999499</t>
  </si>
  <si>
    <t>MSDU652953 /7</t>
  </si>
  <si>
    <t>FX45999474</t>
  </si>
  <si>
    <t>MSNU593133 /0</t>
  </si>
  <si>
    <t>FX46020281</t>
  </si>
  <si>
    <t>0086ICS0002</t>
  </si>
  <si>
    <t>ARKU833224 /0</t>
  </si>
  <si>
    <t>065254</t>
  </si>
  <si>
    <t>ARKU854822 /3</t>
  </si>
  <si>
    <t>015868</t>
  </si>
  <si>
    <t>ARKU858731 /7</t>
  </si>
  <si>
    <t>B2176368</t>
  </si>
  <si>
    <t>0083ICS0020</t>
  </si>
  <si>
    <t>MSBU516228 /6</t>
  </si>
  <si>
    <t>KG685093</t>
  </si>
  <si>
    <t>MSMU545978 /7</t>
  </si>
  <si>
    <t>KG685094</t>
  </si>
  <si>
    <t>TCLU263893 /9</t>
  </si>
  <si>
    <t>KG685096</t>
  </si>
  <si>
    <t>TRHU 864 899 /8</t>
  </si>
  <si>
    <t>KG685091</t>
  </si>
  <si>
    <t>0380ICS0031</t>
  </si>
  <si>
    <t>HMMU437539 /2</t>
  </si>
  <si>
    <t>25H1381151</t>
  </si>
  <si>
    <t>1/2</t>
  </si>
  <si>
    <t>0081ICS0119</t>
  </si>
  <si>
    <t>MSCU548664 /8</t>
  </si>
  <si>
    <t>0081ICS0155</t>
  </si>
  <si>
    <t>MSMU922668 /0</t>
  </si>
  <si>
    <t>FJ27211605</t>
  </si>
  <si>
    <t>00402ICS0115</t>
  </si>
  <si>
    <t>CMAU369780 /3</t>
  </si>
  <si>
    <t>ELOGIS000126</t>
  </si>
  <si>
    <t>0369ICS0043</t>
  </si>
  <si>
    <t>FFAU670430 /8</t>
  </si>
  <si>
    <t>CN5318408</t>
  </si>
  <si>
    <t>0072ICS0051</t>
  </si>
  <si>
    <t>MSNU371507 /6</t>
  </si>
  <si>
    <t>LG00206277</t>
  </si>
  <si>
    <t>00402ICS0030</t>
  </si>
  <si>
    <t>ECMU663924 /9</t>
  </si>
  <si>
    <t>FLAT</t>
  </si>
  <si>
    <t>ECMU664302 /2</t>
  </si>
  <si>
    <t>TRIU081904V/3</t>
  </si>
  <si>
    <t>TRIU083348 /4</t>
  </si>
  <si>
    <t>0083ICS0012</t>
  </si>
  <si>
    <t>BMOU480435 /4</t>
  </si>
  <si>
    <t>MSNU726467 /0</t>
  </si>
  <si>
    <t>00369ICS0207</t>
  </si>
  <si>
    <t>MRSU536454 /7</t>
  </si>
  <si>
    <t>CN6337817</t>
  </si>
  <si>
    <t>2/2</t>
  </si>
  <si>
    <t>02065-587-31</t>
  </si>
  <si>
    <t>00020-507-31</t>
  </si>
  <si>
    <t>MSBU172611 /3</t>
  </si>
  <si>
    <t>Date</t>
  </si>
  <si>
    <t>00634-509-31</t>
  </si>
  <si>
    <t>TCNU999465 /1</t>
  </si>
  <si>
    <t>CMAU687016 /8</t>
  </si>
  <si>
    <t>SEGU587635 /6</t>
  </si>
  <si>
    <t>HMMU605626 /5</t>
  </si>
  <si>
    <t>VIDE</t>
  </si>
  <si>
    <t>CAIU449713 /4</t>
  </si>
  <si>
    <t>FJ19647907</t>
  </si>
  <si>
    <t>FJ19647909</t>
  </si>
  <si>
    <t>MSDU597111 /7</t>
  </si>
  <si>
    <t>FJ19647904</t>
  </si>
  <si>
    <t>MSMU85191 /3</t>
  </si>
  <si>
    <t>FJ19647906</t>
  </si>
  <si>
    <t>MSNU913023 /7</t>
  </si>
  <si>
    <t>FJ19647910</t>
  </si>
  <si>
    <t>TRHU792640 /9</t>
  </si>
  <si>
    <t>FJ19647908</t>
  </si>
  <si>
    <t>UETU676536 /5</t>
  </si>
  <si>
    <t>FJ19647905</t>
  </si>
  <si>
    <t>MSDU807381 /0</t>
  </si>
  <si>
    <t>MSNU516297 /7</t>
  </si>
  <si>
    <t>0085ICS0038</t>
  </si>
  <si>
    <t>0085ICS0014</t>
  </si>
  <si>
    <t>0081ICS0057</t>
  </si>
  <si>
    <t>MRKU332531 /7</t>
  </si>
  <si>
    <t>SUDU698880 /7</t>
  </si>
  <si>
    <t>TRHU763561 /4</t>
  </si>
  <si>
    <t>FX44434489</t>
  </si>
  <si>
    <t>ML-CN6153407</t>
  </si>
  <si>
    <t>ML-CN6153428</t>
  </si>
  <si>
    <t>00440-504-31</t>
  </si>
  <si>
    <t>00139-513-31</t>
  </si>
  <si>
    <t>SEGU587835 /6</t>
  </si>
  <si>
    <t>TCKU693680 /5</t>
  </si>
  <si>
    <t>TCLU524573 /0</t>
  </si>
  <si>
    <t>L7031848</t>
  </si>
  <si>
    <t>B1817711</t>
  </si>
  <si>
    <t>B1817720</t>
  </si>
  <si>
    <t>B1817714</t>
  </si>
  <si>
    <t>B1817707</t>
  </si>
  <si>
    <t>B1817608</t>
  </si>
  <si>
    <t>B1817604</t>
  </si>
  <si>
    <t>B1817607</t>
  </si>
  <si>
    <t>B1817710</t>
  </si>
  <si>
    <t>B1817706</t>
  </si>
  <si>
    <t>B1817713</t>
  </si>
  <si>
    <t>B1817603</t>
  </si>
  <si>
    <t>B1817702</t>
  </si>
  <si>
    <t>B1817709</t>
  </si>
  <si>
    <t>B1817701</t>
  </si>
  <si>
    <t>B1817704</t>
  </si>
  <si>
    <t>B1817703</t>
  </si>
  <si>
    <t>B1817716</t>
  </si>
  <si>
    <t>B1817712</t>
  </si>
  <si>
    <t>ARKU8306976</t>
  </si>
  <si>
    <t>B1817717</t>
  </si>
  <si>
    <t>B1817708</t>
  </si>
  <si>
    <t>B1817610</t>
  </si>
  <si>
    <t>B1817605</t>
  </si>
  <si>
    <t>00183-524-31</t>
  </si>
  <si>
    <t xml:space="preserve"> </t>
  </si>
  <si>
    <t>0090ICS0179-0001</t>
  </si>
  <si>
    <t>0090ICS0179-0002</t>
  </si>
  <si>
    <t>0090ICS0179-0003</t>
  </si>
  <si>
    <t>0090ICS0179-0004</t>
  </si>
  <si>
    <t>0090ICS180-0001</t>
  </si>
  <si>
    <t>0090ICS180-0002</t>
  </si>
  <si>
    <t>0090ICS180-0003</t>
  </si>
  <si>
    <t>0090ICS180-0004</t>
  </si>
  <si>
    <t>400ICS0036-0001</t>
  </si>
  <si>
    <t>400ICS0036-0002</t>
  </si>
  <si>
    <t>400ICS0035-0001</t>
  </si>
  <si>
    <t>400ICS0035-0002</t>
  </si>
  <si>
    <t>400ICS0041-0001</t>
  </si>
  <si>
    <t>400ICS0041-0002</t>
  </si>
  <si>
    <t>400ICS0041-0003</t>
  </si>
  <si>
    <t>400ICS0041-0004</t>
  </si>
  <si>
    <t>M5176915</t>
  </si>
  <si>
    <t>M8314725</t>
  </si>
  <si>
    <t>M8098826</t>
  </si>
  <si>
    <t>M8803623</t>
  </si>
  <si>
    <t>M8801870</t>
  </si>
  <si>
    <t>M8803451</t>
  </si>
  <si>
    <t>M8096127</t>
  </si>
  <si>
    <t>M8096110</t>
  </si>
  <si>
    <t>M8096204</t>
  </si>
  <si>
    <t>M8096072</t>
  </si>
  <si>
    <t>M8801715</t>
  </si>
  <si>
    <t>M8096170</t>
  </si>
  <si>
    <t>M8096063</t>
  </si>
  <si>
    <t>M8314744</t>
  </si>
  <si>
    <t>M8098945</t>
  </si>
  <si>
    <t>M8801677</t>
  </si>
  <si>
    <t>M8098857</t>
  </si>
  <si>
    <t>M8096156</t>
  </si>
  <si>
    <t>M8798566</t>
  </si>
  <si>
    <t>M8314642</t>
  </si>
  <si>
    <t>M8803420</t>
  </si>
  <si>
    <t>M8801885</t>
  </si>
  <si>
    <t>HLD2681836</t>
  </si>
  <si>
    <t>129ICS0173</t>
  </si>
  <si>
    <t>129ICS0053</t>
  </si>
  <si>
    <t>129ICS0283</t>
  </si>
  <si>
    <t>CNEU451134 /3</t>
  </si>
  <si>
    <t>CNEU451268 /0</t>
  </si>
  <si>
    <t>TDRU102072 /3</t>
  </si>
  <si>
    <t>B2413872</t>
  </si>
  <si>
    <t>B2413923</t>
  </si>
  <si>
    <t>B2421435</t>
  </si>
  <si>
    <t>FJ26674934</t>
  </si>
  <si>
    <t>CMAU022946 /0</t>
  </si>
  <si>
    <t>00616-503-46</t>
  </si>
  <si>
    <t>00045-506-46</t>
  </si>
  <si>
    <t>FCIU306003 /3</t>
  </si>
  <si>
    <t>00397-503-31</t>
  </si>
  <si>
    <t>ECMU538854 /0</t>
  </si>
  <si>
    <t>094ICS0138  /4</t>
  </si>
  <si>
    <t>LB3762--841488</t>
  </si>
  <si>
    <t>LLV--XS--22543</t>
  </si>
  <si>
    <t>LB3762--841500</t>
  </si>
  <si>
    <t>LIVAN</t>
  </si>
  <si>
    <t>00177-512-31</t>
  </si>
  <si>
    <t>00436-509-31</t>
  </si>
  <si>
    <t>HMMU905523 /6</t>
  </si>
  <si>
    <t>01391-590-31</t>
  </si>
  <si>
    <t>LB3762---X612489</t>
  </si>
  <si>
    <t>GEELY EMGR</t>
  </si>
  <si>
    <t>LB3762---X624174</t>
  </si>
  <si>
    <t>LB3782----RB027979</t>
  </si>
  <si>
    <t>GEELY BOY</t>
  </si>
  <si>
    <t>HMMU902388 /2</t>
  </si>
  <si>
    <t>HMMU906728 /4</t>
  </si>
  <si>
    <t>50001-505-31</t>
  </si>
  <si>
    <t>000103-514-13</t>
  </si>
  <si>
    <t>00546-510-31</t>
  </si>
  <si>
    <t xml:space="preserve">TIGUAN </t>
  </si>
  <si>
    <t>LSVY460---2089464</t>
  </si>
  <si>
    <t>TRLU758317 /0</t>
  </si>
  <si>
    <t>FX46390025</t>
  </si>
  <si>
    <t>002296-508-16</t>
  </si>
  <si>
    <t>00780-508-16</t>
  </si>
  <si>
    <t>000355-514-35</t>
  </si>
  <si>
    <t>002587-510-16</t>
  </si>
  <si>
    <t>M5138037</t>
  </si>
  <si>
    <t>000349-509-35</t>
  </si>
  <si>
    <t>DFSU723583 /9</t>
  </si>
  <si>
    <t>M8842227</t>
  </si>
  <si>
    <t>FCIU409524 /1</t>
  </si>
  <si>
    <t>M8097350</t>
  </si>
  <si>
    <t>00359-515-31</t>
  </si>
  <si>
    <t>00036-520-31</t>
  </si>
  <si>
    <t>00015-517-31</t>
  </si>
  <si>
    <t>00161-509-31</t>
  </si>
  <si>
    <t>00020-520-31</t>
  </si>
  <si>
    <t>00426-510-31</t>
  </si>
  <si>
    <t>00303-517-31</t>
  </si>
  <si>
    <t>G0329225</t>
  </si>
  <si>
    <t>G0329227</t>
  </si>
  <si>
    <t>G0329763</t>
  </si>
  <si>
    <t>G0329224</t>
  </si>
  <si>
    <t>G0329228</t>
  </si>
  <si>
    <t>G039765</t>
  </si>
  <si>
    <t>G0329762</t>
  </si>
  <si>
    <t>G0322498</t>
  </si>
  <si>
    <t>TLLU438973 /0</t>
  </si>
  <si>
    <t>TGBU709287 /4</t>
  </si>
  <si>
    <t>CMAU951622 /4</t>
  </si>
  <si>
    <t>SEKU566632 /8</t>
  </si>
  <si>
    <t>TCNU111354 /6</t>
  </si>
  <si>
    <t>SEKU566988 /3</t>
  </si>
  <si>
    <t>FFAU494559 /0</t>
  </si>
  <si>
    <t>SEGU422145 /7</t>
  </si>
  <si>
    <t>M8733025</t>
  </si>
  <si>
    <t xml:space="preserve">M9775850 </t>
  </si>
  <si>
    <t xml:space="preserve">0461ICS0222 </t>
  </si>
  <si>
    <t>00701-509-31</t>
  </si>
  <si>
    <t>02255-585-31</t>
  </si>
  <si>
    <t>00108-515-31</t>
  </si>
  <si>
    <t>00068-515-31</t>
  </si>
  <si>
    <t>FFAU186123 /8</t>
  </si>
  <si>
    <t>ARKU855709 /8</t>
  </si>
  <si>
    <t>ARKU853517 /0</t>
  </si>
  <si>
    <t>TCNU648361 /6</t>
  </si>
  <si>
    <t>ARKU848063 /2</t>
  </si>
  <si>
    <t>00400-516-31</t>
  </si>
  <si>
    <t>00358-511-31</t>
  </si>
  <si>
    <t>ARKU848127 /0</t>
  </si>
  <si>
    <t>ARKU854125 /5</t>
  </si>
  <si>
    <t>00066-515-31</t>
  </si>
  <si>
    <t>00371-511-31</t>
  </si>
  <si>
    <t>000-91-511-31</t>
  </si>
  <si>
    <t>ARKU836347 /2</t>
  </si>
  <si>
    <t>ARKU849386 /1</t>
  </si>
  <si>
    <t>ARKU854007 /4</t>
  </si>
  <si>
    <t>ARKU855647 /1</t>
  </si>
  <si>
    <t>00133-515-31</t>
  </si>
  <si>
    <t>00005-511-31</t>
  </si>
  <si>
    <t>00546-509-31</t>
  </si>
  <si>
    <t>00463-509-31</t>
  </si>
  <si>
    <t>00372-511-31</t>
  </si>
  <si>
    <t>00384-507-31</t>
  </si>
  <si>
    <t>00533-508-31</t>
  </si>
  <si>
    <t>00457-510-31</t>
  </si>
  <si>
    <t xml:space="preserve"> 00143-511-31</t>
  </si>
  <si>
    <t>000695-518-16</t>
  </si>
  <si>
    <t>CV 000126</t>
  </si>
  <si>
    <t>LB37---TX803831</t>
  </si>
  <si>
    <t>LB37---SX851686</t>
  </si>
  <si>
    <t>LB37---SX851675</t>
  </si>
  <si>
    <t>LB37---TX804425</t>
  </si>
  <si>
    <t>LB37---TX803549</t>
  </si>
  <si>
    <t>LB37---TX803426</t>
  </si>
  <si>
    <t>LB37---TX803586</t>
  </si>
  <si>
    <t>LB37---TX801556</t>
  </si>
  <si>
    <t>ARKU839751 /2</t>
  </si>
  <si>
    <t>ARKU842490 /0</t>
  </si>
  <si>
    <t>ARKU844906 /7</t>
  </si>
  <si>
    <t>ARKU845462 /8</t>
  </si>
  <si>
    <t>ARKU856690 /5</t>
  </si>
  <si>
    <t>DRYU913819 /0</t>
  </si>
  <si>
    <t>DRYU962778 /2</t>
  </si>
  <si>
    <t>TCNU646174 /6</t>
  </si>
  <si>
    <t>ARKU830587 /7</t>
  </si>
  <si>
    <t>ARKU830697 /6</t>
  </si>
  <si>
    <t>ARKU832040 /2</t>
  </si>
  <si>
    <t>ARKU834573 /5</t>
  </si>
  <si>
    <t>00094-511-31</t>
  </si>
  <si>
    <t>TC</t>
  </si>
  <si>
    <t>BLTU211 703 /6</t>
  </si>
  <si>
    <t>NLLU200463 /9</t>
  </si>
  <si>
    <t>00067-515-31</t>
  </si>
  <si>
    <t>00385-516-31</t>
  </si>
  <si>
    <t>KOCU444962 /9</t>
  </si>
  <si>
    <t>MSMU709369 /7</t>
  </si>
  <si>
    <t>MSNU770695 /6</t>
  </si>
  <si>
    <t>25H1283786</t>
  </si>
  <si>
    <t>FJ27472011</t>
  </si>
  <si>
    <t>FJ27188416</t>
  </si>
  <si>
    <t>0090ICS0255</t>
  </si>
  <si>
    <t xml:space="preserve">00400ICS0009 </t>
  </si>
  <si>
    <t>00693-509-31</t>
  </si>
  <si>
    <t>HMMU634396 /4</t>
  </si>
  <si>
    <t>HMMU462640 /9</t>
  </si>
  <si>
    <t>011945-504-34</t>
  </si>
  <si>
    <t>00427-504-31</t>
  </si>
  <si>
    <t>SEKU444471 /1</t>
  </si>
  <si>
    <t>MRSU542442 /0</t>
  </si>
  <si>
    <t>FFAU305208 /4</t>
  </si>
  <si>
    <t>MRKU355546 /0</t>
  </si>
  <si>
    <t>MRSU331904 /5</t>
  </si>
  <si>
    <t>MRKU503755 /7</t>
  </si>
  <si>
    <t>MRKU660441 /8</t>
  </si>
  <si>
    <t>MRKU719113 /4</t>
  </si>
  <si>
    <t>MRSU723163 /0</t>
  </si>
  <si>
    <t>TGHU692335 /8</t>
  </si>
  <si>
    <t>ML-CN6393039</t>
  </si>
  <si>
    <t>ML-CN6393033</t>
  </si>
  <si>
    <t>HB368401</t>
  </si>
  <si>
    <t>ML-CN7825456</t>
  </si>
  <si>
    <t>ML-CN7825573</t>
  </si>
  <si>
    <t>ML-CN6216316</t>
  </si>
  <si>
    <t>ML-CN4852480</t>
  </si>
  <si>
    <t>ML-CN4852491</t>
  </si>
  <si>
    <t>ML-CN2470218</t>
  </si>
  <si>
    <t>ML-CN3206831</t>
  </si>
  <si>
    <t>00049ICS0053</t>
  </si>
  <si>
    <t>0049ICS0062</t>
  </si>
  <si>
    <t>0091ICS0031</t>
  </si>
  <si>
    <t>0049ICS0106</t>
  </si>
  <si>
    <t>00491CS0124</t>
  </si>
  <si>
    <t>0049ICS0140</t>
  </si>
  <si>
    <t>0049ICS0151</t>
  </si>
  <si>
    <t>00188-513-31</t>
  </si>
  <si>
    <t>TC Sortis
VIDE</t>
  </si>
  <si>
    <t xml:space="preserve">0094ICS0164 </t>
  </si>
  <si>
    <t>FJ27816923</t>
  </si>
  <si>
    <t>0094ICS0079</t>
  </si>
  <si>
    <t>FX46376357</t>
  </si>
  <si>
    <t>00245-514-31</t>
  </si>
  <si>
    <t>00296-515-31</t>
  </si>
  <si>
    <t>00554-514-31</t>
  </si>
  <si>
    <t>00299-513-31</t>
  </si>
  <si>
    <t>00515ICS0023 /4</t>
  </si>
  <si>
    <t>M9155713</t>
  </si>
  <si>
    <t>TDRU461667 /6</t>
  </si>
  <si>
    <t>LB0232420</t>
  </si>
  <si>
    <t>y</t>
  </si>
  <si>
    <t>TRHU606329 /0</t>
  </si>
  <si>
    <t>TGBU754937 /0</t>
  </si>
  <si>
    <t>CMAU596402 /5</t>
  </si>
  <si>
    <t>SEGU400772 /2</t>
  </si>
  <si>
    <t>GESU575475 /4</t>
  </si>
  <si>
    <t>TEXU895077 /6</t>
  </si>
  <si>
    <t>ECMU809626 /4</t>
  </si>
  <si>
    <t>TCKU997977 /6</t>
  </si>
  <si>
    <t xml:space="preserve">MEDU744845 /3 </t>
  </si>
  <si>
    <t>CAIU763401 /4</t>
  </si>
  <si>
    <t>02053-587-31</t>
  </si>
  <si>
    <t>TLLU202937 /6</t>
  </si>
  <si>
    <t>M4602286</t>
  </si>
  <si>
    <t>TTNU529736 /9</t>
  </si>
  <si>
    <t>FX45356147</t>
  </si>
  <si>
    <t>MSBU680032 /2</t>
  </si>
  <si>
    <t>MSMU885191 /3</t>
  </si>
  <si>
    <t>02175-588-31</t>
  </si>
  <si>
    <t>03055-586-05</t>
  </si>
  <si>
    <t>04510-584-05</t>
  </si>
  <si>
    <t>00508-513-31</t>
  </si>
  <si>
    <t>00406-505-31</t>
  </si>
  <si>
    <t>007711-594-28</t>
  </si>
  <si>
    <t>000106-512-05</t>
  </si>
  <si>
    <t>LB37-RB027979</t>
  </si>
  <si>
    <t>LB37-PX624174</t>
  </si>
  <si>
    <t>LB37-PX612489</t>
  </si>
  <si>
    <t>00100ICS0090</t>
  </si>
  <si>
    <t>DRYU939251 /7</t>
  </si>
  <si>
    <t>LG00557484</t>
  </si>
  <si>
    <t>FDCU009891 /5</t>
  </si>
  <si>
    <t>LG00557480</t>
  </si>
  <si>
    <t>00161ICS0039</t>
  </si>
  <si>
    <t xml:space="preserve">FFAU519002 /0 </t>
  </si>
  <si>
    <t>MSBU531205 /1</t>
  </si>
  <si>
    <t>00037-517-31</t>
  </si>
  <si>
    <t>LB3762--800155</t>
  </si>
  <si>
    <t>LB3762--800156</t>
  </si>
  <si>
    <t>LB3762--800305</t>
  </si>
  <si>
    <t>LB3762--800493</t>
  </si>
  <si>
    <t>INKU631078 /8</t>
  </si>
  <si>
    <t>CN4478941</t>
  </si>
  <si>
    <t xml:space="preserve">CAXU980455 /4 </t>
  </si>
  <si>
    <t>LB0263348</t>
  </si>
  <si>
    <t>HPCU401947 /9</t>
  </si>
  <si>
    <t>LB0263349</t>
  </si>
  <si>
    <t>LCGU800158 /0</t>
  </si>
  <si>
    <t>LB0263393</t>
  </si>
  <si>
    <t xml:space="preserve">TRHU306828 /2 </t>
  </si>
  <si>
    <t>CN2729087</t>
  </si>
  <si>
    <t>TCLU977933 /2</t>
  </si>
  <si>
    <t xml:space="preserve">M9155713 </t>
  </si>
  <si>
    <t>TCLU188522 /0</t>
  </si>
  <si>
    <t>M9147252</t>
  </si>
  <si>
    <t>BMOU561208 /4</t>
  </si>
  <si>
    <t>M2054210</t>
  </si>
  <si>
    <t>ECMU489993 /0</t>
  </si>
  <si>
    <t xml:space="preserve">M1855651 </t>
  </si>
  <si>
    <t>SEKU622422 /8</t>
  </si>
  <si>
    <t xml:space="preserve">L7765668 </t>
  </si>
  <si>
    <t>TCNU393420 /7</t>
  </si>
  <si>
    <t xml:space="preserve">M1855663 </t>
  </si>
  <si>
    <t>TCNU569113 /2</t>
  </si>
  <si>
    <t xml:space="preserve">M1855656 </t>
  </si>
  <si>
    <t>TCNU578406 /6</t>
  </si>
  <si>
    <t xml:space="preserve">M1855653 </t>
  </si>
  <si>
    <t>TLLU893965 /0</t>
  </si>
  <si>
    <t>M1855654</t>
  </si>
  <si>
    <t>00174ICS0113 /4</t>
  </si>
  <si>
    <t>00174ICS0114 /4</t>
  </si>
  <si>
    <t xml:space="preserve">00504ICS0073 </t>
  </si>
  <si>
    <t>0054ICS0048</t>
  </si>
  <si>
    <t>0030ICS0023</t>
  </si>
  <si>
    <t>0054ICS0010</t>
  </si>
  <si>
    <t>00439-513-31</t>
  </si>
  <si>
    <t>00022-516-46</t>
  </si>
  <si>
    <t>00543-510-31</t>
  </si>
  <si>
    <t>00689-509-31</t>
  </si>
  <si>
    <t>ML-CN4925144</t>
  </si>
  <si>
    <t>MRSU426341 /8</t>
  </si>
  <si>
    <t>00090-508-16</t>
  </si>
  <si>
    <t>00206-504-27</t>
  </si>
  <si>
    <t>02512-515-27</t>
  </si>
  <si>
    <t>01696-504-27</t>
  </si>
  <si>
    <t>00356-516-31</t>
  </si>
  <si>
    <t>TLUU202937 /6</t>
  </si>
  <si>
    <t>Date V</t>
  </si>
  <si>
    <t>MSMU625103 /6</t>
  </si>
  <si>
    <t>CMAU877794 /3</t>
  </si>
  <si>
    <t>TCKU 997977 /6</t>
  </si>
  <si>
    <t>M9775850</t>
  </si>
  <si>
    <t>BLTU2117036</t>
  </si>
  <si>
    <t>LB0266283</t>
  </si>
  <si>
    <t>NLLU2004639</t>
  </si>
  <si>
    <t>LB0266286</t>
  </si>
  <si>
    <t>00174-516-31</t>
  </si>
  <si>
    <t>TDRU909110 /6</t>
  </si>
  <si>
    <t>LB0232359</t>
  </si>
  <si>
    <t>CAAU623335 /4</t>
  </si>
  <si>
    <t>APHU738346 /4</t>
  </si>
  <si>
    <t>APZU445159 /4</t>
  </si>
  <si>
    <t>BMOU643970 /7</t>
  </si>
  <si>
    <t>CAAU835917 /2</t>
  </si>
  <si>
    <t>CMAU360083 /1</t>
  </si>
  <si>
    <t>CMAU654785 /4</t>
  </si>
  <si>
    <t>FSCU714396 /0</t>
  </si>
  <si>
    <t>GAOU683187 /2</t>
  </si>
  <si>
    <t>GESU657116 /7</t>
  </si>
  <si>
    <t>HPCU472969 /7</t>
  </si>
  <si>
    <t>SEGU538785 /9</t>
  </si>
  <si>
    <t>TCKU411038 /9</t>
  </si>
  <si>
    <t>TCLU151445 /0</t>
  </si>
  <si>
    <t>TCLU429361 /0</t>
  </si>
  <si>
    <t>TCLU978302 /9</t>
  </si>
  <si>
    <t>TCNU469131 /2</t>
  </si>
  <si>
    <t>TCNU613965 /8</t>
  </si>
  <si>
    <t>TRHU720519 /3</t>
  </si>
  <si>
    <t>CXDU168050 /0</t>
  </si>
  <si>
    <t>CXDU134311 /3</t>
  </si>
  <si>
    <t>CRSU928503 /0</t>
  </si>
  <si>
    <t>CAXU959721 /0</t>
  </si>
  <si>
    <t>CAIU819501 /9</t>
  </si>
  <si>
    <t>CAIU818783 /6</t>
  </si>
  <si>
    <t>TRHU826611 /0</t>
  </si>
  <si>
    <t>FCGU198565 /0</t>
  </si>
  <si>
    <t>GESU661177 /9</t>
  </si>
  <si>
    <t>HJMU133346 /2</t>
  </si>
  <si>
    <t>HJMU152689 /9</t>
  </si>
  <si>
    <t>SEGU466432 /6</t>
  </si>
  <si>
    <t>TCNU646691 /7</t>
  </si>
  <si>
    <t>TGHU694661 /0</t>
  </si>
  <si>
    <t>TOLU878955 /6</t>
  </si>
  <si>
    <t>TC Réceptionnés</t>
  </si>
  <si>
    <t>TC Sortis</t>
  </si>
  <si>
    <t>Total Mouvements</t>
  </si>
  <si>
    <t>Total</t>
  </si>
  <si>
    <t xml:space="preserve">Date V </t>
  </si>
  <si>
    <t>GROUPAGE</t>
  </si>
  <si>
    <t>Depotage</t>
  </si>
  <si>
    <t>MAGU572975 /1</t>
  </si>
  <si>
    <t>M8096071</t>
  </si>
  <si>
    <t>MSBU642243 /0</t>
  </si>
  <si>
    <t>LB37-SX841523</t>
  </si>
  <si>
    <t>GELLY COOLR</t>
  </si>
  <si>
    <t>GELLY BOY</t>
  </si>
  <si>
    <t>GELLY EMGR</t>
  </si>
  <si>
    <t>V-H-</t>
  </si>
  <si>
    <t>MSKU100022 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</si>
</sst>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&quot;/&quot;##&quot;/&quot;####"/>
    <numFmt numFmtId="165" formatCode="yyyy\-mm\-dd;@"/>
    <numFmt numFmtId="166" formatCode="m/d/yyyy;@"/>
  </numFmts>
  <fonts count="22" x14ac:knownFonts="1">
    <font>
      <sz val="11"/>
      <name val="Calibri"/>
    </font>
    <font>
      <sz val="10"/>
      <name val="Calibri"/>
      <family val="2"/>
    </font>
    <font>
      <b/>
      <sz val="10"/>
      <color rgb="FF2C3E50"/>
      <name val="Segoe UI"/>
      <family val="2"/>
    </font>
    <font>
      <b/>
      <sz val="10"/>
      <color rgb="FFFFFFFF"/>
      <name val="Segoe UI"/>
      <family val="2"/>
    </font>
    <font>
      <sz val="10"/>
      <color rgb="FF334155"/>
      <name val="Segoe UI"/>
      <family val="2"/>
    </font>
    <font>
      <b/>
      <sz val="12"/>
      <name val="Calibri"/>
      <family val="2"/>
    </font>
    <font>
      <i/>
      <sz val="10"/>
      <name val="Calibri"/>
      <family val="2"/>
    </font>
    <font>
      <b/>
      <sz val="16"/>
      <name val="Segoe UI"/>
      <family val="2"/>
    </font>
    <font>
      <b/>
      <sz val="11"/>
      <name val="Calibri"/>
      <family val="2"/>
    </font>
    <font>
      <sz val="10"/>
      <name val="Segoe UI"/>
      <family val="2"/>
    </font>
    <font>
      <b/>
      <sz val="16"/>
      <name val="Calibri"/>
      <family val="2"/>
    </font>
    <font>
      <b/>
      <sz val="10"/>
      <name val="Segoe UI"/>
      <family val="2"/>
    </font>
    <font>
      <sz val="8"/>
      <name val="Calibri"/>
      <family val="2"/>
    </font>
    <font>
      <sz val="10"/>
      <color rgb="FF000000"/>
      <name val="Segoe UI"/>
      <family val="2"/>
    </font>
    <font>
      <sz val="10"/>
      <name val="Arial"/>
      <family val="2"/>
    </font>
    <font>
      <sz val="10"/>
      <color theme="1"/>
      <name val="Segoe UI"/>
      <family val="2"/>
    </font>
    <font>
      <sz val="8"/>
      <name val="Calibri"/>
      <family val="2"/>
    </font>
    <font>
      <sz val="8"/>
      <name val="Calibri"/>
      <family val="2"/>
    </font>
    <font>
      <b/>
      <sz val="11"/>
      <color rgb="FFFFFFFF"/>
      <name val="Segoe UI"/>
      <family val="2"/>
    </font>
    <font>
      <b/>
      <sz val="10"/>
      <color rgb="FF1A1A1A"/>
      <name val="Segoe UI"/>
      <family val="2"/>
    </font>
    <font>
      <b/>
      <sz val="11"/>
      <color rgb="FF2C3E50"/>
      <name val="Segoe UI"/>
      <family val="2"/>
    </font>
    <font>
      <b/>
      <sz val="14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D0000"/>
        <bgColor rgb="FF2C3E50"/>
      </patternFill>
    </fill>
    <fill>
      <patternFill patternType="solid">
        <fgColor rgb="FFFFC000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F8F9F9"/>
        <bgColor rgb="FFF8F9F9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4" fillId="0" borderId="0"/>
  </cellStyleXfs>
  <cellXfs count="1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4" fontId="5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/>
    </xf>
    <xf numFmtId="0" fontId="3" fillId="2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5" fillId="0" borderId="0" xfId="0" applyFont="1">
      <alignment vertical="center"/>
    </xf>
    <xf numFmtId="0" fontId="4" fillId="0" borderId="16" xfId="0" applyFont="1" applyBorder="1" applyAlignment="1">
      <alignment horizontal="center"/>
    </xf>
    <xf numFmtId="14" fontId="8" fillId="0" borderId="0" xfId="0" applyNumberFormat="1" applyFont="1" applyAlignment="1">
      <alignment horizontal="center" vertical="center"/>
    </xf>
    <xf numFmtId="164" fontId="4" fillId="0" borderId="6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4" fontId="4" fillId="0" borderId="20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0" xfId="0" quotePrefix="1" applyFont="1" applyBorder="1" applyAlignment="1">
      <alignment horizontal="center"/>
    </xf>
    <xf numFmtId="164" fontId="4" fillId="0" borderId="19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14" fontId="9" fillId="0" borderId="22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5" xfId="0" quotePrefix="1" applyFont="1" applyBorder="1" applyAlignment="1">
      <alignment horizontal="center"/>
    </xf>
    <xf numFmtId="0" fontId="9" fillId="3" borderId="19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10" fillId="0" borderId="0" xfId="0" quotePrefix="1" applyFont="1" applyAlignment="1">
      <alignment horizontal="right" vertical="center"/>
    </xf>
    <xf numFmtId="14" fontId="9" fillId="4" borderId="22" xfId="0" applyNumberFormat="1" applyFont="1" applyFill="1" applyBorder="1" applyAlignment="1">
      <alignment horizontal="center"/>
    </xf>
    <xf numFmtId="14" fontId="9" fillId="4" borderId="5" xfId="0" applyNumberFormat="1" applyFont="1" applyFill="1" applyBorder="1" applyAlignment="1">
      <alignment horizontal="center"/>
    </xf>
    <xf numFmtId="14" fontId="11" fillId="3" borderId="5" xfId="0" applyNumberFormat="1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64" fontId="4" fillId="5" borderId="6" xfId="0" applyNumberFormat="1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4" fontId="5" fillId="0" borderId="5" xfId="0" applyNumberFormat="1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164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9" fillId="0" borderId="5" xfId="0" applyFont="1" applyBorder="1">
      <alignment vertical="center"/>
    </xf>
    <xf numFmtId="14" fontId="9" fillId="0" borderId="6" xfId="0" applyNumberFormat="1" applyFont="1" applyBorder="1" applyAlignment="1">
      <alignment horizontal="center"/>
    </xf>
    <xf numFmtId="14" fontId="5" fillId="0" borderId="8" xfId="0" applyNumberFormat="1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9" fillId="0" borderId="1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14" fontId="9" fillId="0" borderId="16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0" fillId="0" borderId="0" xfId="0" applyAlignment="1"/>
    <xf numFmtId="0" fontId="18" fillId="8" borderId="33" xfId="0" applyFont="1" applyFill="1" applyBorder="1" applyAlignment="1">
      <alignment horizontal="center" vertical="center" wrapText="1"/>
    </xf>
    <xf numFmtId="3" fontId="20" fillId="10" borderId="33" xfId="0" applyNumberFormat="1" applyFont="1" applyFill="1" applyBorder="1" applyAlignment="1">
      <alignment horizontal="center" vertical="center"/>
    </xf>
    <xf numFmtId="3" fontId="18" fillId="8" borderId="33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9" fillId="0" borderId="6" xfId="0" applyFont="1" applyBorder="1">
      <alignment vertical="center"/>
    </xf>
    <xf numFmtId="14" fontId="9" fillId="0" borderId="34" xfId="0" applyNumberFormat="1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5" fillId="7" borderId="0" xfId="0" applyFont="1" applyFill="1">
      <alignment vertical="center"/>
    </xf>
    <xf numFmtId="3" fontId="19" fillId="11" borderId="33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center"/>
    </xf>
    <xf numFmtId="0" fontId="21" fillId="7" borderId="0" xfId="0" applyFont="1" applyFill="1">
      <alignment vertical="center"/>
    </xf>
    <xf numFmtId="0" fontId="21" fillId="7" borderId="0" xfId="0" applyFont="1" applyFill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5" fillId="0" borderId="5" xfId="0" applyFont="1" applyBorder="1">
      <alignment vertical="center"/>
    </xf>
    <xf numFmtId="14" fontId="9" fillId="0" borderId="6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0" fillId="7" borderId="0" xfId="0" applyFill="1" applyAlignment="1"/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0" borderId="6" xfId="0" quotePrefix="1" applyFont="1" applyBorder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65" fontId="19" fillId="9" borderId="33" xfId="0" applyNumberFormat="1" applyFont="1" applyFill="1" applyBorder="1" applyAlignment="1">
      <alignment horizontal="center" vertical="center"/>
    </xf>
    <xf numFmtId="165" fontId="19" fillId="0" borderId="33" xfId="0" applyNumberFormat="1" applyFont="1" applyBorder="1" applyAlignment="1">
      <alignment horizontal="center" vertical="center"/>
    </xf>
    <xf numFmtId="165" fontId="19" fillId="9" borderId="33" xfId="0" quotePrefix="1" applyNumberFormat="1" applyFont="1" applyFill="1" applyBorder="1" applyAlignment="1">
      <alignment horizontal="center" vertical="center"/>
    </xf>
    <xf numFmtId="164" fontId="4" fillId="12" borderId="6" xfId="0" applyNumberFormat="1" applyFont="1" applyFill="1" applyBorder="1" applyAlignment="1">
      <alignment horizontal="center"/>
    </xf>
    <xf numFmtId="164" fontId="4" fillId="12" borderId="5" xfId="0" applyNumberFormat="1" applyFont="1" applyFill="1" applyBorder="1" applyAlignment="1">
      <alignment horizontal="center"/>
    </xf>
    <xf numFmtId="14" fontId="1" fillId="0" borderId="0" xfId="0" applyNumberFormat="1" applyFont="1">
      <alignment vertical="center"/>
    </xf>
    <xf numFmtId="166" fontId="1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</cellXfs>
  <cellStyles count="2">
    <cellStyle name="Normal" xfId="0" builtinId="0"/>
    <cellStyle name="Normal 2" xfId="1" xr:uid="{7644BD29-EF21-49B4-8A0F-15A5F48C52FD}"/>
  </cellStyles>
  <dxfs count="19"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www.wps.cn/officeDocument/2020/cellImage" Target="NUL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172720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638AD22B-1304-4DFD-A0D0-FA655DC15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704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19050</xdr:rowOff>
    </xdr:from>
    <xdr:to>
      <xdr:col>6</xdr:col>
      <xdr:colOff>9525</xdr:colOff>
      <xdr:row>16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20A90317-8357-456C-84A6-63BEA5DD1547}"/>
            </a:ext>
          </a:extLst>
        </xdr:cNvPr>
        <xdr:cNvCxnSpPr/>
      </xdr:nvCxnSpPr>
      <xdr:spPr>
        <a:xfrm>
          <a:off x="0" y="2295525"/>
          <a:ext cx="5572125" cy="1581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19050</xdr:rowOff>
    </xdr:from>
    <xdr:to>
      <xdr:col>6</xdr:col>
      <xdr:colOff>9525</xdr:colOff>
      <xdr:row>27</xdr:row>
      <xdr:rowOff>171450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839F0D20-3C98-4F83-8F28-7CFA73B61BA3}"/>
            </a:ext>
          </a:extLst>
        </xdr:cNvPr>
        <xdr:cNvCxnSpPr/>
      </xdr:nvCxnSpPr>
      <xdr:spPr>
        <a:xfrm>
          <a:off x="0" y="5695950"/>
          <a:ext cx="5572125" cy="552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38</xdr:row>
      <xdr:rowOff>19050</xdr:rowOff>
    </xdr:from>
    <xdr:to>
      <xdr:col>6</xdr:col>
      <xdr:colOff>0</xdr:colOff>
      <xdr:row>40</xdr:row>
      <xdr:rowOff>171450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AC7038B2-1133-4A43-B3B8-E15D14EF8D6C}"/>
            </a:ext>
          </a:extLst>
        </xdr:cNvPr>
        <xdr:cNvCxnSpPr/>
      </xdr:nvCxnSpPr>
      <xdr:spPr>
        <a:xfrm>
          <a:off x="9525" y="7867650"/>
          <a:ext cx="5553075" cy="552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19050</xdr:rowOff>
    </xdr:from>
    <xdr:to>
      <xdr:col>5</xdr:col>
      <xdr:colOff>914400</xdr:colOff>
      <xdr:row>15</xdr:row>
      <xdr:rowOff>161925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E53C35F1-79C6-43F6-A552-0C0C5D095429}"/>
            </a:ext>
          </a:extLst>
        </xdr:cNvPr>
        <xdr:cNvCxnSpPr/>
      </xdr:nvCxnSpPr>
      <xdr:spPr>
        <a:xfrm>
          <a:off x="0" y="3495675"/>
          <a:ext cx="5553075" cy="342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28575</xdr:rowOff>
    </xdr:from>
    <xdr:to>
      <xdr:col>6</xdr:col>
      <xdr:colOff>9525</xdr:colOff>
      <xdr:row>27</xdr:row>
      <xdr:rowOff>171450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340DE56F-88B4-4E92-A4A3-5FCF29D855CA}"/>
            </a:ext>
          </a:extLst>
        </xdr:cNvPr>
        <xdr:cNvCxnSpPr/>
      </xdr:nvCxnSpPr>
      <xdr:spPr>
        <a:xfrm>
          <a:off x="0" y="5105400"/>
          <a:ext cx="5572125" cy="1143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42</xdr:row>
      <xdr:rowOff>19050</xdr:rowOff>
    </xdr:from>
    <xdr:to>
      <xdr:col>6</xdr:col>
      <xdr:colOff>0</xdr:colOff>
      <xdr:row>43</xdr:row>
      <xdr:rowOff>171450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1ADB2A79-7056-4865-AB67-6FA352276985}"/>
            </a:ext>
          </a:extLst>
        </xdr:cNvPr>
        <xdr:cNvCxnSpPr/>
      </xdr:nvCxnSpPr>
      <xdr:spPr>
        <a:xfrm>
          <a:off x="38100" y="9067800"/>
          <a:ext cx="5524500" cy="352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172720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66C32E8-C1DC-4CA6-AECE-1CEF23CC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70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57</xdr:row>
      <xdr:rowOff>28575</xdr:rowOff>
    </xdr:from>
    <xdr:to>
      <xdr:col>6</xdr:col>
      <xdr:colOff>9525</xdr:colOff>
      <xdr:row>62</xdr:row>
      <xdr:rowOff>171450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7AC9DB4E-BE7F-4DD1-8486-593EC0AD0457}"/>
            </a:ext>
          </a:extLst>
        </xdr:cNvPr>
        <xdr:cNvCxnSpPr/>
      </xdr:nvCxnSpPr>
      <xdr:spPr>
        <a:xfrm>
          <a:off x="0" y="5105400"/>
          <a:ext cx="5572125" cy="1143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67</xdr:row>
      <xdr:rowOff>19050</xdr:rowOff>
    </xdr:from>
    <xdr:to>
      <xdr:col>6</xdr:col>
      <xdr:colOff>0</xdr:colOff>
      <xdr:row>68</xdr:row>
      <xdr:rowOff>171450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7991AA1A-5712-4DD9-A006-21FFFD8794C7}"/>
            </a:ext>
          </a:extLst>
        </xdr:cNvPr>
        <xdr:cNvCxnSpPr/>
      </xdr:nvCxnSpPr>
      <xdr:spPr>
        <a:xfrm>
          <a:off x="38100" y="9067800"/>
          <a:ext cx="5524500" cy="352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172720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548EB03C-F976-4AF4-8459-3B5C2F62D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70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21</xdr:row>
      <xdr:rowOff>19050</xdr:rowOff>
    </xdr:from>
    <xdr:to>
      <xdr:col>6</xdr:col>
      <xdr:colOff>9525</xdr:colOff>
      <xdr:row>27</xdr:row>
      <xdr:rowOff>171450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D38DA0ED-B144-4464-B309-CAB2AB49A51D}"/>
            </a:ext>
          </a:extLst>
        </xdr:cNvPr>
        <xdr:cNvCxnSpPr/>
      </xdr:nvCxnSpPr>
      <xdr:spPr>
        <a:xfrm>
          <a:off x="28575" y="4895850"/>
          <a:ext cx="5543550" cy="135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</xdr:row>
      <xdr:rowOff>28575</xdr:rowOff>
    </xdr:from>
    <xdr:to>
      <xdr:col>6</xdr:col>
      <xdr:colOff>0</xdr:colOff>
      <xdr:row>43</xdr:row>
      <xdr:rowOff>171450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3CD6D956-1323-47E0-B8E3-69E95BEFB126}"/>
            </a:ext>
          </a:extLst>
        </xdr:cNvPr>
        <xdr:cNvCxnSpPr/>
      </xdr:nvCxnSpPr>
      <xdr:spPr>
        <a:xfrm>
          <a:off x="0" y="8077200"/>
          <a:ext cx="5562600" cy="1343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172720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5612B414-952B-4157-BD7D-944DAA0B1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70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28575</xdr:rowOff>
    </xdr:from>
    <xdr:to>
      <xdr:col>6</xdr:col>
      <xdr:colOff>9525</xdr:colOff>
      <xdr:row>29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6E9AF9A8-B0E3-4D07-9439-1D4B98BEE67E}"/>
            </a:ext>
          </a:extLst>
        </xdr:cNvPr>
        <xdr:cNvCxnSpPr/>
      </xdr:nvCxnSpPr>
      <xdr:spPr>
        <a:xfrm>
          <a:off x="0" y="6105525"/>
          <a:ext cx="5572125" cy="942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</xdr:row>
      <xdr:rowOff>28575</xdr:rowOff>
    </xdr:from>
    <xdr:to>
      <xdr:col>6</xdr:col>
      <xdr:colOff>0</xdr:colOff>
      <xdr:row>44</xdr:row>
      <xdr:rowOff>171450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39671F2A-75E4-41AD-B92A-BD714350E25E}"/>
            </a:ext>
          </a:extLst>
        </xdr:cNvPr>
        <xdr:cNvCxnSpPr/>
      </xdr:nvCxnSpPr>
      <xdr:spPr>
        <a:xfrm>
          <a:off x="0" y="8077200"/>
          <a:ext cx="5562600" cy="1343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172720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EEB0CF8-C99E-41BA-84F2-8FE3C7F39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70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16</xdr:row>
      <xdr:rowOff>9525</xdr:rowOff>
    </xdr:from>
    <xdr:to>
      <xdr:col>6</xdr:col>
      <xdr:colOff>9525</xdr:colOff>
      <xdr:row>19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5E790C9A-AC38-43FE-875C-F85E8EC6697F}"/>
            </a:ext>
          </a:extLst>
        </xdr:cNvPr>
        <xdr:cNvCxnSpPr/>
      </xdr:nvCxnSpPr>
      <xdr:spPr>
        <a:xfrm>
          <a:off x="28575" y="4086225"/>
          <a:ext cx="5543550" cy="762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172720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A70831F-ACF6-4B34-9B92-F177E58CC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70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28575</xdr:rowOff>
    </xdr:from>
    <xdr:to>
      <xdr:col>6</xdr:col>
      <xdr:colOff>9525</xdr:colOff>
      <xdr:row>60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A8BA8F69-1467-4EFF-B78F-43FD82735845}"/>
            </a:ext>
          </a:extLst>
        </xdr:cNvPr>
        <xdr:cNvCxnSpPr/>
      </xdr:nvCxnSpPr>
      <xdr:spPr>
        <a:xfrm>
          <a:off x="0" y="11353800"/>
          <a:ext cx="5572125" cy="904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172720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17866F6D-9793-4787-9CE2-A08363EF6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704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172720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A97FA77-3666-4EC3-A0C4-F9536244E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704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19050</xdr:rowOff>
    </xdr:from>
    <xdr:to>
      <xdr:col>5</xdr:col>
      <xdr:colOff>904875</xdr:colOff>
      <xdr:row>15</xdr:row>
      <xdr:rowOff>180975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611E40C5-4E8A-41B2-B374-0FD14370494A}"/>
            </a:ext>
          </a:extLst>
        </xdr:cNvPr>
        <xdr:cNvCxnSpPr/>
      </xdr:nvCxnSpPr>
      <xdr:spPr>
        <a:xfrm>
          <a:off x="0" y="2981325"/>
          <a:ext cx="5543550" cy="762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19050</xdr:rowOff>
    </xdr:from>
    <xdr:to>
      <xdr:col>5</xdr:col>
      <xdr:colOff>904875</xdr:colOff>
      <xdr:row>13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B15D26E-BCC0-4302-AFA6-61082BF1C479}"/>
            </a:ext>
          </a:extLst>
        </xdr:cNvPr>
        <xdr:cNvCxnSpPr/>
      </xdr:nvCxnSpPr>
      <xdr:spPr>
        <a:xfrm>
          <a:off x="19050" y="1981200"/>
          <a:ext cx="5524500" cy="1762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172720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759B4DC-C06F-4F1F-8FB5-11B4F573A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704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28575</xdr:rowOff>
    </xdr:from>
    <xdr:to>
      <xdr:col>5</xdr:col>
      <xdr:colOff>914400</xdr:colOff>
      <xdr:row>43</xdr:row>
      <xdr:rowOff>161925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84D46D61-5D43-4AE8-B3D0-0105EC79B3B3}"/>
            </a:ext>
          </a:extLst>
        </xdr:cNvPr>
        <xdr:cNvCxnSpPr/>
      </xdr:nvCxnSpPr>
      <xdr:spPr>
        <a:xfrm>
          <a:off x="0" y="7581900"/>
          <a:ext cx="5553075" cy="1714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171450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0F5B397-06C1-4033-B7AB-037562A5D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57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171450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8F76BA6-A462-41D0-B092-F8E859017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57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190500</xdr:rowOff>
    </xdr:from>
    <xdr:to>
      <xdr:col>6</xdr:col>
      <xdr:colOff>0</xdr:colOff>
      <xdr:row>52</xdr:row>
      <xdr:rowOff>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16E1052B-FFB2-443C-B3FE-417CC75504A8}"/>
            </a:ext>
          </a:extLst>
        </xdr:cNvPr>
        <xdr:cNvCxnSpPr/>
      </xdr:nvCxnSpPr>
      <xdr:spPr>
        <a:xfrm>
          <a:off x="0" y="10144125"/>
          <a:ext cx="5562600" cy="600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</xdr:row>
      <xdr:rowOff>28575</xdr:rowOff>
    </xdr:from>
    <xdr:to>
      <xdr:col>5</xdr:col>
      <xdr:colOff>885825</xdr:colOff>
      <xdr:row>10</xdr:row>
      <xdr:rowOff>190500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E2572464-4503-456D-9029-08DE020CE243}"/>
            </a:ext>
          </a:extLst>
        </xdr:cNvPr>
        <xdr:cNvCxnSpPr/>
      </xdr:nvCxnSpPr>
      <xdr:spPr>
        <a:xfrm>
          <a:off x="0" y="2390775"/>
          <a:ext cx="5524500" cy="762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1</xdr:row>
      <xdr:rowOff>133350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69CAE84-6D80-4D35-8AE1-24DF6056B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4767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42</xdr:row>
      <xdr:rowOff>66675</xdr:rowOff>
    </xdr:from>
    <xdr:to>
      <xdr:col>6</xdr:col>
      <xdr:colOff>0</xdr:colOff>
      <xdr:row>45</xdr:row>
      <xdr:rowOff>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913DAFDB-4FD9-4331-AF42-8349616D3D70}"/>
            </a:ext>
          </a:extLst>
        </xdr:cNvPr>
        <xdr:cNvCxnSpPr/>
      </xdr:nvCxnSpPr>
      <xdr:spPr>
        <a:xfrm>
          <a:off x="9525" y="11134725"/>
          <a:ext cx="5553075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47625</xdr:rowOff>
    </xdr:from>
    <xdr:to>
      <xdr:col>5</xdr:col>
      <xdr:colOff>885825</xdr:colOff>
      <xdr:row>11</xdr:row>
      <xdr:rowOff>190500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9B1EA5C6-FD49-4992-B1E7-DBC5AA33D823}"/>
            </a:ext>
          </a:extLst>
        </xdr:cNvPr>
        <xdr:cNvCxnSpPr/>
      </xdr:nvCxnSpPr>
      <xdr:spPr>
        <a:xfrm>
          <a:off x="0" y="2324100"/>
          <a:ext cx="5524500" cy="742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0</xdr:rowOff>
    </xdr:from>
    <xdr:to>
      <xdr:col>5</xdr:col>
      <xdr:colOff>914400</xdr:colOff>
      <xdr:row>35</xdr:row>
      <xdr:rowOff>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D5D6B579-02B2-4441-B9D3-41A8BDD9CE1D}"/>
            </a:ext>
          </a:extLst>
        </xdr:cNvPr>
        <xdr:cNvCxnSpPr/>
      </xdr:nvCxnSpPr>
      <xdr:spPr>
        <a:xfrm>
          <a:off x="0" y="6286500"/>
          <a:ext cx="5553075" cy="1400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1</xdr:row>
      <xdr:rowOff>171450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12E2AC7-CE40-4E12-82D8-31CDF8A38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8577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</xdr:row>
      <xdr:rowOff>9525</xdr:rowOff>
    </xdr:from>
    <xdr:to>
      <xdr:col>5</xdr:col>
      <xdr:colOff>914400</xdr:colOff>
      <xdr:row>44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79DC1552-4638-451B-9EBE-A82885492D31}"/>
            </a:ext>
          </a:extLst>
        </xdr:cNvPr>
        <xdr:cNvCxnSpPr/>
      </xdr:nvCxnSpPr>
      <xdr:spPr>
        <a:xfrm>
          <a:off x="0" y="8477250"/>
          <a:ext cx="5553075" cy="1171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</xdr:row>
      <xdr:rowOff>19050</xdr:rowOff>
    </xdr:from>
    <xdr:to>
      <xdr:col>6</xdr:col>
      <xdr:colOff>9525</xdr:colOff>
      <xdr:row>34</xdr:row>
      <xdr:rowOff>161925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ED82A1C6-3B4C-4C93-B42E-736A557C9CF2}"/>
            </a:ext>
          </a:extLst>
        </xdr:cNvPr>
        <xdr:cNvCxnSpPr/>
      </xdr:nvCxnSpPr>
      <xdr:spPr>
        <a:xfrm>
          <a:off x="0" y="6105525"/>
          <a:ext cx="5572125" cy="1543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1</xdr:row>
      <xdr:rowOff>190500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6E1D948-FBD7-4B61-9561-EAD246B70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50482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57150</xdr:rowOff>
    </xdr:from>
    <xdr:to>
      <xdr:col>5</xdr:col>
      <xdr:colOff>914400</xdr:colOff>
      <xdr:row>41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DAA80D37-271E-4C43-9F7C-EB5B4F837439}"/>
            </a:ext>
          </a:extLst>
        </xdr:cNvPr>
        <xdr:cNvCxnSpPr/>
      </xdr:nvCxnSpPr>
      <xdr:spPr>
        <a:xfrm>
          <a:off x="0" y="8524875"/>
          <a:ext cx="5553075" cy="1123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29</xdr:row>
      <xdr:rowOff>57150</xdr:rowOff>
    </xdr:from>
    <xdr:to>
      <xdr:col>6</xdr:col>
      <xdr:colOff>9525</xdr:colOff>
      <xdr:row>31</xdr:row>
      <xdr:rowOff>161925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7B582143-3FAC-48CF-8DF6-BC492AD6E2AE}"/>
            </a:ext>
          </a:extLst>
        </xdr:cNvPr>
        <xdr:cNvCxnSpPr/>
      </xdr:nvCxnSpPr>
      <xdr:spPr>
        <a:xfrm>
          <a:off x="19050" y="7143750"/>
          <a:ext cx="5553075" cy="504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</xdr:row>
      <xdr:rowOff>190500</xdr:rowOff>
    </xdr:from>
    <xdr:to>
      <xdr:col>5</xdr:col>
      <xdr:colOff>838200</xdr:colOff>
      <xdr:row>18</xdr:row>
      <xdr:rowOff>161925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10F22BBC-1E8F-40D6-8741-0FE2B01A9791}"/>
            </a:ext>
          </a:extLst>
        </xdr:cNvPr>
        <xdr:cNvCxnSpPr/>
      </xdr:nvCxnSpPr>
      <xdr:spPr>
        <a:xfrm>
          <a:off x="0" y="2667000"/>
          <a:ext cx="5476875" cy="2371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1</xdr:row>
      <xdr:rowOff>180975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4FE3D51-0839-4E34-85C1-053A2905D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95299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38100</xdr:rowOff>
    </xdr:from>
    <xdr:to>
      <xdr:col>5</xdr:col>
      <xdr:colOff>914400</xdr:colOff>
      <xdr:row>41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8D1EDDD0-D5E2-48EA-8F8D-90875E5A662F}"/>
            </a:ext>
          </a:extLst>
        </xdr:cNvPr>
        <xdr:cNvCxnSpPr/>
      </xdr:nvCxnSpPr>
      <xdr:spPr>
        <a:xfrm>
          <a:off x="19050" y="8105775"/>
          <a:ext cx="5534025" cy="942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19050</xdr:rowOff>
    </xdr:from>
    <xdr:to>
      <xdr:col>6</xdr:col>
      <xdr:colOff>9525</xdr:colOff>
      <xdr:row>31</xdr:row>
      <xdr:rowOff>161925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BF3255F-62AF-42E1-BB2F-8A04E9CADB41}"/>
            </a:ext>
          </a:extLst>
        </xdr:cNvPr>
        <xdr:cNvCxnSpPr/>
      </xdr:nvCxnSpPr>
      <xdr:spPr>
        <a:xfrm>
          <a:off x="0" y="5305425"/>
          <a:ext cx="5572125" cy="1743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8</xdr:row>
      <xdr:rowOff>19050</xdr:rowOff>
    </xdr:from>
    <xdr:to>
      <xdr:col>5</xdr:col>
      <xdr:colOff>838200</xdr:colOff>
      <xdr:row>18</xdr:row>
      <xdr:rowOff>161925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25BEF454-05F7-43FF-ADC8-C027C66DCCC9}"/>
            </a:ext>
          </a:extLst>
        </xdr:cNvPr>
        <xdr:cNvCxnSpPr/>
      </xdr:nvCxnSpPr>
      <xdr:spPr>
        <a:xfrm>
          <a:off x="9525" y="2295525"/>
          <a:ext cx="5467350" cy="2143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2</xdr:col>
      <xdr:colOff>876300</xdr:colOff>
      <xdr:row>1</xdr:row>
      <xdr:rowOff>171451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FC11F27-1A84-46C2-98D3-3C73DC896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2000250" cy="485774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38100</xdr:rowOff>
    </xdr:from>
    <xdr:to>
      <xdr:col>5</xdr:col>
      <xdr:colOff>914400</xdr:colOff>
      <xdr:row>41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101D2F1-9C59-4D83-8295-B91CB5562287}"/>
            </a:ext>
          </a:extLst>
        </xdr:cNvPr>
        <xdr:cNvCxnSpPr/>
      </xdr:nvCxnSpPr>
      <xdr:spPr>
        <a:xfrm>
          <a:off x="19050" y="8105775"/>
          <a:ext cx="5534025" cy="942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6</xdr:col>
      <xdr:colOff>9525</xdr:colOff>
      <xdr:row>31</xdr:row>
      <xdr:rowOff>161925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5E8A925-7499-409A-AC6E-25027E414DDB}"/>
            </a:ext>
          </a:extLst>
        </xdr:cNvPr>
        <xdr:cNvCxnSpPr/>
      </xdr:nvCxnSpPr>
      <xdr:spPr>
        <a:xfrm>
          <a:off x="0" y="5686425"/>
          <a:ext cx="5572125" cy="1362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</xdr:row>
      <xdr:rowOff>57150</xdr:rowOff>
    </xdr:from>
    <xdr:to>
      <xdr:col>5</xdr:col>
      <xdr:colOff>838200</xdr:colOff>
      <xdr:row>18</xdr:row>
      <xdr:rowOff>161925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22957652-D9BB-4077-BA16-8B6C20D6A065}"/>
            </a:ext>
          </a:extLst>
        </xdr:cNvPr>
        <xdr:cNvCxnSpPr/>
      </xdr:nvCxnSpPr>
      <xdr:spPr>
        <a:xfrm>
          <a:off x="0" y="2533650"/>
          <a:ext cx="5476875" cy="190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2</xdr:col>
      <xdr:colOff>876300</xdr:colOff>
      <xdr:row>1</xdr:row>
      <xdr:rowOff>190500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28A96D3-7351-4BB6-82B2-36C64BA7F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2000250" cy="50482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39</xdr:row>
      <xdr:rowOff>47625</xdr:rowOff>
    </xdr:from>
    <xdr:to>
      <xdr:col>5</xdr:col>
      <xdr:colOff>914400</xdr:colOff>
      <xdr:row>41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D9041558-3338-4EE0-9E54-9709DAD09173}"/>
            </a:ext>
          </a:extLst>
        </xdr:cNvPr>
        <xdr:cNvCxnSpPr/>
      </xdr:nvCxnSpPr>
      <xdr:spPr>
        <a:xfrm>
          <a:off x="9525" y="8515350"/>
          <a:ext cx="5543550" cy="533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</xdr:row>
      <xdr:rowOff>57150</xdr:rowOff>
    </xdr:from>
    <xdr:to>
      <xdr:col>5</xdr:col>
      <xdr:colOff>838200</xdr:colOff>
      <xdr:row>16</xdr:row>
      <xdr:rowOff>161925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E2E0653-0D67-44BC-B158-406E16EDF7FE}"/>
            </a:ext>
          </a:extLst>
        </xdr:cNvPr>
        <xdr:cNvCxnSpPr/>
      </xdr:nvCxnSpPr>
      <xdr:spPr>
        <a:xfrm>
          <a:off x="0" y="2533650"/>
          <a:ext cx="5476875" cy="190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876300</xdr:colOff>
      <xdr:row>1</xdr:row>
      <xdr:rowOff>161926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31329B7-EBB6-4757-870E-953238453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76248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40</xdr:row>
      <xdr:rowOff>0</xdr:rowOff>
    </xdr:from>
    <xdr:to>
      <xdr:col>5</xdr:col>
      <xdr:colOff>914400</xdr:colOff>
      <xdr:row>43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E139BE61-9E85-405B-8C6F-A3019A68868A}"/>
            </a:ext>
          </a:extLst>
        </xdr:cNvPr>
        <xdr:cNvCxnSpPr/>
      </xdr:nvCxnSpPr>
      <xdr:spPr>
        <a:xfrm>
          <a:off x="57150" y="8677275"/>
          <a:ext cx="5495925" cy="781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5</xdr:col>
      <xdr:colOff>838200</xdr:colOff>
      <xdr:row>18</xdr:row>
      <xdr:rowOff>161925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FAFBFEF7-E5BB-40B5-921C-71BB07BFC402}"/>
            </a:ext>
          </a:extLst>
        </xdr:cNvPr>
        <xdr:cNvCxnSpPr/>
      </xdr:nvCxnSpPr>
      <xdr:spPr>
        <a:xfrm>
          <a:off x="0" y="2876550"/>
          <a:ext cx="5476875" cy="1562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19050</xdr:rowOff>
    </xdr:from>
    <xdr:to>
      <xdr:col>5</xdr:col>
      <xdr:colOff>914400</xdr:colOff>
      <xdr:row>33</xdr:row>
      <xdr:rowOff>180975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5109F055-4A80-4C27-9227-D5941C28E750}"/>
            </a:ext>
          </a:extLst>
        </xdr:cNvPr>
        <xdr:cNvCxnSpPr/>
      </xdr:nvCxnSpPr>
      <xdr:spPr>
        <a:xfrm>
          <a:off x="0" y="5505450"/>
          <a:ext cx="5553075" cy="1962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800100</xdr:colOff>
      <xdr:row>2</xdr:row>
      <xdr:rowOff>95251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0AE23C2-4C6F-4306-9F40-705A7E122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7624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43</xdr:row>
      <xdr:rowOff>9525</xdr:rowOff>
    </xdr:from>
    <xdr:to>
      <xdr:col>5</xdr:col>
      <xdr:colOff>914400</xdr:colOff>
      <xdr:row>45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E2987643-E62B-4866-A182-3E64FE257B63}"/>
            </a:ext>
          </a:extLst>
        </xdr:cNvPr>
        <xdr:cNvCxnSpPr/>
      </xdr:nvCxnSpPr>
      <xdr:spPr>
        <a:xfrm>
          <a:off x="9525" y="9486900"/>
          <a:ext cx="5572125" cy="971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876300</xdr:colOff>
      <xdr:row>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0B6FFD0-A10D-4E5D-9D88-3E911D1DB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76247"/>
        </a:xfrm>
        <a:prstGeom prst="rect">
          <a:avLst/>
        </a:prstGeom>
      </xdr:spPr>
    </xdr:pic>
    <xdr:clientData/>
  </xdr:twoCellAnchor>
  <xdr:twoCellAnchor>
    <xdr:from>
      <xdr:col>0</xdr:col>
      <xdr:colOff>28575</xdr:colOff>
      <xdr:row>42</xdr:row>
      <xdr:rowOff>28575</xdr:rowOff>
    </xdr:from>
    <xdr:to>
      <xdr:col>5</xdr:col>
      <xdr:colOff>914400</xdr:colOff>
      <xdr:row>42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22D07EAE-138E-42CB-A139-9289FEDE57B4}"/>
            </a:ext>
          </a:extLst>
        </xdr:cNvPr>
        <xdr:cNvCxnSpPr/>
      </xdr:nvCxnSpPr>
      <xdr:spPr>
        <a:xfrm>
          <a:off x="28575" y="9105900"/>
          <a:ext cx="5524500" cy="152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5</xdr:col>
      <xdr:colOff>838200</xdr:colOff>
      <xdr:row>16</xdr:row>
      <xdr:rowOff>161925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F342C4EA-78B9-4FDB-B1D0-CCB04544AF5E}"/>
            </a:ext>
          </a:extLst>
        </xdr:cNvPr>
        <xdr:cNvCxnSpPr/>
      </xdr:nvCxnSpPr>
      <xdr:spPr>
        <a:xfrm>
          <a:off x="0" y="2876550"/>
          <a:ext cx="5476875" cy="1562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19050</xdr:rowOff>
    </xdr:from>
    <xdr:to>
      <xdr:col>5</xdr:col>
      <xdr:colOff>895350</xdr:colOff>
      <xdr:row>31</xdr:row>
      <xdr:rowOff>152400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DC1C7F61-40AC-4A64-877A-219F01004067}"/>
            </a:ext>
          </a:extLst>
        </xdr:cNvPr>
        <xdr:cNvCxnSpPr/>
      </xdr:nvCxnSpPr>
      <xdr:spPr>
        <a:xfrm>
          <a:off x="0" y="5305425"/>
          <a:ext cx="5534025" cy="1733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1865-C025-4496-9C46-5C0E6927AD91}">
  <dimension ref="A1:F27"/>
  <sheetViews>
    <sheetView topLeftCell="A6" workbookViewId="0">
      <selection activeCell="B24" sqref="B24"/>
    </sheetView>
  </sheetViews>
  <sheetFormatPr baseColWidth="10" defaultColWidth="9.140625" defaultRowHeight="15" x14ac:dyDescent="0.25"/>
  <cols>
    <col min="1" max="1" width="29.5703125" style="92" customWidth="1"/>
    <col min="2" max="2" width="18" style="92" bestFit="1" customWidth="1"/>
    <col min="3" max="3" width="17.42578125" style="92" bestFit="1" customWidth="1"/>
    <col min="4" max="4" width="20.28515625" style="92" bestFit="1" customWidth="1"/>
    <col min="5" max="5" width="4.85546875" style="92" hidden="1" customWidth="1"/>
    <col min="6" max="6" width="15.42578125" style="92" hidden="1" customWidth="1"/>
    <col min="7" max="16384" width="9.140625" style="92"/>
  </cols>
  <sheetData>
    <row r="1" spans="1:6" ht="39.75" customHeight="1" x14ac:dyDescent="0.25">
      <c r="A1" s="93" t="s">
        <v>158</v>
      </c>
      <c r="B1" s="93" t="s">
        <v>578</v>
      </c>
      <c r="C1" s="93" t="s">
        <v>579</v>
      </c>
      <c r="D1" s="93" t="s">
        <v>580</v>
      </c>
      <c r="E1" s="93"/>
      <c r="F1" s="93" t="s">
        <v>432</v>
      </c>
    </row>
    <row r="2" spans="1:6" ht="21.95" customHeight="1" x14ac:dyDescent="0.25">
      <c r="A2" s="122">
        <v>44712</v>
      </c>
      <c r="B2" s="94">
        <f>'01-06'!H1</f>
        <v>0</v>
      </c>
      <c r="C2" s="94">
        <f>'01-06'!H2</f>
        <v>4</v>
      </c>
      <c r="D2" s="102">
        <f t="shared" ref="D2:D12" si="0">SUM(B2:C2)</f>
        <v>4</v>
      </c>
      <c r="F2" s="94" t="e">
        <f ca="1">INDIRECT("'"&amp;A2&amp;"'!J2")</f>
        <v>#REF!</v>
      </c>
    </row>
    <row r="3" spans="1:6" ht="21.95" customHeight="1" x14ac:dyDescent="0.25">
      <c r="A3" s="122">
        <v>44713</v>
      </c>
      <c r="B3" s="94">
        <f>'02-06'!H1</f>
        <v>3</v>
      </c>
      <c r="C3" s="94">
        <f>'02-06'!H2</f>
        <v>2</v>
      </c>
      <c r="D3" s="102">
        <f t="shared" si="0"/>
        <v>5</v>
      </c>
      <c r="F3" s="94" t="e">
        <f t="shared" ref="F3:F12" ca="1" si="1">INDIRECT("'"&amp;A3&amp;"'!J2")</f>
        <v>#REF!</v>
      </c>
    </row>
    <row r="4" spans="1:6" ht="21.95" customHeight="1" x14ac:dyDescent="0.25">
      <c r="A4" s="122">
        <v>44714</v>
      </c>
      <c r="B4" s="94">
        <f>'03-06'!H1</f>
        <v>31</v>
      </c>
      <c r="C4" s="94">
        <f>'03-06'!H2</f>
        <v>2</v>
      </c>
      <c r="D4" s="102">
        <f t="shared" si="0"/>
        <v>33</v>
      </c>
      <c r="F4" s="94" t="e">
        <f t="shared" ca="1" si="1"/>
        <v>#REF!</v>
      </c>
    </row>
    <row r="5" spans="1:6" ht="21.95" customHeight="1" x14ac:dyDescent="0.25">
      <c r="A5" s="122">
        <v>44715</v>
      </c>
      <c r="B5" s="94">
        <f>'04-06'!H1</f>
        <v>4</v>
      </c>
      <c r="C5" s="94">
        <f>'04-06'!H2</f>
        <v>1</v>
      </c>
      <c r="D5" s="102">
        <f t="shared" si="0"/>
        <v>5</v>
      </c>
      <c r="F5" s="94" t="e">
        <f t="shared" ca="1" si="1"/>
        <v>#REF!</v>
      </c>
    </row>
    <row r="6" spans="1:6" ht="21.95" customHeight="1" x14ac:dyDescent="0.25">
      <c r="A6" s="122">
        <v>44718</v>
      </c>
      <c r="B6" s="94">
        <f>'07-06'!H1</f>
        <v>10</v>
      </c>
      <c r="C6" s="94">
        <f>'07-06'!H2</f>
        <v>3</v>
      </c>
      <c r="D6" s="102">
        <f t="shared" si="0"/>
        <v>13</v>
      </c>
      <c r="F6" s="94" t="e">
        <f t="shared" ca="1" si="1"/>
        <v>#REF!</v>
      </c>
    </row>
    <row r="7" spans="1:6" ht="21.95" customHeight="1" x14ac:dyDescent="0.25">
      <c r="A7" s="122">
        <v>44719</v>
      </c>
      <c r="B7" s="94">
        <f>'08-06'!H1</f>
        <v>2</v>
      </c>
      <c r="C7" s="94">
        <f>'08-06'!H2</f>
        <v>1</v>
      </c>
      <c r="D7" s="102">
        <f t="shared" si="0"/>
        <v>3</v>
      </c>
      <c r="F7" s="94" t="e">
        <f t="shared" ca="1" si="1"/>
        <v>#REF!</v>
      </c>
    </row>
    <row r="8" spans="1:6" ht="21.95" customHeight="1" x14ac:dyDescent="0.25">
      <c r="A8" s="122">
        <v>44720</v>
      </c>
      <c r="B8" s="94">
        <f>'09-06'!H1</f>
        <v>36</v>
      </c>
      <c r="C8" s="94">
        <f>'09-06'!H2</f>
        <v>0</v>
      </c>
      <c r="D8" s="102">
        <f t="shared" si="0"/>
        <v>36</v>
      </c>
      <c r="F8" s="94" t="e">
        <f t="shared" ca="1" si="1"/>
        <v>#REF!</v>
      </c>
    </row>
    <row r="9" spans="1:6" ht="21.95" customHeight="1" x14ac:dyDescent="0.25">
      <c r="A9" s="122">
        <v>44721</v>
      </c>
      <c r="B9" s="94">
        <f>'10-06'!H1</f>
        <v>5</v>
      </c>
      <c r="C9" s="94">
        <f>'10-06'!H2</f>
        <v>5</v>
      </c>
      <c r="D9" s="102">
        <f t="shared" si="0"/>
        <v>10</v>
      </c>
      <c r="F9" s="94" t="e">
        <f t="shared" ca="1" si="1"/>
        <v>#REF!</v>
      </c>
    </row>
    <row r="10" spans="1:6" ht="21.95" customHeight="1" x14ac:dyDescent="0.25">
      <c r="A10" s="122">
        <v>44722</v>
      </c>
      <c r="B10" s="94">
        <f>'11-06'!H1</f>
        <v>0</v>
      </c>
      <c r="C10" s="94">
        <f>'11-06'!H2</f>
        <v>9</v>
      </c>
      <c r="D10" s="102">
        <f t="shared" si="0"/>
        <v>9</v>
      </c>
      <c r="F10" s="94" t="e">
        <f t="shared" ca="1" si="1"/>
        <v>#REF!</v>
      </c>
    </row>
    <row r="11" spans="1:6" ht="21.95" customHeight="1" x14ac:dyDescent="0.25">
      <c r="A11" s="123">
        <v>44725</v>
      </c>
      <c r="B11" s="94">
        <f>'14-06'!H1</f>
        <v>3</v>
      </c>
      <c r="C11" s="94">
        <f>'14-06'!H2</f>
        <v>13</v>
      </c>
      <c r="D11" s="102">
        <f t="shared" si="0"/>
        <v>16</v>
      </c>
      <c r="F11" s="94" t="e">
        <f t="shared" ca="1" si="1"/>
        <v>#REF!</v>
      </c>
    </row>
    <row r="12" spans="1:6" ht="21.95" customHeight="1" x14ac:dyDescent="0.25">
      <c r="A12" s="123">
        <v>44726</v>
      </c>
      <c r="B12" s="94">
        <f>'15-06'!H1</f>
        <v>2</v>
      </c>
      <c r="C12" s="94">
        <f>'15-06'!H2</f>
        <v>21</v>
      </c>
      <c r="D12" s="102">
        <f t="shared" si="0"/>
        <v>23</v>
      </c>
      <c r="F12" s="94" t="e">
        <f t="shared" ca="1" si="1"/>
        <v>#REF!</v>
      </c>
    </row>
    <row r="13" spans="1:6" ht="21.95" customHeight="1" x14ac:dyDescent="0.25">
      <c r="A13" s="123">
        <v>44728</v>
      </c>
      <c r="B13" s="94">
        <f>'17-06'!H1</f>
        <v>0</v>
      </c>
      <c r="C13" s="94">
        <f>'17-06'!H2</f>
        <v>12</v>
      </c>
      <c r="D13" s="102">
        <f t="shared" ref="D13:D20" si="2">SUM(B13:C13)</f>
        <v>12</v>
      </c>
      <c r="F13" s="94" t="e">
        <f ca="1">INDIRECT("'" &amp;#REF! &amp;"'!J2")</f>
        <v>#REF!</v>
      </c>
    </row>
    <row r="14" spans="1:6" ht="21.95" customHeight="1" x14ac:dyDescent="0.25">
      <c r="A14" s="123">
        <v>44729</v>
      </c>
      <c r="B14" s="94">
        <f>'18-06'!H1</f>
        <v>10</v>
      </c>
      <c r="C14" s="94">
        <f>'18-06'!H2</f>
        <v>1</v>
      </c>
      <c r="D14" s="102">
        <f t="shared" si="2"/>
        <v>11</v>
      </c>
      <c r="F14" s="94" t="e">
        <f ca="1">INDIRECT("'"&amp; A13 &amp;"'!J2")</f>
        <v>#REF!</v>
      </c>
    </row>
    <row r="15" spans="1:6" ht="21.95" customHeight="1" x14ac:dyDescent="0.25">
      <c r="A15" s="124">
        <v>44732</v>
      </c>
      <c r="B15" s="94">
        <f>'21-06'!H1</f>
        <v>2</v>
      </c>
      <c r="C15" s="94">
        <f>'21-06'!H2</f>
        <v>6</v>
      </c>
      <c r="D15" s="102">
        <f t="shared" si="2"/>
        <v>8</v>
      </c>
      <c r="F15" s="94" t="e">
        <f t="shared" ref="F15:F20" ca="1" si="3">INDIRECT("'"&amp; A14 &amp;"'!J2")</f>
        <v>#REF!</v>
      </c>
    </row>
    <row r="16" spans="1:6" ht="21.95" customHeight="1" x14ac:dyDescent="0.25">
      <c r="A16" s="124">
        <v>44733</v>
      </c>
      <c r="B16" s="94">
        <f>'22-06'!H1</f>
        <v>0</v>
      </c>
      <c r="C16" s="94">
        <f>'22-06'!H2</f>
        <v>0</v>
      </c>
      <c r="D16" s="102">
        <f t="shared" si="2"/>
        <v>0</v>
      </c>
      <c r="F16" s="94" t="e">
        <f t="shared" ca="1" si="3"/>
        <v>#REF!</v>
      </c>
    </row>
    <row r="17" spans="1:6" ht="21.95" customHeight="1" x14ac:dyDescent="0.25">
      <c r="A17" s="124">
        <v>44734</v>
      </c>
      <c r="B17" s="94">
        <f>'23-06'!H1</f>
        <v>1</v>
      </c>
      <c r="C17" s="94">
        <f>'22-06'!H2</f>
        <v>0</v>
      </c>
      <c r="D17" s="102">
        <f t="shared" si="2"/>
        <v>1</v>
      </c>
      <c r="F17" s="94" t="e">
        <f t="shared" ca="1" si="3"/>
        <v>#REF!</v>
      </c>
    </row>
    <row r="18" spans="1:6" ht="21.95" customHeight="1" x14ac:dyDescent="0.25">
      <c r="A18" s="124">
        <v>44735</v>
      </c>
      <c r="B18" s="94">
        <f>'24-06'!H1</f>
        <v>0</v>
      </c>
      <c r="C18" s="94">
        <f>'24-06'!H2</f>
        <v>8</v>
      </c>
      <c r="D18" s="102">
        <f t="shared" si="2"/>
        <v>8</v>
      </c>
      <c r="F18" s="94" t="e">
        <f t="shared" ca="1" si="3"/>
        <v>#REF!</v>
      </c>
    </row>
    <row r="19" spans="1:6" ht="21.95" customHeight="1" x14ac:dyDescent="0.25">
      <c r="A19" s="124">
        <v>44739</v>
      </c>
      <c r="B19" s="94">
        <f>'28-06'!H1</f>
        <v>3</v>
      </c>
      <c r="C19" s="94">
        <f>'28-06'!H2</f>
        <v>1</v>
      </c>
      <c r="D19" s="102">
        <f t="shared" si="2"/>
        <v>4</v>
      </c>
      <c r="F19" s="94" t="e">
        <f t="shared" ca="1" si="3"/>
        <v>#REF!</v>
      </c>
    </row>
    <row r="20" spans="1:6" ht="21.95" customHeight="1" x14ac:dyDescent="0.25">
      <c r="A20" s="124">
        <v>44740</v>
      </c>
      <c r="B20" s="94">
        <f>'29-06'!H1</f>
        <v>14</v>
      </c>
      <c r="C20" s="94">
        <f>'29-06'!H2</f>
        <v>10</v>
      </c>
      <c r="D20" s="102">
        <f t="shared" si="2"/>
        <v>24</v>
      </c>
      <c r="F20" s="94" t="e">
        <f t="shared" ca="1" si="3"/>
        <v>#REF!</v>
      </c>
    </row>
    <row r="21" spans="1:6" ht="21.95" customHeight="1" x14ac:dyDescent="0.25">
      <c r="A21" s="124">
        <v>44741</v>
      </c>
      <c r="B21" s="94">
        <f>'30-06'!H1</f>
        <v>0</v>
      </c>
      <c r="C21" s="94">
        <f>'30-06'!H2</f>
        <v>2</v>
      </c>
      <c r="D21" s="102">
        <f>SUM(B21:C21)</f>
        <v>2</v>
      </c>
      <c r="F21" s="94"/>
    </row>
    <row r="22" spans="1:6" ht="21.95" customHeight="1" x14ac:dyDescent="0.25">
      <c r="A22" s="124"/>
      <c r="B22" s="94"/>
      <c r="C22" s="94"/>
      <c r="D22" s="102"/>
      <c r="F22" s="94"/>
    </row>
    <row r="23" spans="1:6" ht="21.95" customHeight="1" x14ac:dyDescent="0.25">
      <c r="A23" s="124"/>
      <c r="B23" s="94"/>
      <c r="C23" s="94"/>
      <c r="D23" s="102"/>
      <c r="F23" s="94"/>
    </row>
    <row r="24" spans="1:6" ht="21.95" customHeight="1" x14ac:dyDescent="0.25">
      <c r="A24" s="93" t="s">
        <v>581</v>
      </c>
      <c r="B24" s="95">
        <f>SUM(B2:B22)</f>
        <v>126</v>
      </c>
      <c r="C24" s="95">
        <f>SUM(C2:C22)</f>
        <v>101</v>
      </c>
      <c r="D24" s="95">
        <f>SUM(D2:D21)</f>
        <v>227</v>
      </c>
      <c r="F24" s="94" t="e">
        <f ca="1">INDIRECT("'"&amp; A21 &amp;"'!J2")</f>
        <v>#REF!</v>
      </c>
    </row>
    <row r="25" spans="1:6" ht="24" customHeight="1" x14ac:dyDescent="0.25">
      <c r="A25" s="114"/>
      <c r="B25" s="105"/>
      <c r="C25" s="114"/>
      <c r="D25" s="105" t="s">
        <v>164</v>
      </c>
      <c r="E25" s="95"/>
      <c r="F25" s="95"/>
    </row>
    <row r="26" spans="1:6" ht="22.5" hidden="1" customHeight="1" x14ac:dyDescent="0.25">
      <c r="A26" s="114"/>
      <c r="B26" s="105"/>
      <c r="C26" s="114"/>
      <c r="D26" s="105" t="s">
        <v>25</v>
      </c>
      <c r="E26" s="106"/>
      <c r="F26" s="106">
        <f>'01-06'!J2+'02-06'!J2+'03-06'!J2+'04-06'!J2+'07-06'!J2+'08-06'!J2+'09-06'!J2+'10-06'!J2+'11-06'!J2+'14-06'!J2+'15-06'!J2+'17-06'!J2+'18-06'!J2+'21-06'!J2+'23-06'!J2+'24-06'!J2+'28-06'!J2+'29-06'!J2+'30-06'!J2</f>
        <v>6</v>
      </c>
    </row>
    <row r="27" spans="1:6" ht="18.75" hidden="1" x14ac:dyDescent="0.25">
      <c r="E27" s="106"/>
      <c r="F27" s="106">
        <f>'01-06'!F2+'02-06'!F2+'03-06'!F2+'04-06'!F2+'07-06'!F2+'08-06'!F2+'09-06'!F2+'10-06'!F2+'11-06'!F2+'14-06'!F2+'15-06'!F2+'17-06'!F2+'18-06'!F2+'21-06'!F2+'22-06'!F2+'23-06'!F2+'24-06'!F2+'28-06'!F2+'29-06'!F2+'30-06'!F2</f>
        <v>19</v>
      </c>
    </row>
  </sheetData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961E-DF0B-4DC1-8913-77C7CA803D3E}">
  <sheetPr codeName="Feuil4"/>
  <dimension ref="A1:J41"/>
  <sheetViews>
    <sheetView workbookViewId="0">
      <selection activeCell="A3" sqref="A3:H3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91">
        <f>COUNTIF(B9:B16,"&lt;&gt;")</f>
        <v>0</v>
      </c>
      <c r="I1" s="90" t="s">
        <v>386</v>
      </c>
    </row>
    <row r="2" spans="1:10" s="1" customFormat="1" ht="24.95" customHeight="1" x14ac:dyDescent="0.25">
      <c r="A2" s="3"/>
      <c r="F2" s="91">
        <f>COUNTIFS(B21:B34,"&lt;&gt;",C21:C34,"VH")</f>
        <v>1</v>
      </c>
      <c r="G2" s="90" t="s">
        <v>25</v>
      </c>
      <c r="H2" s="91">
        <f>COUNTA(C21:C27)-F2</f>
        <v>4</v>
      </c>
      <c r="I2" s="90" t="s">
        <v>386</v>
      </c>
      <c r="J2" s="101">
        <f>COUNTIF(E19:E27,"VIDE")</f>
        <v>0</v>
      </c>
    </row>
    <row r="3" spans="1:10" s="1" customFormat="1" ht="24.95" customHeight="1" x14ac:dyDescent="0.25">
      <c r="A3" s="129" t="s">
        <v>10</v>
      </c>
      <c r="B3" s="129"/>
      <c r="C3" s="129"/>
      <c r="D3" s="129"/>
      <c r="E3" s="129"/>
      <c r="F3" s="129"/>
      <c r="G3" s="129"/>
      <c r="H3" s="129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</row>
    <row r="6" spans="1:10" s="1" customFormat="1" ht="24.95" customHeight="1" x14ac:dyDescent="0.25">
      <c r="A6" s="3"/>
      <c r="B6" s="24" t="s">
        <v>3</v>
      </c>
      <c r="G6" s="26">
        <v>44713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13" t="s">
        <v>2</v>
      </c>
      <c r="B8" s="14" t="s">
        <v>8</v>
      </c>
      <c r="C8" s="14" t="s">
        <v>12</v>
      </c>
      <c r="D8" s="14" t="s">
        <v>0</v>
      </c>
      <c r="E8" s="14" t="s">
        <v>1</v>
      </c>
      <c r="F8" s="16" t="s">
        <v>9</v>
      </c>
    </row>
    <row r="9" spans="1:10" s="1" customFormat="1" ht="15.75" customHeight="1" x14ac:dyDescent="0.25">
      <c r="A9" s="19">
        <v>1</v>
      </c>
      <c r="B9" s="10"/>
      <c r="C9" s="12"/>
      <c r="D9" s="10"/>
      <c r="E9" s="10"/>
      <c r="F9" s="20"/>
    </row>
    <row r="10" spans="1:10" s="1" customFormat="1" ht="15.75" customHeight="1" x14ac:dyDescent="0.25">
      <c r="A10" s="17">
        <v>2</v>
      </c>
      <c r="B10" s="9"/>
      <c r="C10" s="15"/>
      <c r="D10" s="9"/>
      <c r="E10" s="9"/>
      <c r="F10" s="18"/>
    </row>
    <row r="11" spans="1:10" s="1" customFormat="1" ht="15.75" customHeight="1" x14ac:dyDescent="0.25">
      <c r="A11" s="17">
        <v>3</v>
      </c>
      <c r="B11" s="9"/>
      <c r="C11" s="15"/>
      <c r="D11" s="9"/>
      <c r="E11" s="9"/>
      <c r="F11" s="18"/>
    </row>
    <row r="12" spans="1:10" s="1" customFormat="1" ht="15.75" customHeight="1" x14ac:dyDescent="0.25">
      <c r="A12" s="17">
        <v>4</v>
      </c>
      <c r="B12" s="9"/>
      <c r="C12" s="15"/>
      <c r="D12" s="9"/>
      <c r="E12" s="9"/>
      <c r="F12" s="18"/>
      <c r="H12" s="4"/>
    </row>
    <row r="13" spans="1:10" s="1" customFormat="1" ht="15.75" customHeight="1" x14ac:dyDescent="0.25">
      <c r="A13" s="17">
        <v>5</v>
      </c>
      <c r="B13" s="9"/>
      <c r="C13" s="15"/>
      <c r="D13" s="9"/>
      <c r="E13" s="9"/>
      <c r="F13" s="18"/>
    </row>
    <row r="14" spans="1:10" s="1" customFormat="1" ht="15.75" customHeight="1" x14ac:dyDescent="0.25">
      <c r="A14" s="17">
        <v>6</v>
      </c>
      <c r="B14" s="9"/>
      <c r="C14" s="15"/>
      <c r="D14" s="9"/>
      <c r="E14" s="9"/>
      <c r="F14" s="18"/>
    </row>
    <row r="15" spans="1:10" ht="15.75" customHeight="1" x14ac:dyDescent="0.25">
      <c r="A15" s="17">
        <v>7</v>
      </c>
      <c r="B15" s="9"/>
      <c r="C15" s="15"/>
      <c r="D15" s="9"/>
      <c r="E15" s="9"/>
      <c r="F15" s="18"/>
    </row>
    <row r="16" spans="1:10" ht="15.75" customHeight="1" thickBot="1" x14ac:dyDescent="0.3">
      <c r="A16" s="21">
        <v>8</v>
      </c>
      <c r="B16" s="11"/>
      <c r="C16" s="23"/>
      <c r="D16" s="11"/>
      <c r="E16" s="11"/>
      <c r="F16" s="22"/>
    </row>
    <row r="17" spans="1:7" ht="15.75" x14ac:dyDescent="0.25">
      <c r="A17" s="3"/>
      <c r="B17" s="5"/>
      <c r="C17" s="1"/>
      <c r="D17" s="1"/>
      <c r="E17" s="1"/>
      <c r="F17" s="1"/>
      <c r="G17" s="5"/>
    </row>
    <row r="18" spans="1:7" ht="15.75" x14ac:dyDescent="0.25">
      <c r="A18" s="3"/>
      <c r="B18" s="24" t="s">
        <v>4</v>
      </c>
      <c r="G18" s="5"/>
    </row>
    <row r="19" spans="1:7" ht="15.75" thickBot="1" x14ac:dyDescent="0.3">
      <c r="A19" s="3"/>
      <c r="B19" s="2"/>
      <c r="C19" s="1"/>
      <c r="D19" s="1"/>
      <c r="E19" s="1"/>
      <c r="F19" s="1"/>
      <c r="G19" s="1"/>
    </row>
    <row r="20" spans="1:7" ht="15.75" thickBot="1" x14ac:dyDescent="0.3">
      <c r="A20" s="6" t="s">
        <v>2</v>
      </c>
      <c r="B20" s="7" t="s">
        <v>11</v>
      </c>
      <c r="C20" s="7" t="s">
        <v>6</v>
      </c>
      <c r="D20" s="7" t="s">
        <v>0</v>
      </c>
      <c r="E20" s="7" t="s">
        <v>1</v>
      </c>
      <c r="F20" s="8" t="s">
        <v>9</v>
      </c>
    </row>
    <row r="21" spans="1:7" ht="15.75" customHeight="1" x14ac:dyDescent="0.25">
      <c r="A21" s="19">
        <v>1</v>
      </c>
      <c r="B21" s="33">
        <v>46174</v>
      </c>
      <c r="C21" s="34" t="s">
        <v>22</v>
      </c>
      <c r="D21" s="34" t="s">
        <v>23</v>
      </c>
      <c r="E21" s="35" t="s">
        <v>24</v>
      </c>
      <c r="F21" s="20">
        <v>40</v>
      </c>
    </row>
    <row r="22" spans="1:7" ht="15.75" customHeight="1" x14ac:dyDescent="0.25">
      <c r="A22" s="17">
        <v>2</v>
      </c>
      <c r="B22" s="15">
        <v>46174</v>
      </c>
      <c r="C22" s="9" t="s">
        <v>25</v>
      </c>
      <c r="D22" s="9" t="s">
        <v>588</v>
      </c>
      <c r="E22" s="9" t="s">
        <v>26</v>
      </c>
      <c r="F22" s="18" t="s">
        <v>25</v>
      </c>
    </row>
    <row r="23" spans="1:7" ht="15.75" customHeight="1" x14ac:dyDescent="0.25">
      <c r="A23" s="17">
        <v>3</v>
      </c>
      <c r="B23" s="15">
        <v>46174</v>
      </c>
      <c r="C23" s="9" t="s">
        <v>28</v>
      </c>
      <c r="D23" s="9" t="s">
        <v>27</v>
      </c>
      <c r="E23" s="9">
        <v>3823</v>
      </c>
      <c r="F23" s="18">
        <v>40</v>
      </c>
    </row>
    <row r="24" spans="1:7" ht="15.75" customHeight="1" x14ac:dyDescent="0.25">
      <c r="A24" s="17">
        <v>4</v>
      </c>
      <c r="B24" s="15">
        <v>46174</v>
      </c>
      <c r="C24" s="9" t="s">
        <v>29</v>
      </c>
      <c r="D24" s="9" t="s">
        <v>30</v>
      </c>
      <c r="E24" s="9">
        <v>3824</v>
      </c>
      <c r="F24" s="18">
        <v>40</v>
      </c>
    </row>
    <row r="25" spans="1:7" ht="15.75" customHeight="1" x14ac:dyDescent="0.25">
      <c r="A25" s="17">
        <v>5</v>
      </c>
      <c r="B25" s="15">
        <v>46174</v>
      </c>
      <c r="C25" s="9" t="s">
        <v>32</v>
      </c>
      <c r="D25" s="9" t="s">
        <v>31</v>
      </c>
      <c r="E25" s="9">
        <v>3822</v>
      </c>
      <c r="F25" s="18">
        <v>40</v>
      </c>
    </row>
    <row r="26" spans="1:7" ht="15.75" customHeight="1" x14ac:dyDescent="0.25">
      <c r="A26" s="30"/>
      <c r="B26" s="9"/>
      <c r="C26" s="9"/>
      <c r="D26" s="9"/>
      <c r="E26" s="9"/>
      <c r="F26" s="32"/>
    </row>
    <row r="27" spans="1:7" ht="15.75" customHeight="1" x14ac:dyDescent="0.25">
      <c r="A27" s="30"/>
      <c r="B27" s="31"/>
      <c r="C27" s="31"/>
      <c r="D27" s="31"/>
      <c r="E27" s="31"/>
      <c r="F27" s="32"/>
    </row>
    <row r="28" spans="1:7" ht="15.75" customHeight="1" thickBot="1" x14ac:dyDescent="0.3">
      <c r="A28" s="21"/>
      <c r="B28" s="11"/>
      <c r="C28" s="11"/>
      <c r="D28" s="11"/>
      <c r="E28" s="11"/>
      <c r="F28" s="22"/>
    </row>
    <row r="31" spans="1:7" x14ac:dyDescent="0.25">
      <c r="A31" s="3"/>
      <c r="B31" s="1"/>
      <c r="C31" s="1"/>
      <c r="D31" s="1"/>
      <c r="E31" s="1"/>
      <c r="F31" s="1"/>
      <c r="G31" s="1"/>
    </row>
    <row r="32" spans="1:7" ht="15.75" x14ac:dyDescent="0.25">
      <c r="A32" s="3"/>
      <c r="B32" s="24" t="s">
        <v>66</v>
      </c>
      <c r="C32" s="1"/>
      <c r="E32" s="1"/>
      <c r="F32" s="1"/>
      <c r="G32" s="5"/>
    </row>
    <row r="33" spans="1:7" ht="15.75" thickBot="1" x14ac:dyDescent="0.3">
      <c r="A33" s="3"/>
      <c r="B33" s="2"/>
      <c r="C33" s="1"/>
      <c r="D33" s="1"/>
      <c r="E33" s="1"/>
      <c r="F33" s="1"/>
      <c r="G33" s="1"/>
    </row>
    <row r="34" spans="1:7" ht="15.75" thickBot="1" x14ac:dyDescent="0.3">
      <c r="A34" s="13" t="s">
        <v>2</v>
      </c>
      <c r="B34" s="14" t="s">
        <v>532</v>
      </c>
      <c r="C34" s="14" t="s">
        <v>0</v>
      </c>
      <c r="D34" s="14" t="s">
        <v>14</v>
      </c>
      <c r="E34" s="14" t="s">
        <v>15</v>
      </c>
      <c r="F34" s="16" t="s">
        <v>9</v>
      </c>
    </row>
    <row r="35" spans="1:7" ht="15.75" customHeight="1" x14ac:dyDescent="0.25">
      <c r="A35" s="19">
        <v>1</v>
      </c>
      <c r="B35" s="27">
        <v>1062026</v>
      </c>
      <c r="C35" s="10" t="s">
        <v>13</v>
      </c>
      <c r="D35" s="10" t="s">
        <v>16</v>
      </c>
      <c r="E35" s="10">
        <v>3787</v>
      </c>
      <c r="F35" s="20">
        <v>45</v>
      </c>
    </row>
    <row r="36" spans="1:7" ht="15.75" customHeight="1" x14ac:dyDescent="0.25">
      <c r="A36" s="17">
        <v>2</v>
      </c>
      <c r="B36" s="28">
        <v>1062026</v>
      </c>
      <c r="C36" s="9" t="s">
        <v>17</v>
      </c>
      <c r="D36" s="9" t="s">
        <v>18</v>
      </c>
      <c r="E36" s="9">
        <v>3786</v>
      </c>
      <c r="F36" s="18">
        <v>40</v>
      </c>
    </row>
    <row r="37" spans="1:7" ht="15.75" customHeight="1" x14ac:dyDescent="0.25">
      <c r="A37" s="17">
        <v>3</v>
      </c>
      <c r="B37" s="28">
        <v>1062026</v>
      </c>
      <c r="C37" s="9" t="s">
        <v>19</v>
      </c>
      <c r="D37" s="9" t="s">
        <v>20</v>
      </c>
      <c r="E37" s="9">
        <v>3785</v>
      </c>
      <c r="F37" s="18">
        <v>40</v>
      </c>
    </row>
    <row r="38" spans="1:7" ht="15.75" customHeight="1" x14ac:dyDescent="0.25">
      <c r="A38" s="17">
        <v>4</v>
      </c>
      <c r="B38" s="28">
        <v>1062026</v>
      </c>
      <c r="C38" s="9" t="s">
        <v>21</v>
      </c>
      <c r="D38" s="9">
        <v>1013343</v>
      </c>
      <c r="E38" s="9">
        <v>3783</v>
      </c>
      <c r="F38" s="18">
        <v>40</v>
      </c>
    </row>
    <row r="39" spans="1:7" ht="15.75" customHeight="1" x14ac:dyDescent="0.25">
      <c r="A39" s="17"/>
      <c r="B39" s="28"/>
      <c r="C39" s="9"/>
      <c r="D39" s="9"/>
      <c r="E39" s="9"/>
      <c r="F39" s="18"/>
    </row>
    <row r="40" spans="1:7" ht="15.75" customHeight="1" x14ac:dyDescent="0.25">
      <c r="A40" s="17"/>
      <c r="B40" s="28"/>
      <c r="C40" s="9"/>
      <c r="D40" s="9"/>
      <c r="E40" s="9"/>
      <c r="F40" s="18"/>
    </row>
    <row r="41" spans="1:7" ht="15.75" customHeight="1" thickBot="1" x14ac:dyDescent="0.3">
      <c r="A41" s="21"/>
      <c r="B41" s="29"/>
      <c r="C41" s="11"/>
      <c r="D41" s="11"/>
      <c r="E41" s="11"/>
      <c r="F41" s="22"/>
    </row>
  </sheetData>
  <mergeCells count="1">
    <mergeCell ref="A3:H3"/>
  </mergeCells>
  <conditionalFormatting sqref="G9">
    <cfRule type="expression" dxfId="18" priority="1">
      <formula>LEFT(CELL("format",C9))</formula>
    </cfRule>
  </conditionalFormatting>
  <pageMargins left="0.11811023622047245" right="0.31496062992125984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8146-4213-42A1-A8F7-BA2CFCD4FE66}">
  <sheetPr codeName="Feuil1"/>
  <dimension ref="A1:J44"/>
  <sheetViews>
    <sheetView workbookViewId="0">
      <selection activeCell="G9" sqref="G9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91">
        <f>COUNTIF(C9:C16,"&lt;&gt;")</f>
        <v>3</v>
      </c>
      <c r="I1" s="90" t="s">
        <v>386</v>
      </c>
    </row>
    <row r="2" spans="1:10" s="1" customFormat="1" ht="24.95" customHeight="1" x14ac:dyDescent="0.25">
      <c r="A2" s="3"/>
      <c r="F2" s="91">
        <f>COUNTIFS(B21:B34,"&lt;&gt;",C21:C34,"VH")</f>
        <v>0</v>
      </c>
      <c r="G2" s="90" t="s">
        <v>25</v>
      </c>
      <c r="H2" s="91">
        <f>COUNTA(C21:C30)-F2</f>
        <v>2</v>
      </c>
      <c r="I2" s="90" t="s">
        <v>386</v>
      </c>
      <c r="J2" s="101">
        <f>COUNTIF(E19:E27,"VIDE")</f>
        <v>0</v>
      </c>
    </row>
    <row r="3" spans="1:10" s="1" customFormat="1" ht="24.95" customHeight="1" x14ac:dyDescent="0.25">
      <c r="A3" s="129" t="s">
        <v>10</v>
      </c>
      <c r="B3" s="129"/>
      <c r="C3" s="129"/>
      <c r="D3" s="129"/>
      <c r="E3" s="129"/>
      <c r="F3" s="129"/>
      <c r="G3" s="129"/>
      <c r="H3" s="129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</row>
    <row r="6" spans="1:10" s="1" customFormat="1" ht="24.95" customHeight="1" x14ac:dyDescent="0.25">
      <c r="A6" s="3"/>
      <c r="B6" s="24" t="s">
        <v>3</v>
      </c>
      <c r="G6" s="26">
        <v>46174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13" t="s">
        <v>2</v>
      </c>
      <c r="B8" s="14" t="s">
        <v>8</v>
      </c>
      <c r="C8" s="14" t="s">
        <v>12</v>
      </c>
      <c r="D8" s="14" t="s">
        <v>0</v>
      </c>
      <c r="E8" s="14" t="s">
        <v>1</v>
      </c>
      <c r="F8" s="16" t="s">
        <v>9</v>
      </c>
      <c r="G8" s="16" t="s">
        <v>584</v>
      </c>
    </row>
    <row r="9" spans="1:10" s="1" customFormat="1" ht="15.75" customHeight="1" x14ac:dyDescent="0.25">
      <c r="A9" s="19">
        <v>1</v>
      </c>
      <c r="B9" s="31" t="s">
        <v>45</v>
      </c>
      <c r="C9" s="15">
        <v>44713</v>
      </c>
      <c r="D9" s="31" t="s">
        <v>34</v>
      </c>
      <c r="E9" s="31" t="s">
        <v>35</v>
      </c>
      <c r="F9" s="20" t="s">
        <v>583</v>
      </c>
      <c r="G9" s="15">
        <v>44715</v>
      </c>
    </row>
    <row r="10" spans="1:10" s="1" customFormat="1" ht="15.75" customHeight="1" x14ac:dyDescent="0.25">
      <c r="A10" s="17">
        <v>2</v>
      </c>
      <c r="B10" s="9" t="s">
        <v>46</v>
      </c>
      <c r="C10" s="15">
        <v>44713</v>
      </c>
      <c r="D10" s="9" t="s">
        <v>36</v>
      </c>
      <c r="E10" s="9" t="s">
        <v>37</v>
      </c>
      <c r="F10" s="18" t="s">
        <v>583</v>
      </c>
      <c r="G10" s="15">
        <v>44715</v>
      </c>
    </row>
    <row r="11" spans="1:10" s="1" customFormat="1" ht="15.75" customHeight="1" x14ac:dyDescent="0.25">
      <c r="A11" s="17">
        <v>3</v>
      </c>
      <c r="B11" s="9" t="s">
        <v>47</v>
      </c>
      <c r="C11" s="15">
        <v>44713</v>
      </c>
      <c r="D11" s="9" t="s">
        <v>38</v>
      </c>
      <c r="E11" s="9" t="s">
        <v>39</v>
      </c>
      <c r="F11" s="18" t="s">
        <v>583</v>
      </c>
      <c r="G11" s="15">
        <v>44715</v>
      </c>
    </row>
    <row r="12" spans="1:10" s="1" customFormat="1" ht="15.75" customHeight="1" x14ac:dyDescent="0.25">
      <c r="A12" s="17">
        <v>4</v>
      </c>
      <c r="B12" s="132"/>
      <c r="C12" s="28"/>
      <c r="D12" s="9"/>
      <c r="E12" s="9"/>
      <c r="F12" s="18"/>
      <c r="H12" s="4"/>
    </row>
    <row r="13" spans="1:10" s="1" customFormat="1" ht="15.75" customHeight="1" x14ac:dyDescent="0.25">
      <c r="A13" s="17">
        <v>5</v>
      </c>
      <c r="B13" s="132"/>
      <c r="C13" s="28"/>
      <c r="D13" s="9"/>
      <c r="E13" s="9"/>
      <c r="F13" s="18"/>
    </row>
    <row r="14" spans="1:10" s="1" customFormat="1" ht="15.75" customHeight="1" x14ac:dyDescent="0.25">
      <c r="A14" s="17">
        <v>6</v>
      </c>
      <c r="B14" s="9"/>
      <c r="C14" s="28"/>
      <c r="D14" s="9"/>
      <c r="E14" s="9"/>
      <c r="F14" s="18"/>
    </row>
    <row r="15" spans="1:10" ht="15.75" customHeight="1" x14ac:dyDescent="0.25">
      <c r="A15" s="17">
        <v>7</v>
      </c>
      <c r="B15" s="9"/>
      <c r="C15" s="28"/>
      <c r="D15" s="9"/>
      <c r="E15" s="9"/>
      <c r="F15" s="18"/>
    </row>
    <row r="16" spans="1:10" ht="15.75" customHeight="1" thickBot="1" x14ac:dyDescent="0.3">
      <c r="A16" s="21">
        <v>8</v>
      </c>
      <c r="B16" s="11"/>
      <c r="C16" s="29"/>
      <c r="D16" s="11"/>
      <c r="E16" s="11"/>
      <c r="F16" s="22"/>
    </row>
    <row r="17" spans="1:7" ht="15.75" x14ac:dyDescent="0.25">
      <c r="A17" s="3"/>
      <c r="B17" s="5"/>
      <c r="C17" s="1"/>
      <c r="D17" s="1"/>
      <c r="E17" s="1"/>
      <c r="F17" s="1"/>
      <c r="G17" s="5"/>
    </row>
    <row r="18" spans="1:7" ht="15.75" x14ac:dyDescent="0.25">
      <c r="A18" s="3"/>
      <c r="B18" s="24" t="s">
        <v>4</v>
      </c>
      <c r="G18" s="5"/>
    </row>
    <row r="19" spans="1:7" ht="15.75" thickBot="1" x14ac:dyDescent="0.3">
      <c r="A19" s="3"/>
      <c r="B19" s="2"/>
      <c r="C19" s="1"/>
      <c r="D19" s="1"/>
      <c r="E19" s="1"/>
      <c r="F19" s="1"/>
      <c r="G19" s="1"/>
    </row>
    <row r="20" spans="1:7" ht="15.75" thickBot="1" x14ac:dyDescent="0.3">
      <c r="A20" s="6" t="s">
        <v>2</v>
      </c>
      <c r="B20" s="14" t="s">
        <v>11</v>
      </c>
      <c r="C20" s="14" t="s">
        <v>6</v>
      </c>
      <c r="D20" s="7" t="s">
        <v>0</v>
      </c>
      <c r="E20" s="7" t="s">
        <v>1</v>
      </c>
      <c r="F20" s="8" t="s">
        <v>9</v>
      </c>
    </row>
    <row r="21" spans="1:7" ht="15.75" customHeight="1" x14ac:dyDescent="0.25">
      <c r="A21" s="19">
        <v>1</v>
      </c>
      <c r="B21" s="28">
        <v>2062026</v>
      </c>
      <c r="C21" s="9" t="s">
        <v>63</v>
      </c>
      <c r="D21" s="34" t="s">
        <v>21</v>
      </c>
      <c r="E21" s="35">
        <v>3783</v>
      </c>
      <c r="F21" s="20">
        <v>40</v>
      </c>
    </row>
    <row r="22" spans="1:7" ht="15.75" customHeight="1" x14ac:dyDescent="0.25">
      <c r="A22" s="17">
        <v>2</v>
      </c>
      <c r="B22" s="28">
        <v>2062026</v>
      </c>
      <c r="C22" s="9" t="s">
        <v>64</v>
      </c>
      <c r="D22" s="9" t="s">
        <v>65</v>
      </c>
      <c r="E22" s="9">
        <v>3790</v>
      </c>
      <c r="F22" s="18">
        <v>45</v>
      </c>
    </row>
    <row r="23" spans="1:7" ht="15.75" customHeight="1" x14ac:dyDescent="0.25">
      <c r="A23" s="17"/>
      <c r="B23" s="28"/>
      <c r="C23" s="9"/>
      <c r="D23" s="9"/>
      <c r="E23" s="9"/>
      <c r="F23" s="18"/>
    </row>
    <row r="24" spans="1:7" ht="15.75" customHeight="1" x14ac:dyDescent="0.25">
      <c r="A24" s="17"/>
      <c r="B24" s="28"/>
      <c r="C24" s="9"/>
      <c r="D24" s="9"/>
      <c r="E24" s="9"/>
      <c r="F24" s="18"/>
    </row>
    <row r="25" spans="1:7" ht="15.75" customHeight="1" x14ac:dyDescent="0.25">
      <c r="A25" s="17"/>
      <c r="B25" s="28"/>
      <c r="C25" s="9"/>
      <c r="D25" s="9"/>
      <c r="E25" s="9"/>
      <c r="F25" s="18"/>
    </row>
    <row r="26" spans="1:7" ht="15.75" customHeight="1" x14ac:dyDescent="0.25">
      <c r="A26" s="30"/>
      <c r="B26" s="28"/>
      <c r="C26" s="9"/>
      <c r="D26" s="9"/>
      <c r="E26" s="9"/>
      <c r="F26" s="32"/>
    </row>
    <row r="27" spans="1:7" ht="15.75" customHeight="1" x14ac:dyDescent="0.25">
      <c r="A27" s="30"/>
      <c r="B27" s="36"/>
      <c r="C27" s="31"/>
      <c r="D27" s="31"/>
      <c r="E27" s="31"/>
      <c r="F27" s="32"/>
    </row>
    <row r="28" spans="1:7" ht="15.75" customHeight="1" thickBot="1" x14ac:dyDescent="0.3">
      <c r="A28" s="21"/>
      <c r="B28" s="29"/>
      <c r="C28" s="11"/>
      <c r="D28" s="11"/>
      <c r="E28" s="11"/>
      <c r="F28" s="22"/>
    </row>
    <row r="31" spans="1:7" x14ac:dyDescent="0.25">
      <c r="A31" s="3"/>
      <c r="B31" s="1"/>
      <c r="C31" s="1"/>
      <c r="D31" s="1"/>
      <c r="E31" s="1"/>
      <c r="F31" s="1"/>
      <c r="G31" s="1"/>
    </row>
    <row r="32" spans="1:7" ht="15.75" x14ac:dyDescent="0.25">
      <c r="A32" s="3"/>
      <c r="B32" s="24" t="s">
        <v>66</v>
      </c>
      <c r="C32" s="1"/>
      <c r="E32" s="1"/>
      <c r="F32" s="1"/>
      <c r="G32" s="5"/>
    </row>
    <row r="33" spans="1:7" ht="15.75" thickBot="1" x14ac:dyDescent="0.3">
      <c r="A33" s="3"/>
      <c r="B33" s="2"/>
      <c r="C33" s="1"/>
      <c r="D33" s="1"/>
      <c r="E33" s="1"/>
      <c r="F33" s="1"/>
      <c r="G33" s="1"/>
    </row>
    <row r="34" spans="1:7" ht="15.75" thickBot="1" x14ac:dyDescent="0.3">
      <c r="A34" s="13" t="s">
        <v>2</v>
      </c>
      <c r="B34" s="14" t="s">
        <v>532</v>
      </c>
      <c r="C34" s="14" t="s">
        <v>0</v>
      </c>
      <c r="D34" s="14" t="s">
        <v>14</v>
      </c>
      <c r="E34" s="14" t="s">
        <v>15</v>
      </c>
      <c r="F34" s="16" t="s">
        <v>9</v>
      </c>
    </row>
    <row r="35" spans="1:7" ht="15.75" customHeight="1" x14ac:dyDescent="0.25">
      <c r="A35" s="38">
        <v>1</v>
      </c>
      <c r="B35" s="28">
        <v>2062026</v>
      </c>
      <c r="C35" s="10" t="s">
        <v>33</v>
      </c>
      <c r="D35" s="10" t="s">
        <v>7</v>
      </c>
      <c r="E35" s="10">
        <v>3717</v>
      </c>
      <c r="F35" s="20">
        <v>40</v>
      </c>
    </row>
    <row r="36" spans="1:7" ht="15.75" customHeight="1" x14ac:dyDescent="0.25">
      <c r="A36" s="38">
        <v>2</v>
      </c>
      <c r="B36" s="28">
        <v>2062026</v>
      </c>
      <c r="C36" s="25" t="s">
        <v>50</v>
      </c>
      <c r="D36" s="25">
        <v>17732</v>
      </c>
      <c r="E36" s="25">
        <v>3811</v>
      </c>
      <c r="F36" s="37">
        <v>40</v>
      </c>
    </row>
    <row r="37" spans="1:7" ht="15.75" customHeight="1" x14ac:dyDescent="0.25">
      <c r="A37" s="38">
        <v>3</v>
      </c>
      <c r="B37" s="28">
        <v>2062026</v>
      </c>
      <c r="C37" s="25" t="s">
        <v>51</v>
      </c>
      <c r="D37" s="25" t="s">
        <v>57</v>
      </c>
      <c r="E37" s="25">
        <v>3812</v>
      </c>
      <c r="F37" s="37">
        <v>40</v>
      </c>
    </row>
    <row r="38" spans="1:7" ht="15.75" customHeight="1" x14ac:dyDescent="0.25">
      <c r="A38" s="38">
        <v>4</v>
      </c>
      <c r="B38" s="28">
        <v>2062026</v>
      </c>
      <c r="C38" s="25" t="s">
        <v>52</v>
      </c>
      <c r="D38" s="25" t="s">
        <v>58</v>
      </c>
      <c r="E38" s="25">
        <v>3813</v>
      </c>
      <c r="F38" s="37">
        <v>40</v>
      </c>
    </row>
    <row r="39" spans="1:7" ht="15.75" customHeight="1" x14ac:dyDescent="0.25">
      <c r="A39" s="38">
        <v>5</v>
      </c>
      <c r="B39" s="28">
        <v>2062026</v>
      </c>
      <c r="C39" s="9" t="s">
        <v>53</v>
      </c>
      <c r="D39" s="9" t="s">
        <v>59</v>
      </c>
      <c r="E39" s="9">
        <v>3814</v>
      </c>
      <c r="F39" s="37">
        <v>40</v>
      </c>
    </row>
    <row r="40" spans="1:7" ht="15.75" customHeight="1" x14ac:dyDescent="0.25">
      <c r="A40" s="38">
        <v>6</v>
      </c>
      <c r="B40" s="28">
        <v>2062026</v>
      </c>
      <c r="C40" s="9" t="s">
        <v>55</v>
      </c>
      <c r="D40" s="9" t="s">
        <v>60</v>
      </c>
      <c r="E40" s="9">
        <v>3815</v>
      </c>
      <c r="F40" s="37">
        <v>40</v>
      </c>
    </row>
    <row r="41" spans="1:7" ht="15.75" customHeight="1" x14ac:dyDescent="0.25">
      <c r="A41" s="38">
        <v>7</v>
      </c>
      <c r="B41" s="28">
        <v>2062026</v>
      </c>
      <c r="C41" s="9" t="s">
        <v>54</v>
      </c>
      <c r="D41" s="9" t="s">
        <v>61</v>
      </c>
      <c r="E41" s="9">
        <v>3816</v>
      </c>
      <c r="F41" s="37">
        <v>40</v>
      </c>
    </row>
    <row r="42" spans="1:7" ht="15.75" customHeight="1" x14ac:dyDescent="0.25">
      <c r="A42" s="38">
        <v>8</v>
      </c>
      <c r="B42" s="28">
        <v>2062026</v>
      </c>
      <c r="C42" s="9" t="s">
        <v>56</v>
      </c>
      <c r="D42" s="9" t="s">
        <v>62</v>
      </c>
      <c r="E42" s="9">
        <v>3819</v>
      </c>
      <c r="F42" s="37">
        <v>40</v>
      </c>
    </row>
    <row r="43" spans="1:7" ht="15.75" customHeight="1" x14ac:dyDescent="0.25">
      <c r="A43" s="17"/>
      <c r="B43" s="28"/>
      <c r="C43" s="9"/>
      <c r="D43" s="9"/>
      <c r="E43" s="9"/>
      <c r="F43" s="18"/>
    </row>
    <row r="44" spans="1:7" ht="15.75" customHeight="1" thickBot="1" x14ac:dyDescent="0.3">
      <c r="A44" s="21"/>
      <c r="B44" s="29"/>
      <c r="C44" s="11"/>
      <c r="D44" s="11"/>
      <c r="E44" s="11"/>
      <c r="F44" s="22"/>
    </row>
  </sheetData>
  <mergeCells count="2">
    <mergeCell ref="A3:H3"/>
    <mergeCell ref="B12:B13"/>
  </mergeCells>
  <dataValidations count="2">
    <dataValidation type="list" allowBlank="1" showInputMessage="1" showErrorMessage="1" sqref="F12:F14" xr:uid="{41AE739F-8226-4288-B0B8-93821A5330DF}">
      <formula1>"20,40,45,50"</formula1>
    </dataValidation>
    <dataValidation type="list" allowBlank="1" showInputMessage="1" showErrorMessage="1" sqref="F9:F11" xr:uid="{66DB858A-A667-4EBA-89FE-3AE7BCAE03D7}">
      <formula1>"20,40,45,50,GROUPAGE"</formula1>
    </dataValidation>
  </dataValidations>
  <pageMargins left="0.11811023622047245" right="0.11811023622047245" top="0.74803149606299213" bottom="0.35433070866141736" header="0.31496062992125984" footer="0.31496062992125984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DC9D-7969-426A-AD59-3145BD5484DB}">
  <dimension ref="A1:J100"/>
  <sheetViews>
    <sheetView topLeftCell="A23" workbookViewId="0">
      <selection activeCell="G7" sqref="G7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91">
        <f>COUNTIF(C9:C48,"&lt;&gt;")</f>
        <v>31</v>
      </c>
      <c r="I1" s="90" t="s">
        <v>386</v>
      </c>
    </row>
    <row r="2" spans="1:10" s="1" customFormat="1" ht="24.95" customHeight="1" x14ac:dyDescent="0.25">
      <c r="A2" s="3"/>
      <c r="F2" s="91">
        <f>COUNTIFS(B56:B69,"&lt;&gt;",C56:C69,"VH")</f>
        <v>0</v>
      </c>
      <c r="G2" s="90" t="s">
        <v>25</v>
      </c>
      <c r="H2" s="91">
        <f>COUNTA(C56:C65)-F2</f>
        <v>2</v>
      </c>
      <c r="I2" s="90" t="s">
        <v>386</v>
      </c>
      <c r="J2" s="101">
        <f>COUNTIF(E56:E63,"VIDE")</f>
        <v>0</v>
      </c>
    </row>
    <row r="3" spans="1:10" s="1" customFormat="1" ht="24.95" customHeight="1" x14ac:dyDescent="0.25">
      <c r="A3" s="129" t="s">
        <v>10</v>
      </c>
      <c r="B3" s="129"/>
      <c r="C3" s="129"/>
      <c r="D3" s="129"/>
      <c r="E3" s="129"/>
      <c r="F3" s="129"/>
      <c r="G3" s="129"/>
      <c r="H3" s="129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</row>
    <row r="6" spans="1:10" s="1" customFormat="1" ht="24.95" customHeight="1" x14ac:dyDescent="0.25">
      <c r="A6" s="3"/>
      <c r="B6" s="24" t="s">
        <v>3</v>
      </c>
      <c r="G6" s="26">
        <v>44714</v>
      </c>
    </row>
    <row r="7" spans="1:10" s="1" customFormat="1" thickBot="1" x14ac:dyDescent="0.3">
      <c r="A7" s="3"/>
      <c r="B7" s="2"/>
    </row>
    <row r="8" spans="1:10" s="1" customFormat="1" ht="15.75" customHeight="1" x14ac:dyDescent="0.25">
      <c r="A8" s="13" t="s">
        <v>2</v>
      </c>
      <c r="B8" s="14" t="s">
        <v>8</v>
      </c>
      <c r="C8" s="14" t="s">
        <v>12</v>
      </c>
      <c r="D8" s="14" t="s">
        <v>0</v>
      </c>
      <c r="E8" s="14" t="s">
        <v>1</v>
      </c>
      <c r="F8" s="16" t="s">
        <v>9</v>
      </c>
    </row>
    <row r="9" spans="1:10" s="1" customFormat="1" ht="15.75" customHeight="1" x14ac:dyDescent="0.25">
      <c r="A9" s="40">
        <v>1</v>
      </c>
      <c r="B9" s="42" t="s">
        <v>67</v>
      </c>
      <c r="C9" s="41">
        <v>46176</v>
      </c>
      <c r="D9" s="42" t="s">
        <v>68</v>
      </c>
      <c r="E9" s="43" t="s">
        <v>69</v>
      </c>
      <c r="F9" s="42">
        <v>40</v>
      </c>
    </row>
    <row r="10" spans="1:10" s="1" customFormat="1" ht="15.75" customHeight="1" thickBot="1" x14ac:dyDescent="0.3">
      <c r="A10" s="38">
        <v>2</v>
      </c>
      <c r="B10" s="45" t="s">
        <v>70</v>
      </c>
      <c r="C10" s="41">
        <v>46176</v>
      </c>
      <c r="D10" s="42" t="s">
        <v>71</v>
      </c>
      <c r="E10" s="44" t="s">
        <v>72</v>
      </c>
      <c r="F10" s="42">
        <v>40</v>
      </c>
    </row>
    <row r="11" spans="1:10" s="1" customFormat="1" ht="15.75" customHeight="1" x14ac:dyDescent="0.25">
      <c r="A11" s="38">
        <v>3</v>
      </c>
      <c r="B11" s="133" t="s">
        <v>73</v>
      </c>
      <c r="C11" s="46">
        <v>46176</v>
      </c>
      <c r="D11" s="47" t="s">
        <v>74</v>
      </c>
      <c r="E11" s="43" t="s">
        <v>75</v>
      </c>
      <c r="F11" s="42">
        <v>40</v>
      </c>
    </row>
    <row r="12" spans="1:10" s="1" customFormat="1" ht="15.75" customHeight="1" x14ac:dyDescent="0.25">
      <c r="A12" s="38">
        <v>4</v>
      </c>
      <c r="B12" s="134"/>
      <c r="C12" s="53"/>
      <c r="D12" s="47"/>
      <c r="E12" s="43"/>
      <c r="F12" s="42"/>
      <c r="H12" s="4"/>
    </row>
    <row r="13" spans="1:10" s="1" customFormat="1" ht="15.75" customHeight="1" x14ac:dyDescent="0.25">
      <c r="A13" s="38">
        <v>5</v>
      </c>
      <c r="B13" s="134"/>
      <c r="C13" s="46">
        <v>46176</v>
      </c>
      <c r="D13" s="47" t="s">
        <v>78</v>
      </c>
      <c r="E13" s="42" t="s">
        <v>79</v>
      </c>
      <c r="F13" s="42">
        <v>40</v>
      </c>
    </row>
    <row r="14" spans="1:10" s="1" customFormat="1" ht="15.75" customHeight="1" x14ac:dyDescent="0.25">
      <c r="A14" s="38">
        <v>6</v>
      </c>
      <c r="B14" s="134"/>
      <c r="C14" s="46">
        <v>46176</v>
      </c>
      <c r="D14" s="47" t="s">
        <v>80</v>
      </c>
      <c r="E14" s="42" t="s">
        <v>81</v>
      </c>
      <c r="F14" s="42">
        <v>40</v>
      </c>
    </row>
    <row r="15" spans="1:10" ht="15.75" customHeight="1" x14ac:dyDescent="0.25">
      <c r="A15" s="38">
        <v>7</v>
      </c>
      <c r="B15" s="134"/>
      <c r="C15" s="46">
        <v>46176</v>
      </c>
      <c r="D15" s="47" t="s">
        <v>82</v>
      </c>
      <c r="E15" s="42" t="s">
        <v>83</v>
      </c>
      <c r="F15" s="42">
        <v>40</v>
      </c>
    </row>
    <row r="16" spans="1:10" ht="15.75" customHeight="1" x14ac:dyDescent="0.25">
      <c r="A16" s="38">
        <v>8</v>
      </c>
      <c r="B16" s="134"/>
      <c r="C16" s="46">
        <v>46176</v>
      </c>
      <c r="D16" s="47" t="s">
        <v>84</v>
      </c>
      <c r="E16" s="42" t="s">
        <v>85</v>
      </c>
      <c r="F16" s="42">
        <v>40</v>
      </c>
    </row>
    <row r="17" spans="1:7" ht="15.75" customHeight="1" x14ac:dyDescent="0.25">
      <c r="A17" s="38">
        <v>9</v>
      </c>
      <c r="B17" s="134"/>
      <c r="C17" s="46">
        <v>46176</v>
      </c>
      <c r="D17" s="47" t="s">
        <v>86</v>
      </c>
      <c r="E17" s="42" t="s">
        <v>87</v>
      </c>
      <c r="F17" s="42">
        <v>40</v>
      </c>
      <c r="G17" s="5"/>
    </row>
    <row r="18" spans="1:7" ht="15.75" customHeight="1" thickBot="1" x14ac:dyDescent="0.3">
      <c r="A18" s="38">
        <v>10</v>
      </c>
      <c r="B18" s="135"/>
      <c r="C18" s="46">
        <v>46176</v>
      </c>
      <c r="D18" s="47" t="s">
        <v>88</v>
      </c>
      <c r="E18" s="42" t="s">
        <v>89</v>
      </c>
      <c r="F18" s="42">
        <v>40</v>
      </c>
      <c r="G18" s="5"/>
    </row>
    <row r="19" spans="1:7" ht="15.75" customHeight="1" x14ac:dyDescent="0.25">
      <c r="A19" s="38">
        <v>11</v>
      </c>
      <c r="B19" s="48" t="s">
        <v>90</v>
      </c>
      <c r="C19" s="41">
        <v>46176</v>
      </c>
      <c r="D19" s="42" t="s">
        <v>593</v>
      </c>
      <c r="E19" s="42" t="s">
        <v>91</v>
      </c>
      <c r="F19" s="42">
        <v>40</v>
      </c>
      <c r="G19" s="1"/>
    </row>
    <row r="20" spans="1:7" ht="15.75" customHeight="1" x14ac:dyDescent="0.25">
      <c r="A20" s="38">
        <v>12</v>
      </c>
      <c r="B20" s="42" t="s">
        <v>92</v>
      </c>
      <c r="C20" s="41">
        <v>46176</v>
      </c>
      <c r="D20" s="42" t="s">
        <v>93</v>
      </c>
      <c r="E20" s="42" t="s">
        <v>94</v>
      </c>
      <c r="F20" s="42">
        <v>40</v>
      </c>
    </row>
    <row r="21" spans="1:7" ht="15.75" customHeight="1" x14ac:dyDescent="0.25">
      <c r="A21" s="38">
        <v>13</v>
      </c>
      <c r="B21" s="42" t="s">
        <v>95</v>
      </c>
      <c r="C21" s="41">
        <v>46176</v>
      </c>
      <c r="D21" s="42" t="s">
        <v>96</v>
      </c>
      <c r="E21" s="42" t="s">
        <v>97</v>
      </c>
      <c r="F21" s="42">
        <v>40</v>
      </c>
    </row>
    <row r="22" spans="1:7" ht="15.75" customHeight="1" thickBot="1" x14ac:dyDescent="0.3">
      <c r="A22" s="38">
        <v>14</v>
      </c>
      <c r="B22" s="45" t="s">
        <v>98</v>
      </c>
      <c r="C22" s="41">
        <v>46176</v>
      </c>
      <c r="D22" s="42" t="s">
        <v>99</v>
      </c>
      <c r="E22" s="42" t="s">
        <v>100</v>
      </c>
      <c r="F22" s="42">
        <v>40</v>
      </c>
    </row>
    <row r="23" spans="1:7" ht="15.75" customHeight="1" x14ac:dyDescent="0.25">
      <c r="A23" s="38">
        <v>15</v>
      </c>
      <c r="B23" s="133" t="s">
        <v>101</v>
      </c>
      <c r="C23" s="41">
        <v>46176</v>
      </c>
      <c r="D23" s="47" t="s">
        <v>102</v>
      </c>
      <c r="E23" s="42" t="s">
        <v>103</v>
      </c>
      <c r="F23" s="42">
        <v>40</v>
      </c>
    </row>
    <row r="24" spans="1:7" ht="15.75" customHeight="1" x14ac:dyDescent="0.25">
      <c r="A24" s="38">
        <v>16</v>
      </c>
      <c r="B24" s="134"/>
      <c r="C24" s="41">
        <v>46176</v>
      </c>
      <c r="D24" s="47" t="s">
        <v>104</v>
      </c>
      <c r="E24" s="42" t="s">
        <v>105</v>
      </c>
      <c r="F24" s="42">
        <v>40</v>
      </c>
    </row>
    <row r="25" spans="1:7" ht="15.75" customHeight="1" thickBot="1" x14ac:dyDescent="0.3">
      <c r="A25" s="38">
        <v>17</v>
      </c>
      <c r="B25" s="135"/>
      <c r="C25" s="41">
        <v>46176</v>
      </c>
      <c r="D25" s="47" t="s">
        <v>106</v>
      </c>
      <c r="E25" s="42" t="s">
        <v>107</v>
      </c>
      <c r="F25" s="42">
        <v>40</v>
      </c>
    </row>
    <row r="26" spans="1:7" ht="15.75" customHeight="1" x14ac:dyDescent="0.25">
      <c r="A26" s="38">
        <v>18</v>
      </c>
      <c r="B26" s="133" t="s">
        <v>108</v>
      </c>
      <c r="C26" s="41">
        <v>46176</v>
      </c>
      <c r="D26" s="47" t="s">
        <v>109</v>
      </c>
      <c r="E26" s="49" t="s">
        <v>110</v>
      </c>
      <c r="F26" s="42">
        <v>40</v>
      </c>
    </row>
    <row r="27" spans="1:7" ht="15.75" customHeight="1" x14ac:dyDescent="0.25">
      <c r="A27" s="38">
        <v>19</v>
      </c>
      <c r="B27" s="134"/>
      <c r="C27" s="41">
        <v>46176</v>
      </c>
      <c r="D27" s="47" t="s">
        <v>111</v>
      </c>
      <c r="E27" s="49" t="s">
        <v>112</v>
      </c>
      <c r="F27" s="42">
        <v>40</v>
      </c>
    </row>
    <row r="28" spans="1:7" ht="15.75" customHeight="1" thickBot="1" x14ac:dyDescent="0.3">
      <c r="A28" s="38">
        <v>20</v>
      </c>
      <c r="B28" s="135"/>
      <c r="C28" s="41">
        <v>46176</v>
      </c>
      <c r="D28" s="47" t="s">
        <v>113</v>
      </c>
      <c r="E28" s="42" t="s">
        <v>114</v>
      </c>
      <c r="F28" s="42">
        <v>40</v>
      </c>
    </row>
    <row r="29" spans="1:7" ht="15.75" customHeight="1" x14ac:dyDescent="0.25">
      <c r="A29" s="38">
        <v>21</v>
      </c>
      <c r="B29" s="133" t="s">
        <v>115</v>
      </c>
      <c r="C29" s="41">
        <v>46176</v>
      </c>
      <c r="D29" s="47" t="s">
        <v>116</v>
      </c>
      <c r="E29" s="42" t="s">
        <v>117</v>
      </c>
      <c r="F29" s="42">
        <v>40</v>
      </c>
    </row>
    <row r="30" spans="1:7" ht="15.75" customHeight="1" x14ac:dyDescent="0.25">
      <c r="A30" s="38">
        <v>22</v>
      </c>
      <c r="B30" s="134"/>
      <c r="C30" s="41">
        <v>46176</v>
      </c>
      <c r="D30" s="47" t="s">
        <v>118</v>
      </c>
      <c r="E30" s="42" t="s">
        <v>119</v>
      </c>
      <c r="F30" s="42">
        <v>40</v>
      </c>
    </row>
    <row r="31" spans="1:7" ht="15.75" customHeight="1" x14ac:dyDescent="0.25">
      <c r="A31" s="38">
        <v>23</v>
      </c>
      <c r="B31" s="134"/>
      <c r="C31" s="53"/>
      <c r="D31" s="47"/>
      <c r="E31" s="42"/>
      <c r="F31" s="42"/>
    </row>
    <row r="32" spans="1:7" ht="15.75" customHeight="1" thickBot="1" x14ac:dyDescent="0.3">
      <c r="A32" s="38">
        <v>24</v>
      </c>
      <c r="B32" s="135"/>
      <c r="C32" s="41">
        <v>46176</v>
      </c>
      <c r="D32" s="47" t="s">
        <v>122</v>
      </c>
      <c r="E32" s="42" t="s">
        <v>123</v>
      </c>
      <c r="F32" s="42">
        <v>40</v>
      </c>
    </row>
    <row r="33" spans="1:7" ht="15.75" customHeight="1" x14ac:dyDescent="0.25">
      <c r="A33" s="38">
        <v>25</v>
      </c>
      <c r="B33" s="48" t="s">
        <v>124</v>
      </c>
      <c r="C33" s="41">
        <v>46176</v>
      </c>
      <c r="D33" s="42" t="s">
        <v>125</v>
      </c>
      <c r="E33" s="42" t="s">
        <v>126</v>
      </c>
      <c r="F33" s="42">
        <v>40</v>
      </c>
    </row>
    <row r="34" spans="1:7" ht="15.75" customHeight="1" x14ac:dyDescent="0.25">
      <c r="A34" s="38">
        <v>26</v>
      </c>
      <c r="B34" s="42" t="s">
        <v>128</v>
      </c>
      <c r="C34" s="41">
        <v>46176</v>
      </c>
      <c r="D34" s="42" t="s">
        <v>129</v>
      </c>
      <c r="E34" s="43">
        <v>89913</v>
      </c>
      <c r="F34" s="42">
        <v>40</v>
      </c>
    </row>
    <row r="35" spans="1:7" ht="15.75" customHeight="1" x14ac:dyDescent="0.25">
      <c r="A35" s="38">
        <v>27</v>
      </c>
      <c r="B35" s="42" t="s">
        <v>130</v>
      </c>
      <c r="C35" s="41">
        <v>46176</v>
      </c>
      <c r="D35" s="42" t="s">
        <v>131</v>
      </c>
      <c r="E35" s="44" t="s">
        <v>132</v>
      </c>
      <c r="F35" s="42">
        <v>40</v>
      </c>
    </row>
    <row r="36" spans="1:7" ht="15.75" customHeight="1" x14ac:dyDescent="0.25">
      <c r="A36" s="38">
        <v>28</v>
      </c>
      <c r="B36" s="42" t="s">
        <v>133</v>
      </c>
      <c r="C36" s="54"/>
      <c r="D36" s="42"/>
      <c r="E36" s="43"/>
      <c r="F36" s="42"/>
    </row>
    <row r="37" spans="1:7" ht="15.75" customHeight="1" x14ac:dyDescent="0.25">
      <c r="A37" s="38">
        <v>29</v>
      </c>
      <c r="B37" s="44" t="s">
        <v>136</v>
      </c>
      <c r="C37" s="54"/>
      <c r="D37" s="42"/>
      <c r="E37" s="43"/>
      <c r="F37" s="42"/>
    </row>
    <row r="38" spans="1:7" ht="15.75" customHeight="1" thickBot="1" x14ac:dyDescent="0.3">
      <c r="A38" s="38">
        <v>30</v>
      </c>
      <c r="B38" s="50" t="s">
        <v>139</v>
      </c>
      <c r="C38" s="55"/>
      <c r="D38" s="51" t="s">
        <v>140</v>
      </c>
      <c r="E38" s="51" t="s">
        <v>141</v>
      </c>
      <c r="F38" s="51">
        <v>40</v>
      </c>
    </row>
    <row r="39" spans="1:7" ht="15.75" customHeight="1" x14ac:dyDescent="0.25">
      <c r="A39" s="38">
        <v>31</v>
      </c>
      <c r="B39" s="133" t="s">
        <v>142</v>
      </c>
      <c r="C39" s="41">
        <v>46176</v>
      </c>
      <c r="D39" s="47" t="s">
        <v>143</v>
      </c>
      <c r="E39" s="42" t="s">
        <v>144</v>
      </c>
      <c r="F39" s="42">
        <v>40</v>
      </c>
    </row>
    <row r="40" spans="1:7" ht="15.75" customHeight="1" x14ac:dyDescent="0.25">
      <c r="A40" s="38">
        <v>32</v>
      </c>
      <c r="B40" s="134"/>
      <c r="C40" s="53"/>
      <c r="D40" s="47"/>
      <c r="E40" s="42"/>
      <c r="F40" s="42"/>
    </row>
    <row r="41" spans="1:7" ht="15.75" customHeight="1" x14ac:dyDescent="0.25">
      <c r="A41" s="38">
        <v>33</v>
      </c>
      <c r="B41" s="134"/>
      <c r="C41" s="53"/>
      <c r="D41" s="47"/>
      <c r="E41" s="42"/>
      <c r="F41" s="42"/>
    </row>
    <row r="42" spans="1:7" ht="15.75" customHeight="1" thickBot="1" x14ac:dyDescent="0.3">
      <c r="A42" s="38">
        <v>34</v>
      </c>
      <c r="B42" s="135"/>
      <c r="C42" s="53"/>
      <c r="D42" s="47"/>
      <c r="E42" s="42"/>
      <c r="F42" s="42"/>
      <c r="G42" s="1"/>
    </row>
    <row r="43" spans="1:7" ht="15.75" customHeight="1" x14ac:dyDescent="0.25">
      <c r="A43" s="38">
        <v>35</v>
      </c>
      <c r="B43" s="133" t="s">
        <v>148</v>
      </c>
      <c r="C43" s="41">
        <v>46176</v>
      </c>
      <c r="D43" s="47" t="s">
        <v>149</v>
      </c>
      <c r="E43" s="42">
        <v>2729853</v>
      </c>
      <c r="F43" s="42">
        <v>40</v>
      </c>
      <c r="G43" s="5"/>
    </row>
    <row r="44" spans="1:7" ht="15.75" customHeight="1" thickBot="1" x14ac:dyDescent="0.3">
      <c r="A44" s="38">
        <v>36</v>
      </c>
      <c r="B44" s="135"/>
      <c r="C44" s="41">
        <v>46176</v>
      </c>
      <c r="D44" s="47" t="s">
        <v>150</v>
      </c>
      <c r="E44" s="42">
        <v>2697175</v>
      </c>
      <c r="F44" s="42">
        <v>40</v>
      </c>
      <c r="G44" s="1"/>
    </row>
    <row r="45" spans="1:7" ht="15.75" customHeight="1" x14ac:dyDescent="0.25">
      <c r="A45" s="38">
        <v>37</v>
      </c>
      <c r="B45" s="136" t="s">
        <v>48</v>
      </c>
      <c r="C45" s="41">
        <v>46176</v>
      </c>
      <c r="D45" s="9" t="s">
        <v>40</v>
      </c>
      <c r="E45" s="42" t="s">
        <v>41</v>
      </c>
      <c r="F45" s="42">
        <v>20</v>
      </c>
    </row>
    <row r="46" spans="1:7" ht="15.75" customHeight="1" thickBot="1" x14ac:dyDescent="0.3">
      <c r="A46" s="38">
        <v>38</v>
      </c>
      <c r="B46" s="137"/>
      <c r="C46" s="41">
        <v>46176</v>
      </c>
      <c r="D46" s="47" t="s">
        <v>42</v>
      </c>
      <c r="E46" s="42" t="s">
        <v>43</v>
      </c>
      <c r="F46" s="42">
        <v>20</v>
      </c>
    </row>
    <row r="47" spans="1:7" ht="15.75" customHeight="1" x14ac:dyDescent="0.25">
      <c r="A47" s="38">
        <v>39</v>
      </c>
      <c r="B47" s="48" t="s">
        <v>49</v>
      </c>
      <c r="C47" s="53"/>
      <c r="D47" s="42"/>
      <c r="E47" s="42"/>
      <c r="F47" s="42"/>
      <c r="G47" s="52" t="s">
        <v>127</v>
      </c>
    </row>
    <row r="48" spans="1:7" ht="15.75" customHeight="1" x14ac:dyDescent="0.25">
      <c r="A48" s="38">
        <v>40</v>
      </c>
      <c r="B48" s="44" t="s">
        <v>151</v>
      </c>
      <c r="C48" s="41">
        <v>46176</v>
      </c>
      <c r="D48" s="42" t="s">
        <v>152</v>
      </c>
      <c r="E48" s="42" t="s">
        <v>153</v>
      </c>
      <c r="F48" s="42">
        <v>40</v>
      </c>
    </row>
    <row r="53" spans="1:6" ht="15.75" x14ac:dyDescent="0.25">
      <c r="A53" s="3"/>
      <c r="B53" s="24" t="s">
        <v>4</v>
      </c>
    </row>
    <row r="54" spans="1:6" ht="15.75" thickBot="1" x14ac:dyDescent="0.3">
      <c r="A54" s="3"/>
      <c r="B54" s="2"/>
      <c r="C54" s="1"/>
      <c r="D54" s="1"/>
      <c r="E54" s="1"/>
      <c r="F54" s="1"/>
    </row>
    <row r="55" spans="1:6" ht="15.75" thickBot="1" x14ac:dyDescent="0.3">
      <c r="A55" s="6" t="s">
        <v>2</v>
      </c>
      <c r="B55" s="14" t="s">
        <v>11</v>
      </c>
      <c r="C55" s="14" t="s">
        <v>6</v>
      </c>
      <c r="D55" s="7" t="s">
        <v>0</v>
      </c>
      <c r="E55" s="7" t="s">
        <v>1</v>
      </c>
      <c r="F55" s="8" t="s">
        <v>9</v>
      </c>
    </row>
    <row r="56" spans="1:6" x14ac:dyDescent="0.25">
      <c r="A56" s="19">
        <v>1</v>
      </c>
      <c r="B56" s="28">
        <v>3062026</v>
      </c>
      <c r="C56" s="9" t="s">
        <v>156</v>
      </c>
      <c r="D56" s="34" t="s">
        <v>33</v>
      </c>
      <c r="E56" s="35">
        <v>3817</v>
      </c>
      <c r="F56" s="20">
        <v>40</v>
      </c>
    </row>
    <row r="57" spans="1:6" x14ac:dyDescent="0.25">
      <c r="A57" s="17">
        <v>2</v>
      </c>
      <c r="B57" s="28">
        <v>3062026</v>
      </c>
      <c r="C57" s="9" t="s">
        <v>155</v>
      </c>
      <c r="D57" s="9" t="s">
        <v>157</v>
      </c>
      <c r="E57" s="9">
        <v>2118246</v>
      </c>
      <c r="F57" s="18">
        <v>40</v>
      </c>
    </row>
    <row r="58" spans="1:6" x14ac:dyDescent="0.25">
      <c r="A58" s="17"/>
      <c r="B58" s="28"/>
      <c r="C58" s="9"/>
      <c r="D58" s="9"/>
      <c r="E58" s="9"/>
      <c r="F58" s="18"/>
    </row>
    <row r="59" spans="1:6" x14ac:dyDescent="0.25">
      <c r="A59" s="17"/>
      <c r="B59" s="28"/>
      <c r="C59" s="9"/>
      <c r="D59" s="9"/>
      <c r="E59" s="9"/>
      <c r="F59" s="18"/>
    </row>
    <row r="60" spans="1:6" x14ac:dyDescent="0.25">
      <c r="A60" s="17"/>
      <c r="B60" s="28"/>
      <c r="C60" s="9"/>
      <c r="D60" s="9"/>
      <c r="E60" s="9"/>
      <c r="F60" s="18"/>
    </row>
    <row r="61" spans="1:6" x14ac:dyDescent="0.25">
      <c r="A61" s="30"/>
      <c r="B61" s="28"/>
      <c r="C61" s="9"/>
      <c r="D61" s="9"/>
      <c r="E61" s="9"/>
      <c r="F61" s="32"/>
    </row>
    <row r="62" spans="1:6" x14ac:dyDescent="0.25">
      <c r="A62" s="30"/>
      <c r="B62" s="36"/>
      <c r="C62" s="31"/>
      <c r="D62" s="31"/>
      <c r="E62" s="31"/>
      <c r="F62" s="32"/>
    </row>
    <row r="63" spans="1:6" ht="15.75" thickBot="1" x14ac:dyDescent="0.3">
      <c r="A63" s="21"/>
      <c r="B63" s="29"/>
      <c r="C63" s="11"/>
      <c r="D63" s="11"/>
      <c r="E63" s="11"/>
      <c r="F63" s="22"/>
    </row>
    <row r="64" spans="1:6" ht="15.75" x14ac:dyDescent="0.25">
      <c r="A64" s="3"/>
      <c r="B64" s="24" t="s">
        <v>66</v>
      </c>
      <c r="C64" s="1"/>
      <c r="E64" s="1"/>
      <c r="F64" s="1"/>
    </row>
    <row r="65" spans="1:6" ht="15.75" thickBot="1" x14ac:dyDescent="0.3">
      <c r="A65" s="3"/>
      <c r="B65" s="2"/>
      <c r="C65" s="1"/>
      <c r="D65" s="1"/>
      <c r="E65" s="1"/>
      <c r="F65" s="1"/>
    </row>
    <row r="66" spans="1:6" ht="15.75" thickBot="1" x14ac:dyDescent="0.3">
      <c r="A66" s="13" t="s">
        <v>2</v>
      </c>
      <c r="B66" s="14" t="s">
        <v>532</v>
      </c>
      <c r="C66" s="14" t="s">
        <v>0</v>
      </c>
      <c r="D66" s="14" t="s">
        <v>14</v>
      </c>
      <c r="E66" s="14" t="s">
        <v>15</v>
      </c>
      <c r="F66" s="16" t="s">
        <v>9</v>
      </c>
    </row>
    <row r="67" spans="1:6" x14ac:dyDescent="0.25">
      <c r="A67" s="38"/>
      <c r="B67" s="28"/>
      <c r="C67" s="10"/>
      <c r="D67" s="10"/>
      <c r="E67" s="10"/>
      <c r="F67" s="20"/>
    </row>
    <row r="68" spans="1:6" x14ac:dyDescent="0.25">
      <c r="A68" s="17"/>
      <c r="B68" s="28"/>
      <c r="C68" s="9"/>
      <c r="D68" s="9"/>
      <c r="E68" s="9"/>
      <c r="F68" s="18"/>
    </row>
    <row r="69" spans="1:6" ht="15.75" thickBot="1" x14ac:dyDescent="0.3">
      <c r="A69" s="21"/>
      <c r="B69" s="29"/>
      <c r="C69" s="11"/>
      <c r="D69" s="11"/>
      <c r="E69" s="11"/>
      <c r="F69" s="22"/>
    </row>
    <row r="100" spans="7:7" ht="21" x14ac:dyDescent="0.25">
      <c r="G100" s="52" t="s">
        <v>154</v>
      </c>
    </row>
  </sheetData>
  <mergeCells count="8">
    <mergeCell ref="A3:H3"/>
    <mergeCell ref="B23:B25"/>
    <mergeCell ref="B39:B42"/>
    <mergeCell ref="B43:B44"/>
    <mergeCell ref="B45:B46"/>
    <mergeCell ref="B11:B18"/>
    <mergeCell ref="B26:B28"/>
    <mergeCell ref="B29:B32"/>
  </mergeCells>
  <conditionalFormatting sqref="G9">
    <cfRule type="expression" dxfId="17" priority="3">
      <formula>LEFT(CELL("format",B34))</formula>
    </cfRule>
  </conditionalFormatting>
  <dataValidations count="1">
    <dataValidation type="list" allowBlank="1" showInputMessage="1" showErrorMessage="1" sqref="F9:F47" xr:uid="{A8508DE8-7BA8-4492-AD37-9C9AAEE44AC6}">
      <formula1>"20,40,45,50"</formula1>
    </dataValidation>
  </dataValidations>
  <pageMargins left="0.11811023622047245" right="0.11811023622047245" top="0.35433070866141736" bottom="0.35433070866141736" header="0.31496062992125984" footer="0.31496062992125984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6210-2A5E-43F7-B6D8-EECB7F40E991}">
  <dimension ref="A1:J44"/>
  <sheetViews>
    <sheetView workbookViewId="0">
      <selection activeCell="G7" sqref="G7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91">
        <f>COUNTIF(C9:C16,"&lt;&gt;")</f>
        <v>4</v>
      </c>
      <c r="I1" s="90" t="s">
        <v>386</v>
      </c>
    </row>
    <row r="2" spans="1:10" s="1" customFormat="1" ht="24.95" customHeight="1" x14ac:dyDescent="0.25">
      <c r="A2" s="3"/>
      <c r="F2" s="91">
        <f>COUNTIFS(B21:B34,"&lt;&gt;",C21:C34,"VH")</f>
        <v>0</v>
      </c>
      <c r="G2" s="90" t="s">
        <v>25</v>
      </c>
      <c r="H2" s="91">
        <f>COUNTA(C21:C30)-F2</f>
        <v>1</v>
      </c>
      <c r="I2" s="90" t="s">
        <v>386</v>
      </c>
      <c r="J2" s="101">
        <f>COUNTIF(E19:E27,"VIDE")</f>
        <v>0</v>
      </c>
    </row>
    <row r="3" spans="1:10" s="1" customFormat="1" ht="24.95" customHeight="1" x14ac:dyDescent="0.25">
      <c r="A3" s="129" t="s">
        <v>10</v>
      </c>
      <c r="B3" s="129"/>
      <c r="C3" s="129"/>
      <c r="D3" s="129"/>
      <c r="E3" s="129"/>
      <c r="F3" s="129"/>
      <c r="G3" s="129"/>
      <c r="H3" s="129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</row>
    <row r="6" spans="1:10" s="1" customFormat="1" ht="24.95" customHeight="1" x14ac:dyDescent="0.25">
      <c r="A6" s="3"/>
      <c r="B6" s="24" t="s">
        <v>3</v>
      </c>
      <c r="F6" s="1" t="s">
        <v>158</v>
      </c>
      <c r="G6" s="26">
        <v>44715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13" t="s">
        <v>2</v>
      </c>
      <c r="B8" s="14" t="s">
        <v>8</v>
      </c>
      <c r="C8" s="14" t="s">
        <v>12</v>
      </c>
      <c r="D8" s="14" t="s">
        <v>0</v>
      </c>
      <c r="E8" s="14" t="s">
        <v>1</v>
      </c>
      <c r="F8" s="16" t="s">
        <v>9</v>
      </c>
    </row>
    <row r="9" spans="1:10" s="1" customFormat="1" ht="15.75" customHeight="1" x14ac:dyDescent="0.25">
      <c r="A9" s="19">
        <v>1</v>
      </c>
      <c r="B9" s="64"/>
      <c r="C9" s="62"/>
      <c r="D9" s="56"/>
      <c r="E9" s="57"/>
      <c r="F9" s="58"/>
    </row>
    <row r="10" spans="1:10" s="1" customFormat="1" ht="15.75" customHeight="1" x14ac:dyDescent="0.25">
      <c r="A10" s="17">
        <v>2</v>
      </c>
      <c r="B10" s="39" t="s">
        <v>115</v>
      </c>
      <c r="C10" s="28">
        <v>4062026</v>
      </c>
      <c r="D10" s="42" t="s">
        <v>120</v>
      </c>
      <c r="E10" s="42" t="s">
        <v>121</v>
      </c>
      <c r="F10" s="59">
        <v>20</v>
      </c>
    </row>
    <row r="11" spans="1:10" s="1" customFormat="1" ht="15.75" customHeight="1" x14ac:dyDescent="0.25">
      <c r="A11" s="17">
        <v>3</v>
      </c>
      <c r="B11" s="42" t="s">
        <v>133</v>
      </c>
      <c r="C11" s="28">
        <v>4062026</v>
      </c>
      <c r="D11" s="42" t="s">
        <v>134</v>
      </c>
      <c r="E11" s="43" t="s">
        <v>135</v>
      </c>
      <c r="F11" s="59">
        <v>40</v>
      </c>
    </row>
    <row r="12" spans="1:10" s="1" customFormat="1" ht="15.75" customHeight="1" x14ac:dyDescent="0.25">
      <c r="A12" s="17">
        <v>4</v>
      </c>
      <c r="B12" s="44" t="s">
        <v>139</v>
      </c>
      <c r="C12" s="28">
        <v>4062026</v>
      </c>
      <c r="D12" s="42" t="s">
        <v>137</v>
      </c>
      <c r="E12" s="43" t="s">
        <v>138</v>
      </c>
      <c r="F12" s="59">
        <v>40</v>
      </c>
      <c r="H12" s="4"/>
    </row>
    <row r="13" spans="1:10" s="1" customFormat="1" ht="15.75" customHeight="1" x14ac:dyDescent="0.25">
      <c r="A13" s="17">
        <v>5</v>
      </c>
      <c r="B13" s="138"/>
      <c r="C13" s="63"/>
      <c r="D13" s="42"/>
      <c r="E13" s="42"/>
      <c r="F13" s="59"/>
    </row>
    <row r="14" spans="1:10" s="1" customFormat="1" ht="15.75" customHeight="1" x14ac:dyDescent="0.25">
      <c r="A14" s="17">
        <v>6</v>
      </c>
      <c r="B14" s="138"/>
      <c r="C14" s="63"/>
      <c r="D14" s="42"/>
      <c r="E14" s="42"/>
      <c r="F14" s="59"/>
    </row>
    <row r="15" spans="1:10" ht="15.75" customHeight="1" x14ac:dyDescent="0.25">
      <c r="A15" s="17">
        <v>7</v>
      </c>
      <c r="B15" s="138"/>
      <c r="C15" s="63"/>
      <c r="D15" s="42"/>
      <c r="E15" s="42"/>
      <c r="F15" s="59"/>
    </row>
    <row r="16" spans="1:10" ht="15.75" customHeight="1" thickBot="1" x14ac:dyDescent="0.3">
      <c r="A16" s="21">
        <v>8</v>
      </c>
      <c r="B16" s="60" t="s">
        <v>49</v>
      </c>
      <c r="C16" s="29">
        <v>4062026</v>
      </c>
      <c r="D16" s="60" t="s">
        <v>44</v>
      </c>
      <c r="E16" s="60">
        <v>656800</v>
      </c>
      <c r="F16" s="61">
        <v>40</v>
      </c>
    </row>
    <row r="17" spans="1:7" ht="15.75" x14ac:dyDescent="0.25">
      <c r="A17" s="3"/>
      <c r="B17" s="5"/>
      <c r="C17" s="1"/>
      <c r="D17" s="1"/>
      <c r="E17" s="1"/>
      <c r="F17" s="1"/>
      <c r="G17" s="5"/>
    </row>
    <row r="18" spans="1:7" ht="15.75" x14ac:dyDescent="0.25">
      <c r="A18" s="3"/>
      <c r="B18" s="24" t="s">
        <v>4</v>
      </c>
      <c r="G18" s="5"/>
    </row>
    <row r="19" spans="1:7" ht="15.75" thickBot="1" x14ac:dyDescent="0.3">
      <c r="A19" s="3"/>
      <c r="B19" s="2"/>
      <c r="C19" s="1"/>
      <c r="D19" s="1"/>
      <c r="E19" s="1"/>
      <c r="F19" s="1"/>
      <c r="G19" s="1"/>
    </row>
    <row r="20" spans="1:7" ht="15.75" thickBot="1" x14ac:dyDescent="0.3">
      <c r="A20" s="6" t="s">
        <v>2</v>
      </c>
      <c r="B20" s="14" t="s">
        <v>11</v>
      </c>
      <c r="C20" s="14" t="s">
        <v>6</v>
      </c>
      <c r="D20" s="7" t="s">
        <v>0</v>
      </c>
      <c r="E20" s="7" t="s">
        <v>1</v>
      </c>
      <c r="F20" s="8" t="s">
        <v>9</v>
      </c>
    </row>
    <row r="21" spans="1:7" ht="15.75" customHeight="1" x14ac:dyDescent="0.25">
      <c r="A21" s="19">
        <v>1</v>
      </c>
      <c r="B21" s="28">
        <v>4062026</v>
      </c>
      <c r="C21" s="9" t="s">
        <v>159</v>
      </c>
      <c r="D21" s="34" t="s">
        <v>160</v>
      </c>
      <c r="E21" s="35">
        <v>3787</v>
      </c>
      <c r="F21" s="20">
        <v>40</v>
      </c>
    </row>
    <row r="22" spans="1:7" ht="15.75" customHeight="1" x14ac:dyDescent="0.25">
      <c r="A22" s="17"/>
      <c r="B22" s="28"/>
      <c r="C22" s="9"/>
      <c r="D22" s="9"/>
      <c r="E22" s="9"/>
      <c r="F22" s="18"/>
    </row>
    <row r="23" spans="1:7" ht="15.75" customHeight="1" x14ac:dyDescent="0.25">
      <c r="A23" s="17"/>
      <c r="B23" s="28"/>
      <c r="C23" s="9"/>
      <c r="D23" s="9"/>
      <c r="E23" s="9"/>
      <c r="F23" s="18"/>
    </row>
    <row r="24" spans="1:7" ht="15.75" customHeight="1" x14ac:dyDescent="0.25">
      <c r="A24" s="17"/>
      <c r="B24" s="28"/>
      <c r="C24" s="9"/>
      <c r="D24" s="9"/>
      <c r="E24" s="9"/>
      <c r="F24" s="18"/>
    </row>
    <row r="25" spans="1:7" ht="15.75" customHeight="1" x14ac:dyDescent="0.25">
      <c r="A25" s="17"/>
      <c r="B25" s="28"/>
      <c r="C25" s="9"/>
      <c r="D25" s="9"/>
      <c r="E25" s="9"/>
      <c r="F25" s="18"/>
    </row>
    <row r="26" spans="1:7" ht="15.75" customHeight="1" x14ac:dyDescent="0.25">
      <c r="A26" s="30"/>
      <c r="B26" s="28"/>
      <c r="C26" s="9"/>
      <c r="D26" s="9"/>
      <c r="E26" s="9"/>
      <c r="F26" s="32"/>
    </row>
    <row r="27" spans="1:7" ht="15.75" customHeight="1" x14ac:dyDescent="0.25">
      <c r="A27" s="30"/>
      <c r="B27" s="36"/>
      <c r="C27" s="31"/>
      <c r="D27" s="31"/>
      <c r="E27" s="31"/>
      <c r="F27" s="32"/>
    </row>
    <row r="28" spans="1:7" ht="15.75" customHeight="1" thickBot="1" x14ac:dyDescent="0.3">
      <c r="A28" s="21"/>
      <c r="B28" s="29"/>
      <c r="C28" s="11"/>
      <c r="D28" s="11"/>
      <c r="E28" s="11"/>
      <c r="F28" s="22"/>
    </row>
    <row r="31" spans="1:7" x14ac:dyDescent="0.25">
      <c r="A31" s="3"/>
      <c r="B31" s="1"/>
      <c r="C31" s="1"/>
      <c r="D31" s="1"/>
      <c r="E31" s="1"/>
      <c r="F31" s="1"/>
      <c r="G31" s="1"/>
    </row>
    <row r="32" spans="1:7" ht="15.75" x14ac:dyDescent="0.25">
      <c r="A32" s="3"/>
      <c r="B32" s="24" t="s">
        <v>66</v>
      </c>
      <c r="C32" s="1"/>
      <c r="E32" s="1"/>
      <c r="F32" s="1"/>
      <c r="G32" s="5"/>
    </row>
    <row r="33" spans="1:7" ht="15.75" thickBot="1" x14ac:dyDescent="0.3">
      <c r="A33" s="3"/>
      <c r="B33" s="2"/>
      <c r="C33" s="1"/>
      <c r="D33" s="1"/>
      <c r="E33" s="1"/>
      <c r="F33" s="1"/>
      <c r="G33" s="1"/>
    </row>
    <row r="34" spans="1:7" ht="15.75" thickBot="1" x14ac:dyDescent="0.3">
      <c r="A34" s="13" t="s">
        <v>2</v>
      </c>
      <c r="B34" s="14" t="s">
        <v>532</v>
      </c>
      <c r="C34" s="14" t="s">
        <v>0</v>
      </c>
      <c r="D34" s="14" t="s">
        <v>14</v>
      </c>
      <c r="E34" s="14" t="s">
        <v>15</v>
      </c>
      <c r="F34" s="16" t="s">
        <v>9</v>
      </c>
    </row>
    <row r="35" spans="1:7" ht="15.75" customHeight="1" x14ac:dyDescent="0.25">
      <c r="A35" s="38">
        <v>1</v>
      </c>
      <c r="B35" s="28">
        <v>4062026</v>
      </c>
      <c r="C35" s="10" t="s">
        <v>161</v>
      </c>
      <c r="D35" s="10"/>
      <c r="E35" s="10">
        <v>3840</v>
      </c>
      <c r="F35" s="20">
        <v>40</v>
      </c>
    </row>
    <row r="36" spans="1:7" ht="15.75" customHeight="1" x14ac:dyDescent="0.25">
      <c r="A36" s="38">
        <v>2</v>
      </c>
      <c r="B36" s="28">
        <v>4062026</v>
      </c>
      <c r="C36" s="25" t="s">
        <v>162</v>
      </c>
      <c r="D36" s="25"/>
      <c r="E36" s="25">
        <v>3781</v>
      </c>
      <c r="F36" s="37">
        <v>40</v>
      </c>
    </row>
    <row r="37" spans="1:7" ht="15.75" customHeight="1" x14ac:dyDescent="0.25">
      <c r="A37" s="38">
        <v>3</v>
      </c>
      <c r="B37" s="28">
        <v>4062026</v>
      </c>
      <c r="C37" s="25" t="s">
        <v>50</v>
      </c>
      <c r="D37" s="25"/>
      <c r="E37" s="25">
        <v>3782</v>
      </c>
      <c r="F37" s="37">
        <v>40</v>
      </c>
    </row>
    <row r="38" spans="1:7" ht="15.75" customHeight="1" x14ac:dyDescent="0.25">
      <c r="A38" s="38"/>
      <c r="B38" s="28"/>
      <c r="C38" s="25"/>
      <c r="D38" s="25"/>
      <c r="E38" s="25"/>
      <c r="F38" s="37"/>
    </row>
    <row r="39" spans="1:7" ht="15.75" customHeight="1" x14ac:dyDescent="0.25">
      <c r="A39" s="38"/>
      <c r="B39" s="28"/>
      <c r="C39" s="9"/>
      <c r="D39" s="9"/>
      <c r="E39" s="9"/>
      <c r="F39" s="37"/>
    </row>
    <row r="40" spans="1:7" ht="15.75" customHeight="1" x14ac:dyDescent="0.25">
      <c r="A40" s="38"/>
      <c r="B40" s="28"/>
      <c r="C40" s="9"/>
      <c r="D40" s="9"/>
      <c r="E40" s="9"/>
      <c r="F40" s="37"/>
    </row>
    <row r="41" spans="1:7" ht="15.75" customHeight="1" x14ac:dyDescent="0.25">
      <c r="A41" s="38"/>
      <c r="B41" s="28"/>
      <c r="C41" s="9"/>
      <c r="D41" s="9"/>
      <c r="E41" s="9"/>
      <c r="F41" s="37"/>
    </row>
    <row r="42" spans="1:7" ht="15.75" customHeight="1" x14ac:dyDescent="0.25">
      <c r="A42" s="38"/>
      <c r="B42" s="28"/>
      <c r="C42" s="9"/>
      <c r="D42" s="9"/>
      <c r="E42" s="9"/>
      <c r="F42" s="37"/>
    </row>
    <row r="43" spans="1:7" ht="15.75" customHeight="1" x14ac:dyDescent="0.25">
      <c r="A43" s="17"/>
      <c r="B43" s="28"/>
      <c r="C43" s="9"/>
      <c r="D43" s="9"/>
      <c r="E43" s="9"/>
      <c r="F43" s="18"/>
    </row>
    <row r="44" spans="1:7" ht="15.75" customHeight="1" thickBot="1" x14ac:dyDescent="0.3">
      <c r="A44" s="21"/>
      <c r="B44" s="29"/>
      <c r="C44" s="11"/>
      <c r="D44" s="11"/>
      <c r="E44" s="11"/>
      <c r="F44" s="22"/>
    </row>
  </sheetData>
  <mergeCells count="2">
    <mergeCell ref="A3:H3"/>
    <mergeCell ref="B13:B15"/>
  </mergeCells>
  <conditionalFormatting sqref="G9">
    <cfRule type="expression" dxfId="16" priority="1">
      <formula>LEFT(CELL("format",C9))</formula>
    </cfRule>
  </conditionalFormatting>
  <dataValidations count="1">
    <dataValidation type="list" allowBlank="1" showInputMessage="1" showErrorMessage="1" sqref="F9:F16" xr:uid="{CFF6C0B1-8F3E-4A54-BF84-9F8D1B2FEECC}">
      <formula1>"20,40,45,50"</formula1>
    </dataValidation>
  </dataValidations>
  <pageMargins left="0.31496062992125984" right="0.31496062992125984" top="0.74803149606299213" bottom="0.35433070866141736" header="0.31496062992125984" footer="0.31496062992125984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6C71-CDFC-4111-97D0-0EA8F587D203}">
  <dimension ref="A1:J45"/>
  <sheetViews>
    <sheetView workbookViewId="0">
      <selection activeCell="G7" sqref="G7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91">
        <f>COUNTIF(C9:C18,"&lt;&gt;")</f>
        <v>10</v>
      </c>
      <c r="I1" s="90" t="s">
        <v>386</v>
      </c>
    </row>
    <row r="2" spans="1:10" s="1" customFormat="1" ht="24.95" customHeight="1" x14ac:dyDescent="0.25">
      <c r="A2" s="3"/>
      <c r="F2" s="91">
        <f>COUNTIFS(B25:B38,"&lt;&gt;",C25:C38,"VH")</f>
        <v>0</v>
      </c>
      <c r="G2" s="90" t="s">
        <v>25</v>
      </c>
      <c r="H2" s="91">
        <f>COUNTA(C25:C34)-F2</f>
        <v>3</v>
      </c>
      <c r="I2" s="90" t="s">
        <v>386</v>
      </c>
      <c r="J2" s="101">
        <f>COUNTIF(E19:E27,"VIDE")</f>
        <v>1</v>
      </c>
    </row>
    <row r="3" spans="1:10" s="1" customFormat="1" ht="24.95" customHeight="1" x14ac:dyDescent="0.25">
      <c r="A3" s="129" t="s">
        <v>10</v>
      </c>
      <c r="B3" s="129"/>
      <c r="C3" s="129"/>
      <c r="D3" s="129"/>
      <c r="E3" s="129"/>
      <c r="F3" s="129"/>
      <c r="G3" s="129"/>
      <c r="H3" s="129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</row>
    <row r="6" spans="1:10" s="1" customFormat="1" ht="24.95" customHeight="1" x14ac:dyDescent="0.25">
      <c r="A6" s="3"/>
      <c r="B6" s="24" t="s">
        <v>3</v>
      </c>
      <c r="F6" s="1" t="s">
        <v>158</v>
      </c>
      <c r="G6" s="26">
        <v>44718</v>
      </c>
    </row>
    <row r="7" spans="1:10" s="1" customFormat="1" thickBot="1" x14ac:dyDescent="0.3">
      <c r="A7" s="3"/>
      <c r="B7" s="2"/>
    </row>
    <row r="8" spans="1:10" s="1" customFormat="1" ht="15.75" customHeight="1" x14ac:dyDescent="0.25">
      <c r="A8" s="13" t="s">
        <v>2</v>
      </c>
      <c r="B8" s="14" t="s">
        <v>8</v>
      </c>
      <c r="C8" s="14" t="s">
        <v>12</v>
      </c>
      <c r="D8" s="14" t="s">
        <v>0</v>
      </c>
      <c r="E8" s="14" t="s">
        <v>1</v>
      </c>
      <c r="F8" s="16" t="s">
        <v>9</v>
      </c>
    </row>
    <row r="9" spans="1:10" s="1" customFormat="1" ht="15.75" customHeight="1" x14ac:dyDescent="0.25">
      <c r="A9" s="38">
        <v>1</v>
      </c>
      <c r="B9" s="139" t="s">
        <v>180</v>
      </c>
      <c r="C9" s="41">
        <v>46180</v>
      </c>
      <c r="D9" s="42" t="s">
        <v>165</v>
      </c>
      <c r="E9" s="43" t="s">
        <v>166</v>
      </c>
      <c r="F9" s="42">
        <v>40</v>
      </c>
    </row>
    <row r="10" spans="1:10" s="1" customFormat="1" ht="15.75" customHeight="1" x14ac:dyDescent="0.25">
      <c r="A10" s="38">
        <v>2</v>
      </c>
      <c r="B10" s="140"/>
      <c r="C10" s="41">
        <v>46180</v>
      </c>
      <c r="D10" s="42" t="s">
        <v>461</v>
      </c>
      <c r="E10" s="42" t="s">
        <v>167</v>
      </c>
      <c r="F10" s="42">
        <v>40</v>
      </c>
    </row>
    <row r="11" spans="1:10" s="1" customFormat="1" ht="15.75" customHeight="1" x14ac:dyDescent="0.25">
      <c r="A11" s="38">
        <v>3</v>
      </c>
      <c r="B11" s="140"/>
      <c r="C11" s="41">
        <v>46180</v>
      </c>
      <c r="D11" s="42" t="s">
        <v>168</v>
      </c>
      <c r="E11" s="43" t="s">
        <v>169</v>
      </c>
      <c r="F11" s="42">
        <v>40</v>
      </c>
    </row>
    <row r="12" spans="1:10" s="1" customFormat="1" ht="15.75" customHeight="1" x14ac:dyDescent="0.25">
      <c r="A12" s="38">
        <v>4</v>
      </c>
      <c r="B12" s="140"/>
      <c r="C12" s="41">
        <v>46180</v>
      </c>
      <c r="D12" s="42" t="s">
        <v>462</v>
      </c>
      <c r="E12" s="43" t="s">
        <v>171</v>
      </c>
      <c r="F12" s="42">
        <v>40</v>
      </c>
      <c r="H12" s="4"/>
    </row>
    <row r="13" spans="1:10" s="1" customFormat="1" ht="15.75" customHeight="1" x14ac:dyDescent="0.25">
      <c r="A13" s="38">
        <v>5</v>
      </c>
      <c r="B13" s="140"/>
      <c r="C13" s="41">
        <v>46180</v>
      </c>
      <c r="D13" s="42" t="s">
        <v>172</v>
      </c>
      <c r="E13" s="42" t="s">
        <v>173</v>
      </c>
      <c r="F13" s="42">
        <v>40</v>
      </c>
    </row>
    <row r="14" spans="1:10" s="1" customFormat="1" ht="15.75" customHeight="1" x14ac:dyDescent="0.25">
      <c r="A14" s="38">
        <v>6</v>
      </c>
      <c r="B14" s="140"/>
      <c r="C14" s="41">
        <v>46180</v>
      </c>
      <c r="D14" s="42" t="s">
        <v>174</v>
      </c>
      <c r="E14" s="42" t="s">
        <v>175</v>
      </c>
      <c r="F14" s="42">
        <v>40</v>
      </c>
    </row>
    <row r="15" spans="1:10" ht="15.75" customHeight="1" x14ac:dyDescent="0.25">
      <c r="A15" s="38">
        <v>7</v>
      </c>
      <c r="B15" s="141"/>
      <c r="C15" s="41">
        <v>46180</v>
      </c>
      <c r="D15" s="42" t="s">
        <v>176</v>
      </c>
      <c r="E15" s="42" t="s">
        <v>177</v>
      </c>
      <c r="F15" s="42">
        <v>40</v>
      </c>
    </row>
    <row r="16" spans="1:10" ht="15.75" customHeight="1" x14ac:dyDescent="0.25">
      <c r="A16" s="38">
        <v>8</v>
      </c>
      <c r="B16" s="139" t="s">
        <v>181</v>
      </c>
      <c r="C16" s="41">
        <v>46180</v>
      </c>
      <c r="D16" s="42" t="s">
        <v>178</v>
      </c>
      <c r="E16" s="42">
        <v>882399</v>
      </c>
      <c r="F16" s="42">
        <v>40</v>
      </c>
    </row>
    <row r="17" spans="1:7" ht="15.75" x14ac:dyDescent="0.25">
      <c r="A17" s="38">
        <v>9</v>
      </c>
      <c r="B17" s="141"/>
      <c r="C17" s="41">
        <v>46180</v>
      </c>
      <c r="D17" s="42" t="s">
        <v>179</v>
      </c>
      <c r="E17" s="42">
        <v>886585</v>
      </c>
      <c r="F17" s="42">
        <v>40</v>
      </c>
      <c r="G17" s="5"/>
    </row>
    <row r="18" spans="1:7" ht="15.75" x14ac:dyDescent="0.25">
      <c r="A18" s="38">
        <v>10</v>
      </c>
      <c r="B18" s="44" t="s">
        <v>182</v>
      </c>
      <c r="C18" s="41">
        <v>46180</v>
      </c>
      <c r="D18" s="42" t="s">
        <v>76</v>
      </c>
      <c r="E18" s="43" t="s">
        <v>77</v>
      </c>
      <c r="F18" s="42">
        <v>40</v>
      </c>
      <c r="G18" s="5"/>
    </row>
    <row r="19" spans="1:7" ht="15.75" x14ac:dyDescent="0.25">
      <c r="A19" s="38">
        <v>11</v>
      </c>
      <c r="B19" s="66"/>
      <c r="C19" s="67"/>
      <c r="D19" s="42"/>
      <c r="E19" s="42"/>
      <c r="F19" s="42"/>
      <c r="G19" s="5"/>
    </row>
    <row r="20" spans="1:7" ht="15.75" x14ac:dyDescent="0.25">
      <c r="A20" s="38">
        <v>12</v>
      </c>
      <c r="B20" s="66"/>
      <c r="C20" s="67"/>
      <c r="D20" s="42"/>
      <c r="E20" s="42"/>
      <c r="F20" s="42"/>
      <c r="G20" s="5"/>
    </row>
    <row r="21" spans="1:7" ht="15.75" x14ac:dyDescent="0.25">
      <c r="A21" s="3"/>
      <c r="B21" s="5"/>
      <c r="C21" s="1"/>
      <c r="D21" s="65"/>
      <c r="E21" s="65"/>
      <c r="F21" s="65"/>
      <c r="G21" s="5"/>
    </row>
    <row r="22" spans="1:7" ht="15.75" x14ac:dyDescent="0.25">
      <c r="A22" s="3"/>
      <c r="B22" s="24" t="s">
        <v>4</v>
      </c>
      <c r="G22" s="5"/>
    </row>
    <row r="23" spans="1:7" ht="15.75" thickBot="1" x14ac:dyDescent="0.3">
      <c r="A23" s="3"/>
      <c r="B23" s="2"/>
      <c r="C23" s="1"/>
      <c r="D23" s="1"/>
      <c r="E23" s="1"/>
      <c r="F23" s="1"/>
      <c r="G23" s="1"/>
    </row>
    <row r="24" spans="1:7" ht="15.75" thickBot="1" x14ac:dyDescent="0.3">
      <c r="A24" s="6" t="s">
        <v>2</v>
      </c>
      <c r="B24" s="14" t="s">
        <v>11</v>
      </c>
      <c r="C24" s="14" t="s">
        <v>6</v>
      </c>
      <c r="D24" s="7" t="s">
        <v>0</v>
      </c>
      <c r="E24" s="7" t="s">
        <v>1</v>
      </c>
      <c r="F24" s="8" t="s">
        <v>9</v>
      </c>
    </row>
    <row r="25" spans="1:7" ht="15.75" customHeight="1" x14ac:dyDescent="0.25">
      <c r="A25" s="19">
        <v>1</v>
      </c>
      <c r="B25" s="28">
        <v>7062026</v>
      </c>
      <c r="C25" s="9" t="s">
        <v>189</v>
      </c>
      <c r="D25" s="34" t="s">
        <v>163</v>
      </c>
      <c r="E25" s="35" t="s">
        <v>164</v>
      </c>
      <c r="F25" s="20">
        <v>40</v>
      </c>
    </row>
    <row r="26" spans="1:7" ht="15.75" customHeight="1" x14ac:dyDescent="0.25">
      <c r="A26" s="17">
        <v>2</v>
      </c>
      <c r="B26" s="28">
        <v>7062026</v>
      </c>
      <c r="C26" s="9" t="s">
        <v>190</v>
      </c>
      <c r="D26" s="9" t="s">
        <v>191</v>
      </c>
      <c r="E26" s="9">
        <v>3781</v>
      </c>
      <c r="F26" s="18">
        <v>45</v>
      </c>
    </row>
    <row r="27" spans="1:7" ht="15.75" customHeight="1" x14ac:dyDescent="0.25">
      <c r="A27" s="17">
        <v>3</v>
      </c>
      <c r="B27" s="28">
        <v>7062026</v>
      </c>
      <c r="C27" s="9" t="s">
        <v>156</v>
      </c>
      <c r="D27" s="9" t="s">
        <v>192</v>
      </c>
      <c r="E27" s="9">
        <v>3786</v>
      </c>
      <c r="F27" s="18">
        <v>40</v>
      </c>
    </row>
    <row r="28" spans="1:7" ht="15.75" customHeight="1" x14ac:dyDescent="0.25">
      <c r="A28" s="17"/>
      <c r="B28" s="28"/>
      <c r="C28" s="9"/>
      <c r="D28" s="9"/>
      <c r="E28" s="9"/>
      <c r="F28" s="18"/>
    </row>
    <row r="29" spans="1:7" ht="15.75" customHeight="1" x14ac:dyDescent="0.25">
      <c r="A29" s="17"/>
      <c r="B29" s="28"/>
      <c r="C29" s="9"/>
      <c r="D29" s="9"/>
      <c r="E29" s="9"/>
      <c r="F29" s="18"/>
    </row>
    <row r="30" spans="1:7" ht="15.75" customHeight="1" thickBot="1" x14ac:dyDescent="0.3">
      <c r="A30" s="21"/>
      <c r="B30" s="29"/>
      <c r="C30" s="11"/>
      <c r="D30" s="11"/>
      <c r="E30" s="11"/>
      <c r="F30" s="22"/>
    </row>
    <row r="31" spans="1:7" x14ac:dyDescent="0.25">
      <c r="A31" t="s">
        <v>219</v>
      </c>
    </row>
    <row r="33" spans="1:7" x14ac:dyDescent="0.25">
      <c r="A33" s="3"/>
      <c r="B33" s="1"/>
      <c r="C33" s="1"/>
      <c r="D33" s="1"/>
      <c r="E33" s="1"/>
      <c r="F33" s="1"/>
      <c r="G33" s="1"/>
    </row>
    <row r="34" spans="1:7" ht="15.75" x14ac:dyDescent="0.25">
      <c r="A34" s="3"/>
      <c r="B34" s="24" t="s">
        <v>66</v>
      </c>
      <c r="C34" s="1"/>
      <c r="E34" s="1"/>
      <c r="F34" s="1"/>
      <c r="G34" s="5"/>
    </row>
    <row r="35" spans="1:7" ht="15.75" thickBot="1" x14ac:dyDescent="0.3">
      <c r="A35" s="3"/>
      <c r="B35" s="2"/>
      <c r="C35" s="1"/>
      <c r="D35" s="1"/>
      <c r="E35" s="1"/>
      <c r="F35" s="1"/>
      <c r="G35" s="1"/>
    </row>
    <row r="36" spans="1:7" x14ac:dyDescent="0.25">
      <c r="A36" s="13" t="s">
        <v>2</v>
      </c>
      <c r="B36" s="14" t="s">
        <v>532</v>
      </c>
      <c r="C36" s="14" t="s">
        <v>0</v>
      </c>
      <c r="D36" s="14" t="s">
        <v>14</v>
      </c>
      <c r="E36" s="14" t="s">
        <v>15</v>
      </c>
      <c r="F36" s="16" t="s">
        <v>9</v>
      </c>
    </row>
    <row r="37" spans="1:7" ht="15.75" customHeight="1" x14ac:dyDescent="0.25">
      <c r="A37" s="38">
        <v>1</v>
      </c>
      <c r="B37" s="28">
        <v>7062026</v>
      </c>
      <c r="C37" s="25" t="s">
        <v>184</v>
      </c>
      <c r="D37" s="25" t="s">
        <v>188</v>
      </c>
      <c r="E37" s="25">
        <v>3818</v>
      </c>
      <c r="F37" s="37">
        <v>40</v>
      </c>
    </row>
    <row r="38" spans="1:7" ht="15.75" customHeight="1" x14ac:dyDescent="0.25">
      <c r="A38" s="38">
        <v>2</v>
      </c>
      <c r="B38" s="28">
        <v>7062026</v>
      </c>
      <c r="C38" s="25" t="s">
        <v>185</v>
      </c>
      <c r="D38" s="25" t="s">
        <v>186</v>
      </c>
      <c r="E38" s="25">
        <v>3784</v>
      </c>
      <c r="F38" s="37">
        <v>40</v>
      </c>
    </row>
    <row r="39" spans="1:7" ht="15.75" customHeight="1" x14ac:dyDescent="0.25">
      <c r="A39" s="38"/>
      <c r="B39" s="28"/>
      <c r="C39" s="25"/>
      <c r="D39" s="25"/>
      <c r="E39" s="25"/>
      <c r="F39" s="37"/>
    </row>
    <row r="40" spans="1:7" ht="15.75" customHeight="1" x14ac:dyDescent="0.25">
      <c r="A40" s="38"/>
      <c r="B40" s="28"/>
      <c r="C40" s="9"/>
      <c r="D40" s="9"/>
      <c r="E40" s="9"/>
      <c r="F40" s="37"/>
    </row>
    <row r="41" spans="1:7" ht="15.75" customHeight="1" x14ac:dyDescent="0.25">
      <c r="A41" s="38"/>
      <c r="B41" s="28"/>
      <c r="C41" s="9"/>
      <c r="D41" s="9"/>
      <c r="E41" s="9"/>
      <c r="F41" s="37"/>
    </row>
    <row r="42" spans="1:7" ht="15.75" customHeight="1" x14ac:dyDescent="0.25">
      <c r="A42" s="38"/>
      <c r="B42" s="28"/>
      <c r="C42" s="9"/>
      <c r="D42" s="9"/>
      <c r="E42" s="9"/>
      <c r="F42" s="37"/>
    </row>
    <row r="43" spans="1:7" ht="15.75" customHeight="1" x14ac:dyDescent="0.25">
      <c r="A43" s="38"/>
      <c r="B43" s="28"/>
      <c r="C43" s="9"/>
      <c r="D43" s="9"/>
      <c r="E43" s="9"/>
      <c r="F43" s="37"/>
    </row>
    <row r="44" spans="1:7" ht="15.75" customHeight="1" x14ac:dyDescent="0.25">
      <c r="A44" s="17"/>
      <c r="B44" s="28"/>
      <c r="C44" s="9"/>
      <c r="D44" s="9"/>
      <c r="E44" s="9"/>
      <c r="F44" s="18"/>
    </row>
    <row r="45" spans="1:7" ht="15.75" customHeight="1" thickBot="1" x14ac:dyDescent="0.3">
      <c r="A45" s="21"/>
      <c r="B45" s="29"/>
      <c r="C45" s="11"/>
      <c r="D45" s="11"/>
      <c r="E45" s="11"/>
      <c r="F45" s="22"/>
    </row>
  </sheetData>
  <mergeCells count="3">
    <mergeCell ref="A3:H3"/>
    <mergeCell ref="B9:B15"/>
    <mergeCell ref="B16:B17"/>
  </mergeCells>
  <conditionalFormatting sqref="G9">
    <cfRule type="expression" dxfId="15" priority="1">
      <formula>LEFT(CELL("format",C9))</formula>
    </cfRule>
  </conditionalFormatting>
  <dataValidations count="1">
    <dataValidation type="list" allowBlank="1" showInputMessage="1" showErrorMessage="1" sqref="F9:F21" xr:uid="{699D6AD6-0571-40AC-AC24-805D5DA67611}">
      <formula1>"20,40,45,50"</formula1>
    </dataValidation>
  </dataValidations>
  <pageMargins left="0.11811023622047245" right="0.11811023622047245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84BF9-F34B-41DD-9D8B-559D56E9FCD0}">
  <dimension ref="A1:J49"/>
  <sheetViews>
    <sheetView workbookViewId="0">
      <selection activeCell="H3" sqref="H3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91">
        <f>COUNTIF(C8:C11,"&lt;&gt;")</f>
        <v>2</v>
      </c>
      <c r="I1" s="90" t="s">
        <v>386</v>
      </c>
    </row>
    <row r="2" spans="1:10" s="1" customFormat="1" ht="24.95" customHeight="1" x14ac:dyDescent="0.25">
      <c r="A2" s="3"/>
      <c r="F2" s="91">
        <f>COUNTIFS(B16:B29,"&lt;&gt;",C16:C29,"VH")</f>
        <v>0</v>
      </c>
      <c r="G2" s="90" t="s">
        <v>25</v>
      </c>
      <c r="H2" s="91">
        <f>COUNTA(C16)-F2</f>
        <v>1</v>
      </c>
      <c r="I2" s="90" t="s">
        <v>386</v>
      </c>
      <c r="J2" s="101">
        <f>COUNTIF(E19:E27,"VIDE")</f>
        <v>0</v>
      </c>
    </row>
    <row r="3" spans="1:10" s="1" customFormat="1" ht="24.95" customHeight="1" x14ac:dyDescent="0.25">
      <c r="A3" s="129" t="s">
        <v>10</v>
      </c>
      <c r="B3" s="129"/>
      <c r="C3" s="129"/>
      <c r="D3" s="129"/>
      <c r="E3" s="129"/>
      <c r="F3" s="129"/>
      <c r="G3" s="129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  <c r="B5" s="24" t="s">
        <v>3</v>
      </c>
      <c r="F5" s="1" t="s">
        <v>158</v>
      </c>
      <c r="G5" s="26">
        <v>44719</v>
      </c>
    </row>
    <row r="6" spans="1:10" s="1" customFormat="1" thickBot="1" x14ac:dyDescent="0.3">
      <c r="A6" s="3"/>
      <c r="B6" s="2"/>
    </row>
    <row r="7" spans="1:10" s="1" customFormat="1" ht="15.75" customHeight="1" x14ac:dyDescent="0.25">
      <c r="A7" s="13" t="s">
        <v>2</v>
      </c>
      <c r="B7" s="14" t="s">
        <v>8</v>
      </c>
      <c r="C7" s="14" t="s">
        <v>12</v>
      </c>
      <c r="D7" s="14" t="s">
        <v>0</v>
      </c>
      <c r="E7" s="14" t="s">
        <v>1</v>
      </c>
      <c r="F7" s="16" t="s">
        <v>9</v>
      </c>
    </row>
    <row r="8" spans="1:10" s="1" customFormat="1" ht="15.75" customHeight="1" x14ac:dyDescent="0.25">
      <c r="A8" s="38">
        <v>1</v>
      </c>
      <c r="B8" s="138" t="s">
        <v>142</v>
      </c>
      <c r="C8" s="41">
        <v>46181</v>
      </c>
      <c r="D8" s="42" t="s">
        <v>145</v>
      </c>
      <c r="E8" s="42" t="s">
        <v>144</v>
      </c>
      <c r="F8" s="42">
        <v>40</v>
      </c>
    </row>
    <row r="9" spans="1:10" s="1" customFormat="1" ht="15.75" customHeight="1" x14ac:dyDescent="0.25">
      <c r="A9" s="38">
        <v>2</v>
      </c>
      <c r="B9" s="138"/>
      <c r="C9" s="41">
        <v>46181</v>
      </c>
      <c r="D9" s="42" t="s">
        <v>146</v>
      </c>
      <c r="E9" s="42" t="s">
        <v>144</v>
      </c>
      <c r="F9" s="42">
        <v>40</v>
      </c>
    </row>
    <row r="10" spans="1:10" s="1" customFormat="1" ht="15.75" customHeight="1" x14ac:dyDescent="0.25">
      <c r="A10" s="38">
        <v>3</v>
      </c>
      <c r="B10" s="138"/>
      <c r="C10" s="41"/>
      <c r="D10" s="42"/>
      <c r="E10" s="42"/>
      <c r="F10" s="42"/>
    </row>
    <row r="11" spans="1:10" ht="15.75" x14ac:dyDescent="0.25">
      <c r="A11" s="38">
        <v>4</v>
      </c>
      <c r="B11" s="66"/>
      <c r="C11" s="67"/>
      <c r="D11" s="42"/>
      <c r="E11" s="42"/>
      <c r="F11" s="42"/>
      <c r="G11" s="5"/>
    </row>
    <row r="12" spans="1:10" ht="15.75" x14ac:dyDescent="0.25">
      <c r="A12" s="3"/>
      <c r="B12" s="5"/>
      <c r="C12" s="1"/>
      <c r="D12" s="65"/>
      <c r="E12" s="65"/>
      <c r="F12" s="65"/>
      <c r="G12" s="5"/>
    </row>
    <row r="13" spans="1:10" ht="15.75" x14ac:dyDescent="0.25">
      <c r="A13" s="3"/>
      <c r="B13" s="24" t="s">
        <v>4</v>
      </c>
      <c r="G13" s="5"/>
    </row>
    <row r="14" spans="1:10" ht="15.75" thickBot="1" x14ac:dyDescent="0.3">
      <c r="A14" s="3"/>
      <c r="B14" s="2"/>
      <c r="C14" s="1"/>
      <c r="D14" s="1"/>
      <c r="E14" s="1"/>
      <c r="F14" s="1"/>
      <c r="G14" s="1"/>
    </row>
    <row r="15" spans="1:10" ht="15.75" thickBot="1" x14ac:dyDescent="0.3">
      <c r="A15" s="6" t="s">
        <v>2</v>
      </c>
      <c r="B15" s="14" t="s">
        <v>11</v>
      </c>
      <c r="C15" s="14" t="s">
        <v>6</v>
      </c>
      <c r="D15" s="7" t="s">
        <v>0</v>
      </c>
      <c r="E15" s="7" t="s">
        <v>1</v>
      </c>
      <c r="F15" s="8" t="s">
        <v>9</v>
      </c>
    </row>
    <row r="16" spans="1:10" ht="15.75" customHeight="1" x14ac:dyDescent="0.25">
      <c r="A16" s="19">
        <v>1</v>
      </c>
      <c r="B16" s="28">
        <v>8062026</v>
      </c>
      <c r="C16" s="9" t="s">
        <v>218</v>
      </c>
      <c r="D16" s="9" t="s">
        <v>19</v>
      </c>
      <c r="E16" s="35">
        <v>3785</v>
      </c>
      <c r="F16" s="20"/>
    </row>
    <row r="17" spans="1:7" ht="15.75" customHeight="1" x14ac:dyDescent="0.25">
      <c r="A17" s="17"/>
      <c r="B17" s="28"/>
      <c r="C17" s="9"/>
      <c r="D17" s="9"/>
      <c r="E17" s="9"/>
      <c r="F17" s="18"/>
    </row>
    <row r="18" spans="1:7" ht="15.75" customHeight="1" x14ac:dyDescent="0.25">
      <c r="A18" s="17"/>
      <c r="B18" s="28"/>
      <c r="C18" s="9"/>
      <c r="D18" s="9"/>
      <c r="E18" s="9"/>
      <c r="F18" s="18"/>
    </row>
    <row r="19" spans="1:7" ht="15.75" customHeight="1" x14ac:dyDescent="0.25">
      <c r="A19" s="17"/>
      <c r="B19" s="28"/>
      <c r="C19" s="9"/>
      <c r="D19" s="9"/>
      <c r="E19" s="9"/>
      <c r="F19" s="18"/>
    </row>
    <row r="20" spans="1:7" ht="15.75" customHeight="1" thickBot="1" x14ac:dyDescent="0.3">
      <c r="A20" s="21"/>
      <c r="B20" s="29"/>
      <c r="C20" s="11"/>
      <c r="D20" s="11"/>
      <c r="E20" s="11"/>
      <c r="F20" s="22"/>
    </row>
    <row r="22" spans="1:7" x14ac:dyDescent="0.25">
      <c r="A22" s="3"/>
      <c r="B22" s="1"/>
      <c r="C22" s="1"/>
      <c r="D22" s="1"/>
      <c r="E22" s="1"/>
      <c r="F22" s="1"/>
      <c r="G22" s="1"/>
    </row>
    <row r="23" spans="1:7" ht="15.75" x14ac:dyDescent="0.25">
      <c r="A23" s="3"/>
      <c r="B23" s="24" t="s">
        <v>66</v>
      </c>
      <c r="C23" s="1"/>
      <c r="E23" s="1"/>
      <c r="F23" s="1"/>
      <c r="G23" s="5"/>
    </row>
    <row r="24" spans="1:7" ht="15.75" thickBot="1" x14ac:dyDescent="0.3">
      <c r="A24" s="3"/>
      <c r="B24" s="2"/>
      <c r="C24" s="1"/>
      <c r="D24" s="1"/>
      <c r="E24" s="1"/>
      <c r="F24" s="1"/>
      <c r="G24" s="1"/>
    </row>
    <row r="25" spans="1:7" ht="15.75" thickBot="1" x14ac:dyDescent="0.3">
      <c r="A25" s="13">
        <v>0</v>
      </c>
      <c r="B25" s="14" t="s">
        <v>532</v>
      </c>
      <c r="C25" s="14" t="s">
        <v>0</v>
      </c>
      <c r="D25" s="14" t="s">
        <v>14</v>
      </c>
      <c r="E25" s="14" t="s">
        <v>15</v>
      </c>
      <c r="F25" s="16" t="s">
        <v>9</v>
      </c>
    </row>
    <row r="26" spans="1:7" ht="15.75" customHeight="1" x14ac:dyDescent="0.25">
      <c r="A26" s="19">
        <v>1</v>
      </c>
      <c r="B26" s="68">
        <v>8062026</v>
      </c>
      <c r="C26" s="69" t="s">
        <v>193</v>
      </c>
      <c r="D26" s="56" t="s">
        <v>194</v>
      </c>
      <c r="E26" s="56">
        <v>3831</v>
      </c>
      <c r="F26" s="58">
        <v>40</v>
      </c>
    </row>
    <row r="27" spans="1:7" ht="15.75" customHeight="1" x14ac:dyDescent="0.25">
      <c r="A27" s="17">
        <v>2</v>
      </c>
      <c r="B27" s="70">
        <v>8062026</v>
      </c>
      <c r="C27" s="44" t="s">
        <v>350</v>
      </c>
      <c r="D27" s="44" t="s">
        <v>195</v>
      </c>
      <c r="E27" s="42">
        <v>3834</v>
      </c>
      <c r="F27" s="59">
        <v>40</v>
      </c>
    </row>
    <row r="28" spans="1:7" ht="15.75" customHeight="1" x14ac:dyDescent="0.25">
      <c r="A28" s="17">
        <v>3</v>
      </c>
      <c r="B28" s="70">
        <v>8062026</v>
      </c>
      <c r="C28" s="44" t="s">
        <v>373</v>
      </c>
      <c r="D28" s="42" t="s">
        <v>196</v>
      </c>
      <c r="E28" s="42">
        <v>3801</v>
      </c>
      <c r="F28" s="59">
        <v>40</v>
      </c>
    </row>
    <row r="29" spans="1:7" ht="15.75" customHeight="1" x14ac:dyDescent="0.25">
      <c r="A29" s="17">
        <v>4</v>
      </c>
      <c r="B29" s="70">
        <v>8062026</v>
      </c>
      <c r="C29" s="44" t="s">
        <v>374</v>
      </c>
      <c r="D29" s="42" t="s">
        <v>197</v>
      </c>
      <c r="E29" s="42">
        <v>3833</v>
      </c>
      <c r="F29" s="59">
        <v>40</v>
      </c>
    </row>
    <row r="30" spans="1:7" ht="15.75" customHeight="1" x14ac:dyDescent="0.25">
      <c r="A30" s="17">
        <v>5</v>
      </c>
      <c r="B30" s="70">
        <v>8062026</v>
      </c>
      <c r="C30" s="44" t="s">
        <v>375</v>
      </c>
      <c r="D30" s="42" t="s">
        <v>198</v>
      </c>
      <c r="E30" s="42">
        <v>3756</v>
      </c>
      <c r="F30" s="59">
        <v>40</v>
      </c>
    </row>
    <row r="31" spans="1:7" ht="15.75" customHeight="1" x14ac:dyDescent="0.25">
      <c r="A31" s="17">
        <v>6</v>
      </c>
      <c r="B31" s="70">
        <v>8062026</v>
      </c>
      <c r="C31" s="44" t="s">
        <v>376</v>
      </c>
      <c r="D31" s="42" t="s">
        <v>199</v>
      </c>
      <c r="E31" s="42">
        <v>3753</v>
      </c>
      <c r="F31" s="59">
        <v>40</v>
      </c>
    </row>
    <row r="32" spans="1:7" ht="15.75" customHeight="1" x14ac:dyDescent="0.25">
      <c r="A32" s="17">
        <v>7</v>
      </c>
      <c r="B32" s="70">
        <v>8062026</v>
      </c>
      <c r="C32" s="44" t="s">
        <v>342</v>
      </c>
      <c r="D32" s="42" t="s">
        <v>200</v>
      </c>
      <c r="E32" s="42">
        <v>3809</v>
      </c>
      <c r="F32" s="59">
        <v>40</v>
      </c>
    </row>
    <row r="33" spans="1:6" ht="15.75" customHeight="1" x14ac:dyDescent="0.25">
      <c r="A33" s="17">
        <v>8</v>
      </c>
      <c r="B33" s="70">
        <v>8062026</v>
      </c>
      <c r="C33" s="44" t="s">
        <v>345</v>
      </c>
      <c r="D33" s="42" t="s">
        <v>201</v>
      </c>
      <c r="E33" s="42">
        <v>3754</v>
      </c>
      <c r="F33" s="59">
        <v>40</v>
      </c>
    </row>
    <row r="34" spans="1:6" ht="15.75" customHeight="1" x14ac:dyDescent="0.25">
      <c r="A34" s="17">
        <v>9</v>
      </c>
      <c r="B34" s="70">
        <v>8062026</v>
      </c>
      <c r="C34" s="44" t="s">
        <v>351</v>
      </c>
      <c r="D34" s="42" t="s">
        <v>202</v>
      </c>
      <c r="E34" s="42">
        <v>3804</v>
      </c>
      <c r="F34" s="59">
        <v>40</v>
      </c>
    </row>
    <row r="35" spans="1:6" ht="15.75" customHeight="1" x14ac:dyDescent="0.25">
      <c r="A35" s="17">
        <v>10</v>
      </c>
      <c r="B35" s="70">
        <v>8062026</v>
      </c>
      <c r="C35" s="44" t="s">
        <v>340</v>
      </c>
      <c r="D35" s="42" t="s">
        <v>203</v>
      </c>
      <c r="E35" s="42">
        <v>3755</v>
      </c>
      <c r="F35" s="59">
        <v>40</v>
      </c>
    </row>
    <row r="36" spans="1:6" ht="15.75" customHeight="1" x14ac:dyDescent="0.25">
      <c r="A36" s="17">
        <v>11</v>
      </c>
      <c r="B36" s="70">
        <v>8062026</v>
      </c>
      <c r="C36" s="44" t="s">
        <v>352</v>
      </c>
      <c r="D36" s="42" t="s">
        <v>204</v>
      </c>
      <c r="E36" s="42">
        <v>3803</v>
      </c>
      <c r="F36" s="59">
        <v>40</v>
      </c>
    </row>
    <row r="37" spans="1:6" ht="15.75" customHeight="1" x14ac:dyDescent="0.25">
      <c r="A37" s="17">
        <v>12</v>
      </c>
      <c r="B37" s="70">
        <v>8062026</v>
      </c>
      <c r="C37" s="44" t="s">
        <v>346</v>
      </c>
      <c r="D37" s="42" t="s">
        <v>205</v>
      </c>
      <c r="E37" s="42">
        <v>3760</v>
      </c>
      <c r="F37" s="59">
        <v>40</v>
      </c>
    </row>
    <row r="38" spans="1:6" ht="15.75" customHeight="1" x14ac:dyDescent="0.25">
      <c r="A38" s="17">
        <v>13</v>
      </c>
      <c r="B38" s="70">
        <v>8062026</v>
      </c>
      <c r="C38" s="44" t="s">
        <v>353</v>
      </c>
      <c r="D38" s="42" t="s">
        <v>206</v>
      </c>
      <c r="E38" s="42">
        <v>3759</v>
      </c>
      <c r="F38" s="59">
        <v>40</v>
      </c>
    </row>
    <row r="39" spans="1:6" ht="15.75" customHeight="1" x14ac:dyDescent="0.25">
      <c r="A39" s="17">
        <v>14</v>
      </c>
      <c r="B39" s="70">
        <v>8062026</v>
      </c>
      <c r="C39" s="44" t="s">
        <v>339</v>
      </c>
      <c r="D39" s="42" t="s">
        <v>207</v>
      </c>
      <c r="E39" s="42">
        <v>3810</v>
      </c>
      <c r="F39" s="59">
        <v>40</v>
      </c>
    </row>
    <row r="40" spans="1:6" ht="15.75" customHeight="1" x14ac:dyDescent="0.25">
      <c r="A40" s="17">
        <v>15</v>
      </c>
      <c r="B40" s="70">
        <v>8062026</v>
      </c>
      <c r="C40" s="44" t="s">
        <v>377</v>
      </c>
      <c r="D40" s="44" t="s">
        <v>208</v>
      </c>
      <c r="E40" s="42">
        <v>3758</v>
      </c>
      <c r="F40" s="59">
        <v>40</v>
      </c>
    </row>
    <row r="41" spans="1:6" x14ac:dyDescent="0.25">
      <c r="A41" s="17">
        <v>16</v>
      </c>
      <c r="B41" s="70">
        <v>8062026</v>
      </c>
      <c r="C41" s="44" t="s">
        <v>378</v>
      </c>
      <c r="D41" s="44" t="s">
        <v>209</v>
      </c>
      <c r="E41" s="44">
        <v>3802</v>
      </c>
      <c r="F41" s="59">
        <v>40</v>
      </c>
    </row>
    <row r="42" spans="1:6" x14ac:dyDescent="0.25">
      <c r="A42" s="17">
        <v>17</v>
      </c>
      <c r="B42" s="70">
        <v>8062026</v>
      </c>
      <c r="C42" s="44" t="s">
        <v>379</v>
      </c>
      <c r="D42" s="44" t="s">
        <v>210</v>
      </c>
      <c r="E42" s="44">
        <v>3808</v>
      </c>
      <c r="F42" s="59">
        <v>40</v>
      </c>
    </row>
    <row r="43" spans="1:6" x14ac:dyDescent="0.25">
      <c r="A43" s="17">
        <v>18</v>
      </c>
      <c r="B43" s="70">
        <v>8062026</v>
      </c>
      <c r="C43" s="44" t="s">
        <v>380</v>
      </c>
      <c r="D43" s="44" t="s">
        <v>211</v>
      </c>
      <c r="E43" s="44">
        <v>3751</v>
      </c>
      <c r="F43" s="59">
        <v>40</v>
      </c>
    </row>
    <row r="44" spans="1:6" x14ac:dyDescent="0.25">
      <c r="A44" s="17">
        <v>19</v>
      </c>
      <c r="B44" s="70">
        <v>8062026</v>
      </c>
      <c r="C44" s="44" t="s">
        <v>341</v>
      </c>
      <c r="D44" s="44" t="s">
        <v>212</v>
      </c>
      <c r="E44" s="44">
        <v>3757</v>
      </c>
      <c r="F44" s="59">
        <v>40</v>
      </c>
    </row>
    <row r="45" spans="1:6" x14ac:dyDescent="0.25">
      <c r="A45" s="17">
        <v>20</v>
      </c>
      <c r="B45" s="70">
        <v>8062026</v>
      </c>
      <c r="C45" s="44" t="s">
        <v>381</v>
      </c>
      <c r="D45" s="44" t="s">
        <v>216</v>
      </c>
      <c r="E45" s="44">
        <v>3805</v>
      </c>
      <c r="F45" s="59">
        <v>40</v>
      </c>
    </row>
    <row r="46" spans="1:6" x14ac:dyDescent="0.25">
      <c r="A46" s="17">
        <v>21</v>
      </c>
      <c r="B46" s="70">
        <v>8062026</v>
      </c>
      <c r="C46" s="44" t="s">
        <v>382</v>
      </c>
      <c r="D46" s="44" t="s">
        <v>214</v>
      </c>
      <c r="E46" s="44">
        <v>3807</v>
      </c>
      <c r="F46" s="59">
        <v>40</v>
      </c>
    </row>
    <row r="47" spans="1:6" x14ac:dyDescent="0.25">
      <c r="A47" s="17">
        <v>22</v>
      </c>
      <c r="B47" s="70">
        <v>8062026</v>
      </c>
      <c r="C47" s="44" t="s">
        <v>383</v>
      </c>
      <c r="D47" s="44" t="s">
        <v>215</v>
      </c>
      <c r="E47" s="44">
        <v>3806</v>
      </c>
      <c r="F47" s="59">
        <v>40</v>
      </c>
    </row>
    <row r="48" spans="1:6" x14ac:dyDescent="0.25">
      <c r="A48" s="17">
        <v>23</v>
      </c>
      <c r="B48" s="70">
        <v>8062026</v>
      </c>
      <c r="C48" s="44" t="s">
        <v>384</v>
      </c>
      <c r="D48" s="44" t="s">
        <v>217</v>
      </c>
      <c r="E48" s="44">
        <v>3752</v>
      </c>
      <c r="F48" s="71">
        <v>40</v>
      </c>
    </row>
    <row r="49" spans="1:6" ht="15.75" thickBot="1" x14ac:dyDescent="0.3">
      <c r="A49" s="21">
        <v>24</v>
      </c>
      <c r="B49" s="29">
        <v>8062026</v>
      </c>
      <c r="C49" s="11" t="s">
        <v>183</v>
      </c>
      <c r="D49" s="11" t="s">
        <v>187</v>
      </c>
      <c r="E49" s="11">
        <v>3820</v>
      </c>
      <c r="F49" s="22">
        <v>40</v>
      </c>
    </row>
  </sheetData>
  <mergeCells count="2">
    <mergeCell ref="A3:G3"/>
    <mergeCell ref="B8:B10"/>
  </mergeCells>
  <phoneticPr fontId="12" type="noConversion"/>
  <conditionalFormatting sqref="G8">
    <cfRule type="expression" dxfId="14" priority="1">
      <formula>LEFT(CELL("format",C8))</formula>
    </cfRule>
  </conditionalFormatting>
  <dataValidations count="1">
    <dataValidation type="list" allowBlank="1" showInputMessage="1" showErrorMessage="1" sqref="F8:F12" xr:uid="{592C3357-ABC9-4724-8641-164ABA3F192B}">
      <formula1>"20,40,45,50"</formula1>
    </dataValidation>
  </dataValidations>
  <pageMargins left="0.31496062992125984" right="0.31496062992125984" top="0.35433070866141736" bottom="0.35433070866141736" header="0.31496062992125984" footer="0.31496062992125984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4237-1473-4749-B2A8-466E2F3FFED5}">
  <dimension ref="A1:J102"/>
  <sheetViews>
    <sheetView topLeftCell="A2" workbookViewId="0">
      <selection activeCell="G5" sqref="G5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91">
        <f>COUNTIF(C8:C47,"&lt;&gt;")</f>
        <v>36</v>
      </c>
      <c r="I1" s="90" t="s">
        <v>386</v>
      </c>
    </row>
    <row r="2" spans="1:10" s="1" customFormat="1" ht="24.95" customHeight="1" x14ac:dyDescent="0.25">
      <c r="A2" s="3"/>
      <c r="F2" s="91">
        <f>COUNTIFS(B57:B61,"&lt;&gt;",C57:C61,"VH")</f>
        <v>0</v>
      </c>
      <c r="G2" s="90" t="s">
        <v>25</v>
      </c>
      <c r="H2" s="91">
        <f>COUNTA(C57:C61)-F2</f>
        <v>0</v>
      </c>
      <c r="I2" s="90" t="s">
        <v>386</v>
      </c>
      <c r="J2" s="101">
        <f>COUNTIF(E19:E27,"VIDE")</f>
        <v>0</v>
      </c>
    </row>
    <row r="3" spans="1:10" s="1" customFormat="1" ht="24.95" customHeight="1" x14ac:dyDescent="0.25">
      <c r="A3" s="129" t="s">
        <v>10</v>
      </c>
      <c r="B3" s="129"/>
      <c r="C3" s="129"/>
      <c r="D3" s="129"/>
      <c r="E3" s="129"/>
      <c r="F3" s="129"/>
      <c r="G3" s="129"/>
      <c r="H3" s="129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  <c r="B5" s="24" t="s">
        <v>3</v>
      </c>
      <c r="G5" s="26">
        <v>44720</v>
      </c>
    </row>
    <row r="6" spans="1:10" s="1" customFormat="1" thickBot="1" x14ac:dyDescent="0.3">
      <c r="A6" s="3"/>
      <c r="B6" s="2"/>
    </row>
    <row r="7" spans="1:10" s="1" customFormat="1" ht="15.75" customHeight="1" x14ac:dyDescent="0.25">
      <c r="A7" s="13" t="s">
        <v>2</v>
      </c>
      <c r="B7" s="14" t="s">
        <v>8</v>
      </c>
      <c r="C7" s="14" t="s">
        <v>12</v>
      </c>
      <c r="D7" s="14" t="s">
        <v>0</v>
      </c>
      <c r="E7" s="14" t="s">
        <v>1</v>
      </c>
      <c r="F7" s="16" t="s">
        <v>9</v>
      </c>
    </row>
    <row r="8" spans="1:10" s="1" customFormat="1" ht="15.75" customHeight="1" x14ac:dyDescent="0.25">
      <c r="A8" s="40">
        <v>1</v>
      </c>
      <c r="B8" s="38" t="s">
        <v>259</v>
      </c>
      <c r="C8" s="41">
        <v>46182</v>
      </c>
      <c r="D8" s="44" t="s">
        <v>544</v>
      </c>
      <c r="E8" s="44" t="s">
        <v>236</v>
      </c>
      <c r="F8" s="42">
        <v>40</v>
      </c>
    </row>
    <row r="9" spans="1:10" s="1" customFormat="1" ht="15.75" customHeight="1" x14ac:dyDescent="0.25">
      <c r="A9" s="38">
        <v>2</v>
      </c>
      <c r="B9" s="138" t="s">
        <v>260</v>
      </c>
      <c r="C9" s="41">
        <v>46182</v>
      </c>
      <c r="D9" s="74" t="s">
        <v>545</v>
      </c>
      <c r="E9" s="74" t="s">
        <v>237</v>
      </c>
      <c r="F9" s="42">
        <v>40</v>
      </c>
    </row>
    <row r="10" spans="1:10" s="1" customFormat="1" ht="15.75" customHeight="1" x14ac:dyDescent="0.25">
      <c r="A10" s="38">
        <v>3</v>
      </c>
      <c r="B10" s="138"/>
      <c r="C10" s="41">
        <v>46182</v>
      </c>
      <c r="D10" s="74" t="s">
        <v>546</v>
      </c>
      <c r="E10" s="74" t="s">
        <v>238</v>
      </c>
      <c r="F10" s="42">
        <v>40</v>
      </c>
    </row>
    <row r="11" spans="1:10" s="1" customFormat="1" ht="15.75" customHeight="1" x14ac:dyDescent="0.25">
      <c r="A11" s="38">
        <v>4</v>
      </c>
      <c r="B11" s="138"/>
      <c r="C11" s="41">
        <v>46182</v>
      </c>
      <c r="D11" s="74" t="s">
        <v>547</v>
      </c>
      <c r="E11" s="74" t="s">
        <v>239</v>
      </c>
      <c r="F11" s="42">
        <v>40</v>
      </c>
    </row>
    <row r="12" spans="1:10" s="1" customFormat="1" ht="15.75" customHeight="1" x14ac:dyDescent="0.25">
      <c r="A12" s="38">
        <v>5</v>
      </c>
      <c r="B12" s="138"/>
      <c r="C12" s="41">
        <v>46182</v>
      </c>
      <c r="D12" s="74" t="s">
        <v>548</v>
      </c>
      <c r="E12" s="74" t="s">
        <v>240</v>
      </c>
      <c r="F12" s="42">
        <v>40</v>
      </c>
    </row>
    <row r="13" spans="1:10" s="1" customFormat="1" ht="15.75" customHeight="1" x14ac:dyDescent="0.25">
      <c r="A13" s="38">
        <v>6</v>
      </c>
      <c r="B13" s="138"/>
      <c r="C13" s="41">
        <v>46182</v>
      </c>
      <c r="D13" s="74" t="s">
        <v>549</v>
      </c>
      <c r="E13" s="74" t="s">
        <v>241</v>
      </c>
      <c r="F13" s="42">
        <v>40</v>
      </c>
    </row>
    <row r="14" spans="1:10" ht="15.75" customHeight="1" x14ac:dyDescent="0.25">
      <c r="A14" s="38">
        <v>7</v>
      </c>
      <c r="B14" s="138"/>
      <c r="C14" s="41"/>
      <c r="D14" s="74"/>
      <c r="E14" s="74"/>
      <c r="F14" s="42"/>
    </row>
    <row r="15" spans="1:10" ht="15.75" customHeight="1" x14ac:dyDescent="0.25">
      <c r="A15" s="38">
        <v>8</v>
      </c>
      <c r="B15" s="138"/>
      <c r="C15" s="41">
        <v>46182</v>
      </c>
      <c r="D15" s="74" t="s">
        <v>550</v>
      </c>
      <c r="E15" s="74" t="s">
        <v>243</v>
      </c>
      <c r="F15" s="42">
        <v>40</v>
      </c>
    </row>
    <row r="16" spans="1:10" ht="15.75" customHeight="1" x14ac:dyDescent="0.25">
      <c r="A16" s="38">
        <v>9</v>
      </c>
      <c r="B16" s="138"/>
      <c r="C16" s="41">
        <v>46182</v>
      </c>
      <c r="D16" s="74" t="s">
        <v>551</v>
      </c>
      <c r="E16" s="74" t="s">
        <v>244</v>
      </c>
      <c r="F16" s="42">
        <v>40</v>
      </c>
      <c r="G16" s="5"/>
    </row>
    <row r="17" spans="1:7" ht="15.75" customHeight="1" x14ac:dyDescent="0.25">
      <c r="A17" s="38">
        <v>10</v>
      </c>
      <c r="B17" s="138"/>
      <c r="C17" s="41">
        <v>46182</v>
      </c>
      <c r="D17" s="74" t="s">
        <v>552</v>
      </c>
      <c r="E17" s="74" t="s">
        <v>245</v>
      </c>
      <c r="F17" s="42">
        <v>40</v>
      </c>
      <c r="G17" s="5"/>
    </row>
    <row r="18" spans="1:7" ht="15.75" customHeight="1" x14ac:dyDescent="0.25">
      <c r="A18" s="38">
        <v>11</v>
      </c>
      <c r="B18" s="138"/>
      <c r="C18" s="41">
        <v>46182</v>
      </c>
      <c r="D18" s="74" t="s">
        <v>553</v>
      </c>
      <c r="E18" s="74" t="s">
        <v>246</v>
      </c>
      <c r="F18" s="42">
        <v>40</v>
      </c>
      <c r="G18" s="1"/>
    </row>
    <row r="19" spans="1:7" ht="15.75" customHeight="1" x14ac:dyDescent="0.25">
      <c r="A19" s="38">
        <v>12</v>
      </c>
      <c r="B19" s="138"/>
      <c r="C19" s="41">
        <v>46182</v>
      </c>
      <c r="D19" s="74" t="s">
        <v>554</v>
      </c>
      <c r="E19" s="74" t="s">
        <v>247</v>
      </c>
      <c r="F19" s="42">
        <v>40</v>
      </c>
    </row>
    <row r="20" spans="1:7" ht="15.75" customHeight="1" x14ac:dyDescent="0.25">
      <c r="A20" s="38">
        <v>13</v>
      </c>
      <c r="B20" s="138"/>
      <c r="C20" s="41"/>
      <c r="D20" s="74"/>
      <c r="E20" s="74"/>
      <c r="F20" s="42"/>
    </row>
    <row r="21" spans="1:7" ht="15.75" customHeight="1" x14ac:dyDescent="0.25">
      <c r="A21" s="38">
        <v>14</v>
      </c>
      <c r="B21" s="138"/>
      <c r="C21" s="41">
        <v>46182</v>
      </c>
      <c r="D21" s="74" t="s">
        <v>449</v>
      </c>
      <c r="E21" s="74" t="s">
        <v>248</v>
      </c>
      <c r="F21" s="42">
        <v>40</v>
      </c>
    </row>
    <row r="22" spans="1:7" ht="15.75" customHeight="1" x14ac:dyDescent="0.25">
      <c r="A22" s="38">
        <v>15</v>
      </c>
      <c r="B22" s="138"/>
      <c r="C22" s="41">
        <v>46182</v>
      </c>
      <c r="D22" s="74" t="s">
        <v>555</v>
      </c>
      <c r="E22" s="74" t="s">
        <v>249</v>
      </c>
      <c r="F22" s="42">
        <v>40</v>
      </c>
    </row>
    <row r="23" spans="1:7" ht="15.75" customHeight="1" x14ac:dyDescent="0.25">
      <c r="A23" s="38">
        <v>16</v>
      </c>
      <c r="B23" s="138"/>
      <c r="C23" s="41">
        <v>46182</v>
      </c>
      <c r="D23" s="74" t="s">
        <v>556</v>
      </c>
      <c r="E23" s="74" t="s">
        <v>250</v>
      </c>
      <c r="F23" s="42">
        <v>40</v>
      </c>
    </row>
    <row r="24" spans="1:7" ht="15.75" customHeight="1" x14ac:dyDescent="0.25">
      <c r="A24" s="38">
        <v>17</v>
      </c>
      <c r="B24" s="138"/>
      <c r="C24" s="41">
        <v>46182</v>
      </c>
      <c r="D24" s="74" t="s">
        <v>557</v>
      </c>
      <c r="E24" s="74" t="s">
        <v>251</v>
      </c>
      <c r="F24" s="42">
        <v>40</v>
      </c>
    </row>
    <row r="25" spans="1:7" ht="15.75" customHeight="1" x14ac:dyDescent="0.25">
      <c r="A25" s="38">
        <v>18</v>
      </c>
      <c r="B25" s="138"/>
      <c r="C25" s="41">
        <v>46182</v>
      </c>
      <c r="D25" s="74" t="s">
        <v>558</v>
      </c>
      <c r="E25" s="74" t="s">
        <v>252</v>
      </c>
      <c r="F25" s="42">
        <v>40</v>
      </c>
    </row>
    <row r="26" spans="1:7" ht="15.75" customHeight="1" x14ac:dyDescent="0.25">
      <c r="A26" s="38">
        <v>19</v>
      </c>
      <c r="B26" s="138"/>
      <c r="C26" s="41">
        <v>46182</v>
      </c>
      <c r="D26" s="74" t="s">
        <v>559</v>
      </c>
      <c r="E26" s="74" t="s">
        <v>253</v>
      </c>
      <c r="F26" s="42">
        <v>40</v>
      </c>
    </row>
    <row r="27" spans="1:7" ht="15.75" customHeight="1" x14ac:dyDescent="0.25">
      <c r="A27" s="38">
        <v>20</v>
      </c>
      <c r="B27" s="138"/>
      <c r="C27" s="41">
        <v>46182</v>
      </c>
      <c r="D27" s="74" t="s">
        <v>560</v>
      </c>
      <c r="E27" s="74" t="s">
        <v>254</v>
      </c>
      <c r="F27" s="42">
        <v>40</v>
      </c>
    </row>
    <row r="28" spans="1:7" ht="15.75" customHeight="1" x14ac:dyDescent="0.25">
      <c r="A28" s="38">
        <v>21</v>
      </c>
      <c r="B28" s="138"/>
      <c r="C28" s="41">
        <v>46182</v>
      </c>
      <c r="D28" s="74" t="s">
        <v>561</v>
      </c>
      <c r="E28" s="74" t="s">
        <v>255</v>
      </c>
      <c r="F28" s="42">
        <v>40</v>
      </c>
    </row>
    <row r="29" spans="1:7" ht="15.75" customHeight="1" x14ac:dyDescent="0.25">
      <c r="A29" s="38">
        <v>22</v>
      </c>
      <c r="B29" s="138"/>
      <c r="C29" s="41">
        <v>46182</v>
      </c>
      <c r="D29" s="74" t="s">
        <v>562</v>
      </c>
      <c r="E29" s="74" t="s">
        <v>256</v>
      </c>
      <c r="F29" s="42">
        <v>40</v>
      </c>
    </row>
    <row r="30" spans="1:7" ht="15.75" customHeight="1" x14ac:dyDescent="0.25">
      <c r="A30" s="38">
        <v>23</v>
      </c>
      <c r="B30" s="138"/>
      <c r="C30" s="41">
        <v>46182</v>
      </c>
      <c r="D30" s="74" t="s">
        <v>569</v>
      </c>
      <c r="E30" s="74" t="s">
        <v>257</v>
      </c>
      <c r="F30" s="42">
        <v>40</v>
      </c>
    </row>
    <row r="31" spans="1:7" ht="15.75" customHeight="1" x14ac:dyDescent="0.25">
      <c r="A31" s="38">
        <v>24</v>
      </c>
      <c r="B31" s="142" t="s">
        <v>261</v>
      </c>
      <c r="C31" s="41">
        <v>46182</v>
      </c>
      <c r="D31" s="75" t="s">
        <v>568</v>
      </c>
      <c r="E31" s="74">
        <v>403430</v>
      </c>
      <c r="F31" s="42">
        <v>40</v>
      </c>
    </row>
    <row r="32" spans="1:7" ht="15.75" customHeight="1" x14ac:dyDescent="0.25">
      <c r="A32" s="38">
        <v>25</v>
      </c>
      <c r="B32" s="143"/>
      <c r="C32" s="41">
        <v>46182</v>
      </c>
      <c r="D32" s="75" t="s">
        <v>567</v>
      </c>
      <c r="E32" s="74">
        <v>403420</v>
      </c>
      <c r="F32" s="42">
        <v>40</v>
      </c>
    </row>
    <row r="33" spans="1:7" ht="15.75" customHeight="1" x14ac:dyDescent="0.25">
      <c r="A33" s="38">
        <v>26</v>
      </c>
      <c r="B33" s="143"/>
      <c r="C33" s="41">
        <v>46182</v>
      </c>
      <c r="D33" s="74" t="s">
        <v>566</v>
      </c>
      <c r="E33" s="74">
        <v>207502</v>
      </c>
      <c r="F33" s="42">
        <v>40</v>
      </c>
    </row>
    <row r="34" spans="1:7" ht="15.75" customHeight="1" x14ac:dyDescent="0.25">
      <c r="A34" s="38">
        <v>27</v>
      </c>
      <c r="B34" s="143"/>
      <c r="C34" s="41">
        <v>46182</v>
      </c>
      <c r="D34" s="74" t="s">
        <v>565</v>
      </c>
      <c r="E34" s="74" t="s">
        <v>258</v>
      </c>
      <c r="F34" s="42">
        <v>40</v>
      </c>
    </row>
    <row r="35" spans="1:7" ht="15.75" customHeight="1" x14ac:dyDescent="0.25">
      <c r="A35" s="38">
        <v>28</v>
      </c>
      <c r="B35" s="143"/>
      <c r="C35" s="41">
        <v>46182</v>
      </c>
      <c r="D35" s="74" t="s">
        <v>564</v>
      </c>
      <c r="E35" s="74">
        <v>482341</v>
      </c>
      <c r="F35" s="42">
        <v>40</v>
      </c>
    </row>
    <row r="36" spans="1:7" ht="15.75" customHeight="1" x14ac:dyDescent="0.25">
      <c r="A36" s="38">
        <v>29</v>
      </c>
      <c r="B36" s="143"/>
      <c r="C36" s="41">
        <v>46182</v>
      </c>
      <c r="D36" s="74" t="s">
        <v>563</v>
      </c>
      <c r="E36" s="74">
        <v>482345</v>
      </c>
      <c r="F36" s="42">
        <v>40</v>
      </c>
    </row>
    <row r="37" spans="1:7" ht="15.75" customHeight="1" x14ac:dyDescent="0.25">
      <c r="A37" s="38">
        <v>30</v>
      </c>
      <c r="B37" s="143"/>
      <c r="C37" s="41">
        <v>46182</v>
      </c>
      <c r="D37" s="74" t="s">
        <v>570</v>
      </c>
      <c r="E37" s="74">
        <v>403418</v>
      </c>
      <c r="F37" s="42">
        <v>40</v>
      </c>
    </row>
    <row r="38" spans="1:7" ht="15.75" customHeight="1" x14ac:dyDescent="0.25">
      <c r="A38" s="38">
        <v>31</v>
      </c>
      <c r="B38" s="143"/>
      <c r="C38" s="41"/>
      <c r="D38" s="74"/>
      <c r="E38" s="74"/>
      <c r="F38" s="42"/>
    </row>
    <row r="39" spans="1:7" ht="15.75" customHeight="1" x14ac:dyDescent="0.25">
      <c r="A39" s="38">
        <v>32</v>
      </c>
      <c r="B39" s="143"/>
      <c r="C39" s="41">
        <v>46182</v>
      </c>
      <c r="D39" s="74" t="s">
        <v>571</v>
      </c>
      <c r="E39" s="74">
        <v>534715</v>
      </c>
      <c r="F39" s="42">
        <v>40</v>
      </c>
    </row>
    <row r="40" spans="1:7" ht="15.75" customHeight="1" x14ac:dyDescent="0.25">
      <c r="A40" s="38">
        <v>33</v>
      </c>
      <c r="B40" s="143"/>
      <c r="C40" s="41">
        <v>46182</v>
      </c>
      <c r="D40" s="74" t="s">
        <v>572</v>
      </c>
      <c r="E40" s="74">
        <v>482343</v>
      </c>
      <c r="F40" s="42">
        <v>40</v>
      </c>
    </row>
    <row r="41" spans="1:7" ht="15.75" customHeight="1" x14ac:dyDescent="0.25">
      <c r="A41" s="38">
        <v>34</v>
      </c>
      <c r="B41" s="143"/>
      <c r="C41" s="41">
        <v>46182</v>
      </c>
      <c r="D41" s="74" t="s">
        <v>573</v>
      </c>
      <c r="E41" s="74">
        <v>403415</v>
      </c>
      <c r="F41" s="42">
        <v>40</v>
      </c>
      <c r="G41" s="1"/>
    </row>
    <row r="42" spans="1:7" ht="15.75" customHeight="1" x14ac:dyDescent="0.25">
      <c r="A42" s="38">
        <v>35</v>
      </c>
      <c r="B42" s="143"/>
      <c r="C42" s="41">
        <v>46182</v>
      </c>
      <c r="D42" s="74" t="s">
        <v>574</v>
      </c>
      <c r="E42" s="74">
        <v>403425</v>
      </c>
      <c r="F42" s="42">
        <v>40</v>
      </c>
      <c r="G42" s="5"/>
    </row>
    <row r="43" spans="1:7" ht="15.75" customHeight="1" x14ac:dyDescent="0.25">
      <c r="A43" s="38">
        <v>36</v>
      </c>
      <c r="B43" s="143"/>
      <c r="C43" s="41">
        <v>46182</v>
      </c>
      <c r="D43" s="74" t="s">
        <v>575</v>
      </c>
      <c r="E43" s="74">
        <v>482350</v>
      </c>
      <c r="F43" s="42">
        <v>40</v>
      </c>
      <c r="G43" s="1"/>
    </row>
    <row r="44" spans="1:7" ht="15.75" customHeight="1" x14ac:dyDescent="0.25">
      <c r="A44" s="38">
        <v>37</v>
      </c>
      <c r="B44" s="143"/>
      <c r="C44" s="41"/>
      <c r="D44" s="74"/>
      <c r="E44" s="74"/>
      <c r="F44" s="42"/>
    </row>
    <row r="45" spans="1:7" ht="15.75" customHeight="1" x14ac:dyDescent="0.25">
      <c r="A45" s="38">
        <v>38</v>
      </c>
      <c r="B45" s="143"/>
      <c r="C45" s="41">
        <v>46182</v>
      </c>
      <c r="D45" s="74" t="s">
        <v>576</v>
      </c>
      <c r="E45" s="74">
        <v>2681587</v>
      </c>
      <c r="F45" s="42">
        <v>40</v>
      </c>
    </row>
    <row r="46" spans="1:7" ht="15.75" customHeight="1" x14ac:dyDescent="0.25">
      <c r="A46" s="38">
        <v>39</v>
      </c>
      <c r="B46" s="144"/>
      <c r="C46" s="41">
        <v>46182</v>
      </c>
      <c r="D46" s="74" t="s">
        <v>577</v>
      </c>
      <c r="E46" s="74" t="s">
        <v>144</v>
      </c>
      <c r="F46" s="42">
        <v>40</v>
      </c>
    </row>
    <row r="47" spans="1:7" ht="15.75" customHeight="1" x14ac:dyDescent="0.25">
      <c r="A47" s="38">
        <v>40</v>
      </c>
      <c r="B47" s="44" t="s">
        <v>142</v>
      </c>
      <c r="C47" s="41">
        <v>46182</v>
      </c>
      <c r="D47" s="74" t="s">
        <v>147</v>
      </c>
      <c r="E47" s="74" t="s">
        <v>144</v>
      </c>
      <c r="F47" s="42">
        <v>40</v>
      </c>
    </row>
    <row r="50" spans="1:7" ht="21" x14ac:dyDescent="0.25">
      <c r="G50" s="52" t="s">
        <v>127</v>
      </c>
    </row>
    <row r="51" spans="1:7" ht="21" x14ac:dyDescent="0.25">
      <c r="G51" s="52"/>
    </row>
    <row r="52" spans="1:7" ht="21" x14ac:dyDescent="0.25">
      <c r="G52" s="52"/>
    </row>
    <row r="54" spans="1:7" ht="15.75" x14ac:dyDescent="0.25">
      <c r="A54" s="3"/>
      <c r="B54" s="24" t="s">
        <v>4</v>
      </c>
    </row>
    <row r="55" spans="1:7" ht="15.75" thickBot="1" x14ac:dyDescent="0.3">
      <c r="A55" s="3"/>
      <c r="B55" s="2"/>
      <c r="C55" s="1"/>
      <c r="D55" s="1"/>
      <c r="E55" s="1"/>
      <c r="F55" s="1"/>
    </row>
    <row r="56" spans="1:7" ht="15.75" thickBot="1" x14ac:dyDescent="0.3">
      <c r="A56" s="6" t="s">
        <v>2</v>
      </c>
      <c r="B56" s="14" t="s">
        <v>11</v>
      </c>
      <c r="C56" s="14" t="s">
        <v>6</v>
      </c>
      <c r="D56" s="7" t="s">
        <v>0</v>
      </c>
      <c r="E56" s="7" t="s">
        <v>1</v>
      </c>
      <c r="F56" s="8" t="s">
        <v>9</v>
      </c>
    </row>
    <row r="57" spans="1:7" x14ac:dyDescent="0.25">
      <c r="A57" s="19"/>
      <c r="B57" s="28"/>
      <c r="C57" s="9"/>
      <c r="D57" s="34"/>
      <c r="E57" s="35"/>
      <c r="F57" s="20"/>
    </row>
    <row r="58" spans="1:7" x14ac:dyDescent="0.25">
      <c r="A58" s="17"/>
      <c r="B58" s="28"/>
      <c r="C58" s="9"/>
      <c r="D58" s="9"/>
      <c r="E58" s="9"/>
      <c r="F58" s="18"/>
    </row>
    <row r="59" spans="1:7" x14ac:dyDescent="0.25">
      <c r="A59" s="17"/>
      <c r="B59" s="28"/>
      <c r="C59" s="9"/>
      <c r="D59" s="9"/>
      <c r="E59" s="9"/>
      <c r="F59" s="18"/>
    </row>
    <row r="60" spans="1:7" x14ac:dyDescent="0.25">
      <c r="A60" s="17"/>
      <c r="B60" s="28"/>
      <c r="C60" s="9"/>
      <c r="D60" s="9"/>
      <c r="E60" s="9"/>
      <c r="F60" s="18"/>
    </row>
    <row r="61" spans="1:7" ht="15.75" thickBot="1" x14ac:dyDescent="0.3">
      <c r="A61" s="21"/>
      <c r="B61" s="29"/>
      <c r="C61" s="11"/>
      <c r="D61" s="11"/>
      <c r="E61" s="11"/>
      <c r="F61" s="22"/>
    </row>
    <row r="62" spans="1:7" x14ac:dyDescent="0.25">
      <c r="A62" s="3"/>
      <c r="B62" s="72"/>
      <c r="C62" s="73"/>
      <c r="D62" s="73"/>
      <c r="E62" s="73"/>
      <c r="F62" s="73"/>
    </row>
    <row r="63" spans="1:7" ht="15.75" x14ac:dyDescent="0.25">
      <c r="A63" s="3"/>
      <c r="B63" s="24" t="s">
        <v>66</v>
      </c>
      <c r="C63" s="1"/>
      <c r="E63" s="1"/>
      <c r="F63" s="1"/>
    </row>
    <row r="64" spans="1:7" ht="15.75" thickBot="1" x14ac:dyDescent="0.3">
      <c r="A64" s="3"/>
      <c r="B64" s="2"/>
      <c r="C64" s="1"/>
      <c r="D64" s="1"/>
      <c r="E64" s="1"/>
      <c r="F64" s="1"/>
    </row>
    <row r="65" spans="1:6" ht="15.75" thickBot="1" x14ac:dyDescent="0.3">
      <c r="A65" s="13" t="s">
        <v>2</v>
      </c>
      <c r="B65" s="14" t="s">
        <v>532</v>
      </c>
      <c r="C65" s="14" t="s">
        <v>0</v>
      </c>
      <c r="D65" s="14" t="s">
        <v>14</v>
      </c>
      <c r="E65" s="14" t="s">
        <v>15</v>
      </c>
      <c r="F65" s="16" t="s">
        <v>9</v>
      </c>
    </row>
    <row r="66" spans="1:6" x14ac:dyDescent="0.25">
      <c r="A66" s="19"/>
      <c r="B66" s="28">
        <v>9062026</v>
      </c>
      <c r="C66" s="9" t="s">
        <v>592</v>
      </c>
      <c r="D66" s="10" t="s">
        <v>220</v>
      </c>
      <c r="E66" s="10"/>
      <c r="F66" s="20"/>
    </row>
    <row r="67" spans="1:6" x14ac:dyDescent="0.25">
      <c r="A67" s="17"/>
      <c r="B67" s="28">
        <v>9062026</v>
      </c>
      <c r="C67" s="9" t="s">
        <v>592</v>
      </c>
      <c r="D67" s="9" t="s">
        <v>221</v>
      </c>
      <c r="E67" s="9"/>
      <c r="F67" s="18"/>
    </row>
    <row r="68" spans="1:6" x14ac:dyDescent="0.25">
      <c r="A68" s="17"/>
      <c r="B68" s="28">
        <v>9062026</v>
      </c>
      <c r="C68" s="9" t="s">
        <v>592</v>
      </c>
      <c r="D68" s="9" t="s">
        <v>222</v>
      </c>
      <c r="E68" s="9"/>
      <c r="F68" s="18"/>
    </row>
    <row r="69" spans="1:6" x14ac:dyDescent="0.25">
      <c r="A69" s="17"/>
      <c r="B69" s="28">
        <v>9062026</v>
      </c>
      <c r="C69" s="9" t="s">
        <v>592</v>
      </c>
      <c r="D69" s="9" t="s">
        <v>223</v>
      </c>
      <c r="E69" s="9"/>
      <c r="F69" s="18"/>
    </row>
    <row r="70" spans="1:6" x14ac:dyDescent="0.25">
      <c r="A70" s="17"/>
      <c r="B70" s="28">
        <v>9062026</v>
      </c>
      <c r="C70" s="9" t="s">
        <v>592</v>
      </c>
      <c r="D70" s="9" t="s">
        <v>224</v>
      </c>
      <c r="E70" s="9"/>
      <c r="F70" s="18"/>
    </row>
    <row r="71" spans="1:6" x14ac:dyDescent="0.25">
      <c r="A71" s="17"/>
      <c r="B71" s="28">
        <v>9062026</v>
      </c>
      <c r="C71" s="9" t="s">
        <v>592</v>
      </c>
      <c r="D71" s="9" t="s">
        <v>225</v>
      </c>
      <c r="E71" s="9"/>
      <c r="F71" s="18"/>
    </row>
    <row r="72" spans="1:6" x14ac:dyDescent="0.25">
      <c r="A72" s="17"/>
      <c r="B72" s="28">
        <v>9062026</v>
      </c>
      <c r="C72" s="9" t="s">
        <v>592</v>
      </c>
      <c r="D72" s="9" t="s">
        <v>226</v>
      </c>
      <c r="E72" s="9"/>
      <c r="F72" s="18"/>
    </row>
    <row r="73" spans="1:6" x14ac:dyDescent="0.25">
      <c r="A73" s="17"/>
      <c r="B73" s="28">
        <v>9062026</v>
      </c>
      <c r="C73" s="9" t="s">
        <v>592</v>
      </c>
      <c r="D73" s="9" t="s">
        <v>227</v>
      </c>
      <c r="E73" s="9"/>
      <c r="F73" s="18"/>
    </row>
    <row r="74" spans="1:6" x14ac:dyDescent="0.25">
      <c r="A74" s="17"/>
      <c r="B74" s="28">
        <v>9062026</v>
      </c>
      <c r="C74" s="9" t="s">
        <v>592</v>
      </c>
      <c r="D74" s="9" t="s">
        <v>228</v>
      </c>
      <c r="E74" s="9"/>
      <c r="F74" s="18"/>
    </row>
    <row r="75" spans="1:6" x14ac:dyDescent="0.25">
      <c r="A75" s="17"/>
      <c r="B75" s="28">
        <v>9062026</v>
      </c>
      <c r="C75" s="9" t="s">
        <v>592</v>
      </c>
      <c r="D75" s="9" t="s">
        <v>229</v>
      </c>
      <c r="E75" s="9"/>
      <c r="F75" s="18"/>
    </row>
    <row r="76" spans="1:6" x14ac:dyDescent="0.25">
      <c r="A76" s="17"/>
      <c r="B76" s="28">
        <v>9062026</v>
      </c>
      <c r="C76" s="9" t="s">
        <v>592</v>
      </c>
      <c r="D76" s="9" t="s">
        <v>230</v>
      </c>
      <c r="E76" s="9"/>
      <c r="F76" s="18"/>
    </row>
    <row r="77" spans="1:6" x14ac:dyDescent="0.25">
      <c r="A77" s="17"/>
      <c r="B77" s="28">
        <v>9062026</v>
      </c>
      <c r="C77" s="9" t="s">
        <v>592</v>
      </c>
      <c r="D77" s="9" t="s">
        <v>231</v>
      </c>
      <c r="E77" s="9"/>
      <c r="F77" s="18"/>
    </row>
    <row r="78" spans="1:6" x14ac:dyDescent="0.25">
      <c r="A78" s="17"/>
      <c r="B78" s="28">
        <v>9062026</v>
      </c>
      <c r="C78" s="9" t="s">
        <v>592</v>
      </c>
      <c r="D78" s="9" t="s">
        <v>232</v>
      </c>
      <c r="E78" s="9"/>
      <c r="F78" s="18"/>
    </row>
    <row r="79" spans="1:6" x14ac:dyDescent="0.25">
      <c r="A79" s="17"/>
      <c r="B79" s="28">
        <v>9062026</v>
      </c>
      <c r="C79" s="9" t="s">
        <v>592</v>
      </c>
      <c r="D79" s="9" t="s">
        <v>233</v>
      </c>
      <c r="E79" s="9"/>
      <c r="F79" s="18"/>
    </row>
    <row r="80" spans="1:6" x14ac:dyDescent="0.25">
      <c r="A80" s="17"/>
      <c r="B80" s="28">
        <v>9062026</v>
      </c>
      <c r="C80" s="9" t="s">
        <v>592</v>
      </c>
      <c r="D80" s="9" t="s">
        <v>234</v>
      </c>
      <c r="E80" s="9"/>
      <c r="F80" s="18"/>
    </row>
    <row r="81" spans="1:6" x14ac:dyDescent="0.25">
      <c r="A81" s="17"/>
      <c r="B81" s="28">
        <v>9062026</v>
      </c>
      <c r="C81" s="9" t="s">
        <v>592</v>
      </c>
      <c r="D81" s="9" t="s">
        <v>235</v>
      </c>
      <c r="E81" s="9"/>
      <c r="F81" s="18"/>
    </row>
    <row r="82" spans="1:6" x14ac:dyDescent="0.25">
      <c r="A82" s="17"/>
      <c r="B82" s="28">
        <v>9062026</v>
      </c>
      <c r="C82" s="9" t="s">
        <v>262</v>
      </c>
      <c r="D82" s="9" t="s">
        <v>265</v>
      </c>
      <c r="E82" s="9">
        <v>3835</v>
      </c>
      <c r="F82" s="18"/>
    </row>
    <row r="83" spans="1:6" x14ac:dyDescent="0.25">
      <c r="A83" s="17"/>
      <c r="B83" s="28">
        <v>9062026</v>
      </c>
      <c r="C83" s="9" t="s">
        <v>263</v>
      </c>
      <c r="D83" s="9" t="s">
        <v>266</v>
      </c>
      <c r="E83" s="9">
        <v>3832</v>
      </c>
      <c r="F83" s="18"/>
    </row>
    <row r="84" spans="1:6" ht="15.75" thickBot="1" x14ac:dyDescent="0.3">
      <c r="A84" s="21"/>
      <c r="B84" s="29">
        <v>9062026</v>
      </c>
      <c r="C84" s="11" t="s">
        <v>264</v>
      </c>
      <c r="D84" s="11" t="s">
        <v>267</v>
      </c>
      <c r="E84" s="11">
        <v>3836</v>
      </c>
      <c r="F84" s="22"/>
    </row>
    <row r="102" spans="7:7" ht="21" x14ac:dyDescent="0.25">
      <c r="G102" s="52" t="s">
        <v>154</v>
      </c>
    </row>
  </sheetData>
  <mergeCells count="3">
    <mergeCell ref="B9:B30"/>
    <mergeCell ref="B31:B46"/>
    <mergeCell ref="A3:H3"/>
  </mergeCells>
  <phoneticPr fontId="12" type="noConversion"/>
  <conditionalFormatting sqref="G8">
    <cfRule type="expression" dxfId="13" priority="5">
      <formula>LEFT(CELL("format",B33))</formula>
    </cfRule>
  </conditionalFormatting>
  <dataValidations count="1">
    <dataValidation type="list" allowBlank="1" showInputMessage="1" showErrorMessage="1" sqref="F8:F46" xr:uid="{339A4D47-1C10-4312-A351-9035CC4A0803}">
      <formula1>"20,40,45,50"</formula1>
    </dataValidation>
  </dataValidations>
  <pageMargins left="0.11811023622047245" right="0.11811023622047245" top="0.15748031496062992" bottom="0.15748031496062992" header="0.31496062992125984" footer="0.31496062992125984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8DC8-466C-474B-AB02-0C5E937D97F9}">
  <dimension ref="A1:J48"/>
  <sheetViews>
    <sheetView tabSelected="1" topLeftCell="A2" workbookViewId="0">
      <selection activeCell="G7" sqref="G7:G16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91">
        <f>COUNTIF(C8:C12,"&lt;&gt;")</f>
        <v>5</v>
      </c>
      <c r="I1" s="90" t="s">
        <v>386</v>
      </c>
    </row>
    <row r="2" spans="1:10" s="1" customFormat="1" ht="24.95" customHeight="1" x14ac:dyDescent="0.25">
      <c r="A2" s="3"/>
      <c r="F2" s="91">
        <f>COUNTIFS(B21:B32,"&lt;&gt;",C21:C32,"VH")</f>
        <v>7</v>
      </c>
      <c r="G2" s="90" t="s">
        <v>25</v>
      </c>
      <c r="H2" s="91">
        <f>COUNTA(C21:C32)-F2</f>
        <v>5</v>
      </c>
      <c r="I2" s="90" t="s">
        <v>386</v>
      </c>
      <c r="J2" s="101">
        <f>COUNTIF(E21:E32,"VIDE")</f>
        <v>2</v>
      </c>
    </row>
    <row r="3" spans="1:10" s="1" customFormat="1" ht="24.95" customHeight="1" x14ac:dyDescent="0.25">
      <c r="A3" s="129" t="s">
        <v>10</v>
      </c>
      <c r="B3" s="129"/>
      <c r="C3" s="129"/>
      <c r="D3" s="129"/>
      <c r="E3" s="129"/>
      <c r="F3" s="129"/>
      <c r="G3" s="129"/>
      <c r="H3" s="129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  <c r="B5" s="24" t="s">
        <v>3</v>
      </c>
      <c r="F5" s="1" t="s">
        <v>158</v>
      </c>
      <c r="G5" s="26">
        <v>44721</v>
      </c>
    </row>
    <row r="6" spans="1:10" s="1" customFormat="1" thickBot="1" x14ac:dyDescent="0.3">
      <c r="A6" s="3"/>
      <c r="B6" s="2"/>
    </row>
    <row r="7" spans="1:10" s="1" customFormat="1" ht="15.75" customHeight="1" thickBot="1" x14ac:dyDescent="0.3">
      <c r="A7" s="13" t="s">
        <v>2</v>
      </c>
      <c r="B7" s="14" t="s">
        <v>8</v>
      </c>
      <c r="C7" s="14" t="s">
        <v>12</v>
      </c>
      <c r="D7" s="14" t="s">
        <v>0</v>
      </c>
      <c r="E7" s="14" t="s">
        <v>1</v>
      </c>
      <c r="F7" s="16" t="s">
        <v>9</v>
      </c>
      <c r="G7" s="16" t="s">
        <v>584</v>
      </c>
    </row>
    <row r="8" spans="1:10" s="1" customFormat="1" ht="15.75" customHeight="1" x14ac:dyDescent="0.25">
      <c r="A8" s="19">
        <v>1</v>
      </c>
      <c r="B8" s="76" t="s">
        <v>275</v>
      </c>
      <c r="C8" s="79">
        <v>46183</v>
      </c>
      <c r="D8" s="76" t="s">
        <v>447</v>
      </c>
      <c r="E8" s="77" t="s">
        <v>268</v>
      </c>
      <c r="F8" s="58" t="s">
        <v>583</v>
      </c>
      <c r="G8" s="127">
        <v>44736</v>
      </c>
    </row>
    <row r="9" spans="1:10" s="1" customFormat="1" ht="15.75" customHeight="1" x14ac:dyDescent="0.25">
      <c r="A9" s="17">
        <v>2</v>
      </c>
      <c r="B9" s="139" t="s">
        <v>260</v>
      </c>
      <c r="C9" s="41">
        <v>46183</v>
      </c>
      <c r="D9" s="74" t="s">
        <v>448</v>
      </c>
      <c r="E9" s="74" t="s">
        <v>242</v>
      </c>
      <c r="F9" s="59">
        <v>40</v>
      </c>
    </row>
    <row r="10" spans="1:10" s="1" customFormat="1" ht="15.75" customHeight="1" x14ac:dyDescent="0.25">
      <c r="A10" s="17">
        <v>3</v>
      </c>
      <c r="B10" s="141"/>
      <c r="C10" s="41">
        <v>46183</v>
      </c>
      <c r="D10" s="74" t="s">
        <v>585</v>
      </c>
      <c r="E10" s="74" t="s">
        <v>586</v>
      </c>
      <c r="F10" s="59">
        <v>40</v>
      </c>
    </row>
    <row r="11" spans="1:10" s="1" customFormat="1" ht="15.75" customHeight="1" x14ac:dyDescent="0.25">
      <c r="A11" s="17">
        <v>4</v>
      </c>
      <c r="B11" s="138" t="s">
        <v>261</v>
      </c>
      <c r="C11" s="41">
        <v>46183</v>
      </c>
      <c r="D11" s="74" t="s">
        <v>450</v>
      </c>
      <c r="E11" s="74">
        <v>403411</v>
      </c>
      <c r="F11" s="59">
        <v>40</v>
      </c>
      <c r="H11" s="4"/>
    </row>
    <row r="12" spans="1:10" s="1" customFormat="1" ht="15.75" customHeight="1" x14ac:dyDescent="0.25">
      <c r="A12" s="17">
        <v>5</v>
      </c>
      <c r="B12" s="138"/>
      <c r="C12" s="41">
        <v>46183</v>
      </c>
      <c r="D12" s="74" t="s">
        <v>451</v>
      </c>
      <c r="E12" s="74" t="s">
        <v>144</v>
      </c>
      <c r="F12" s="59">
        <v>40</v>
      </c>
    </row>
    <row r="13" spans="1:10" s="1" customFormat="1" ht="15.75" customHeight="1" x14ac:dyDescent="0.25">
      <c r="A13" s="17"/>
      <c r="B13" s="78"/>
      <c r="C13" s="41"/>
      <c r="D13" s="42"/>
      <c r="E13" s="42"/>
      <c r="F13" s="59"/>
    </row>
    <row r="14" spans="1:10" ht="15.75" customHeight="1" x14ac:dyDescent="0.25">
      <c r="A14" s="17"/>
      <c r="B14" s="78"/>
      <c r="C14" s="41"/>
      <c r="D14" s="42"/>
      <c r="E14" s="42"/>
      <c r="F14" s="59"/>
    </row>
    <row r="15" spans="1:10" ht="15.75" x14ac:dyDescent="0.25">
      <c r="A15" s="17"/>
      <c r="B15" s="66"/>
      <c r="C15" s="67"/>
      <c r="D15" s="42"/>
      <c r="E15" s="42"/>
      <c r="F15" s="59"/>
      <c r="G15" s="5"/>
    </row>
    <row r="16" spans="1:10" ht="16.5" thickBot="1" x14ac:dyDescent="0.3">
      <c r="A16" s="21"/>
      <c r="B16" s="80"/>
      <c r="C16" s="81"/>
      <c r="D16" s="60"/>
      <c r="E16" s="60"/>
      <c r="F16" s="61"/>
      <c r="G16" s="5"/>
    </row>
    <row r="17" spans="1:7" ht="15.75" x14ac:dyDescent="0.25">
      <c r="A17" s="3"/>
      <c r="B17" s="5"/>
      <c r="C17" s="1"/>
      <c r="D17" s="65"/>
      <c r="E17" s="65"/>
      <c r="F17" s="65"/>
      <c r="G17" s="5"/>
    </row>
    <row r="18" spans="1:7" ht="15.75" x14ac:dyDescent="0.25">
      <c r="A18" s="3"/>
      <c r="B18" s="24" t="s">
        <v>4</v>
      </c>
      <c r="G18" s="5"/>
    </row>
    <row r="19" spans="1:7" ht="15.75" thickBot="1" x14ac:dyDescent="0.3">
      <c r="A19" s="3"/>
      <c r="B19" s="2"/>
      <c r="C19" s="1"/>
      <c r="D19" s="1"/>
      <c r="E19" s="1"/>
      <c r="F19" s="1"/>
      <c r="G19" s="1"/>
    </row>
    <row r="20" spans="1:7" ht="15.75" thickBot="1" x14ac:dyDescent="0.3">
      <c r="A20" s="13" t="s">
        <v>2</v>
      </c>
      <c r="B20" s="14" t="s">
        <v>11</v>
      </c>
      <c r="C20" s="14" t="s">
        <v>6</v>
      </c>
      <c r="D20" s="14" t="s">
        <v>0</v>
      </c>
      <c r="E20" s="14" t="s">
        <v>1</v>
      </c>
      <c r="F20" s="16" t="s">
        <v>9</v>
      </c>
    </row>
    <row r="21" spans="1:7" ht="15.75" customHeight="1" x14ac:dyDescent="0.25">
      <c r="A21" s="19">
        <v>1</v>
      </c>
      <c r="B21" s="27">
        <v>10062026</v>
      </c>
      <c r="C21" s="10" t="s">
        <v>270</v>
      </c>
      <c r="D21" s="10" t="s">
        <v>269</v>
      </c>
      <c r="E21" s="35">
        <v>3789</v>
      </c>
      <c r="F21" s="20">
        <v>20</v>
      </c>
    </row>
    <row r="22" spans="1:7" ht="15.75" customHeight="1" x14ac:dyDescent="0.25">
      <c r="A22" s="17">
        <v>2</v>
      </c>
      <c r="B22" s="28">
        <v>10062026</v>
      </c>
      <c r="C22" s="9" t="s">
        <v>271</v>
      </c>
      <c r="D22" s="9" t="s">
        <v>272</v>
      </c>
      <c r="E22" s="9">
        <v>3781</v>
      </c>
      <c r="F22" s="18">
        <v>20</v>
      </c>
    </row>
    <row r="23" spans="1:7" ht="15.75" customHeight="1" x14ac:dyDescent="0.25">
      <c r="A23" s="17">
        <v>3</v>
      </c>
      <c r="B23" s="28">
        <v>10062026</v>
      </c>
      <c r="C23" s="9" t="s">
        <v>273</v>
      </c>
      <c r="D23" s="9" t="s">
        <v>50</v>
      </c>
      <c r="E23" s="9">
        <v>3782</v>
      </c>
      <c r="F23" s="18">
        <v>40</v>
      </c>
    </row>
    <row r="24" spans="1:7" ht="15.75" customHeight="1" x14ac:dyDescent="0.25">
      <c r="A24" s="17">
        <v>4</v>
      </c>
      <c r="B24" s="28">
        <v>10062026</v>
      </c>
      <c r="C24" s="9" t="s">
        <v>402</v>
      </c>
      <c r="D24" s="9" t="s">
        <v>400</v>
      </c>
      <c r="E24" s="9" t="s">
        <v>164</v>
      </c>
      <c r="F24" s="18">
        <v>40</v>
      </c>
    </row>
    <row r="25" spans="1:7" ht="15.75" customHeight="1" x14ac:dyDescent="0.25">
      <c r="A25" s="17">
        <v>5</v>
      </c>
      <c r="B25" s="28">
        <v>10062026</v>
      </c>
      <c r="C25" s="9" t="s">
        <v>403</v>
      </c>
      <c r="D25" s="9" t="s">
        <v>401</v>
      </c>
      <c r="E25" s="9" t="s">
        <v>164</v>
      </c>
      <c r="F25" s="18">
        <v>40</v>
      </c>
    </row>
    <row r="26" spans="1:7" ht="15.75" customHeight="1" x14ac:dyDescent="0.25">
      <c r="A26" s="17">
        <v>6</v>
      </c>
      <c r="B26" s="28">
        <v>10062026</v>
      </c>
      <c r="C26" s="9" t="s">
        <v>25</v>
      </c>
      <c r="D26" s="9" t="s">
        <v>276</v>
      </c>
      <c r="E26" s="9" t="s">
        <v>26</v>
      </c>
      <c r="F26" s="18"/>
    </row>
    <row r="27" spans="1:7" ht="15.75" customHeight="1" x14ac:dyDescent="0.25">
      <c r="A27" s="17">
        <v>7</v>
      </c>
      <c r="B27" s="28">
        <v>10062026</v>
      </c>
      <c r="C27" s="9" t="s">
        <v>25</v>
      </c>
      <c r="D27" s="9" t="s">
        <v>277</v>
      </c>
      <c r="E27" s="9" t="s">
        <v>279</v>
      </c>
      <c r="F27" s="18"/>
    </row>
    <row r="28" spans="1:7" ht="15.75" customHeight="1" x14ac:dyDescent="0.25">
      <c r="A28" s="17">
        <v>8</v>
      </c>
      <c r="B28" s="28">
        <v>10062026</v>
      </c>
      <c r="C28" s="9" t="s">
        <v>25</v>
      </c>
      <c r="D28" s="9" t="s">
        <v>278</v>
      </c>
      <c r="E28" s="9" t="s">
        <v>26</v>
      </c>
      <c r="F28" s="18"/>
    </row>
    <row r="29" spans="1:7" ht="15.75" customHeight="1" x14ac:dyDescent="0.25">
      <c r="A29" s="17">
        <v>9</v>
      </c>
      <c r="B29" s="28">
        <v>10062026</v>
      </c>
      <c r="C29" s="9" t="s">
        <v>25</v>
      </c>
      <c r="D29" s="9" t="s">
        <v>482</v>
      </c>
      <c r="E29" s="9" t="s">
        <v>26</v>
      </c>
      <c r="F29" s="18"/>
    </row>
    <row r="30" spans="1:7" ht="15.75" customHeight="1" x14ac:dyDescent="0.25">
      <c r="A30" s="17">
        <v>10</v>
      </c>
      <c r="B30" s="28">
        <v>10062026</v>
      </c>
      <c r="C30" s="9" t="s">
        <v>25</v>
      </c>
      <c r="D30" s="9" t="s">
        <v>483</v>
      </c>
      <c r="E30" s="9" t="s">
        <v>26</v>
      </c>
      <c r="F30" s="18"/>
    </row>
    <row r="31" spans="1:7" ht="15.75" customHeight="1" x14ac:dyDescent="0.25">
      <c r="A31" s="17">
        <v>11</v>
      </c>
      <c r="B31" s="28">
        <v>10062026</v>
      </c>
      <c r="C31" s="9" t="s">
        <v>25</v>
      </c>
      <c r="D31" s="9" t="s">
        <v>484</v>
      </c>
      <c r="E31" s="9" t="s">
        <v>26</v>
      </c>
      <c r="F31" s="18"/>
    </row>
    <row r="32" spans="1:7" ht="15.75" customHeight="1" thickBot="1" x14ac:dyDescent="0.3">
      <c r="A32" s="21">
        <v>12</v>
      </c>
      <c r="B32" s="29">
        <v>10062026</v>
      </c>
      <c r="C32" s="11" t="s">
        <v>25</v>
      </c>
      <c r="D32" s="11" t="s">
        <v>485</v>
      </c>
      <c r="E32" s="11" t="s">
        <v>26</v>
      </c>
      <c r="F32" s="22"/>
    </row>
    <row r="33" spans="1:7" x14ac:dyDescent="0.25">
      <c r="A33" t="s">
        <v>219</v>
      </c>
    </row>
    <row r="34" spans="1:7" ht="15.75" x14ac:dyDescent="0.25">
      <c r="A34" s="3"/>
      <c r="B34" s="24" t="s">
        <v>66</v>
      </c>
      <c r="C34" s="1"/>
      <c r="E34" s="1"/>
      <c r="F34" s="1"/>
      <c r="G34" s="5"/>
    </row>
    <row r="35" spans="1:7" ht="15.75" thickBot="1" x14ac:dyDescent="0.3">
      <c r="A35" s="3"/>
      <c r="B35" s="2"/>
      <c r="C35" s="1"/>
      <c r="D35" s="1"/>
      <c r="E35" s="1"/>
      <c r="F35" s="1"/>
      <c r="G35" s="1"/>
    </row>
    <row r="36" spans="1:7" x14ac:dyDescent="0.25">
      <c r="A36" s="13" t="s">
        <v>2</v>
      </c>
      <c r="B36" s="14" t="s">
        <v>532</v>
      </c>
      <c r="C36" s="14" t="s">
        <v>0</v>
      </c>
      <c r="D36" s="14" t="s">
        <v>14</v>
      </c>
      <c r="E36" s="14" t="s">
        <v>15</v>
      </c>
      <c r="F36" s="16" t="s">
        <v>9</v>
      </c>
    </row>
    <row r="37" spans="1:7" ht="15.75" customHeight="1" x14ac:dyDescent="0.25">
      <c r="A37" s="38">
        <v>1</v>
      </c>
      <c r="B37" s="28">
        <v>10062026</v>
      </c>
      <c r="C37" s="47" t="s">
        <v>109</v>
      </c>
      <c r="D37" s="49" t="s">
        <v>110</v>
      </c>
      <c r="E37" s="25">
        <v>3837</v>
      </c>
      <c r="F37" s="37">
        <v>40</v>
      </c>
    </row>
    <row r="38" spans="1:7" ht="15.75" customHeight="1" x14ac:dyDescent="0.25">
      <c r="A38" s="38">
        <v>2</v>
      </c>
      <c r="B38" s="28">
        <v>10062026</v>
      </c>
      <c r="C38" s="47" t="s">
        <v>111</v>
      </c>
      <c r="D38" s="49" t="s">
        <v>112</v>
      </c>
      <c r="E38" s="25">
        <v>3838</v>
      </c>
      <c r="F38" s="37">
        <v>40</v>
      </c>
    </row>
    <row r="39" spans="1:7" ht="15.75" customHeight="1" x14ac:dyDescent="0.25">
      <c r="A39" s="38">
        <v>3</v>
      </c>
      <c r="B39" s="28">
        <v>10062026</v>
      </c>
      <c r="C39" s="47" t="s">
        <v>113</v>
      </c>
      <c r="D39" s="42" t="s">
        <v>114</v>
      </c>
      <c r="E39" s="25">
        <v>3839</v>
      </c>
      <c r="F39" s="37">
        <v>40</v>
      </c>
    </row>
    <row r="40" spans="1:7" ht="15.75" customHeight="1" x14ac:dyDescent="0.25">
      <c r="A40" s="38">
        <v>4</v>
      </c>
      <c r="B40" s="28">
        <v>10062026</v>
      </c>
      <c r="C40" s="42" t="s">
        <v>74</v>
      </c>
      <c r="D40" s="43" t="s">
        <v>75</v>
      </c>
      <c r="E40" s="9">
        <v>3791</v>
      </c>
      <c r="F40" s="37">
        <v>40</v>
      </c>
    </row>
    <row r="41" spans="1:7" ht="15.75" customHeight="1" x14ac:dyDescent="0.25">
      <c r="A41" s="38">
        <v>5</v>
      </c>
      <c r="B41" s="28">
        <v>10062026</v>
      </c>
      <c r="C41" s="42" t="s">
        <v>76</v>
      </c>
      <c r="D41" s="43" t="s">
        <v>77</v>
      </c>
      <c r="E41" s="9">
        <v>3792</v>
      </c>
      <c r="F41" s="37">
        <v>40</v>
      </c>
    </row>
    <row r="42" spans="1:7" ht="15.75" customHeight="1" x14ac:dyDescent="0.25">
      <c r="A42" s="38">
        <v>6</v>
      </c>
      <c r="B42" s="28">
        <v>10062026</v>
      </c>
      <c r="C42" s="42" t="s">
        <v>78</v>
      </c>
      <c r="D42" s="42" t="s">
        <v>79</v>
      </c>
      <c r="E42" s="9">
        <v>3793</v>
      </c>
      <c r="F42" s="37">
        <v>40</v>
      </c>
    </row>
    <row r="43" spans="1:7" ht="15.75" customHeight="1" x14ac:dyDescent="0.25">
      <c r="A43" s="38">
        <v>7</v>
      </c>
      <c r="B43" s="28">
        <v>10062026</v>
      </c>
      <c r="C43" s="42" t="s">
        <v>80</v>
      </c>
      <c r="D43" s="42" t="s">
        <v>81</v>
      </c>
      <c r="E43" s="9">
        <v>3794</v>
      </c>
      <c r="F43" s="37">
        <v>40</v>
      </c>
    </row>
    <row r="44" spans="1:7" ht="15.75" customHeight="1" x14ac:dyDescent="0.25">
      <c r="A44" s="38">
        <v>8</v>
      </c>
      <c r="B44" s="28">
        <v>10062026</v>
      </c>
      <c r="C44" s="42" t="s">
        <v>82</v>
      </c>
      <c r="D44" s="42" t="s">
        <v>83</v>
      </c>
      <c r="E44" s="9">
        <v>3795</v>
      </c>
      <c r="F44" s="37">
        <v>40</v>
      </c>
    </row>
    <row r="45" spans="1:7" ht="15.75" customHeight="1" x14ac:dyDescent="0.25">
      <c r="A45" s="38">
        <v>9</v>
      </c>
      <c r="B45" s="28">
        <v>10062026</v>
      </c>
      <c r="C45" s="42" t="s">
        <v>84</v>
      </c>
      <c r="D45" s="42" t="s">
        <v>85</v>
      </c>
      <c r="E45" s="9">
        <v>3796</v>
      </c>
      <c r="F45" s="37">
        <v>40</v>
      </c>
    </row>
    <row r="46" spans="1:7" x14ac:dyDescent="0.25">
      <c r="A46" s="38">
        <v>10</v>
      </c>
      <c r="B46" s="28">
        <v>10062026</v>
      </c>
      <c r="C46" s="42" t="s">
        <v>86</v>
      </c>
      <c r="D46" s="42" t="s">
        <v>87</v>
      </c>
      <c r="E46" s="9">
        <v>3797</v>
      </c>
      <c r="F46" s="37">
        <v>40</v>
      </c>
    </row>
    <row r="47" spans="1:7" x14ac:dyDescent="0.25">
      <c r="A47" s="38">
        <v>11</v>
      </c>
      <c r="B47" s="28">
        <v>10062026</v>
      </c>
      <c r="C47" s="42" t="s">
        <v>88</v>
      </c>
      <c r="D47" s="42" t="s">
        <v>89</v>
      </c>
      <c r="E47" s="9">
        <v>3798</v>
      </c>
      <c r="F47" s="37">
        <v>40</v>
      </c>
    </row>
    <row r="48" spans="1:7" x14ac:dyDescent="0.25">
      <c r="A48" s="38">
        <v>11</v>
      </c>
      <c r="B48" s="28">
        <v>10062026</v>
      </c>
      <c r="C48" s="42" t="s">
        <v>274</v>
      </c>
      <c r="D48" s="42" t="s">
        <v>302</v>
      </c>
      <c r="E48" s="9">
        <v>3799</v>
      </c>
      <c r="F48" s="37">
        <v>40</v>
      </c>
    </row>
  </sheetData>
  <mergeCells count="3">
    <mergeCell ref="A3:H3"/>
    <mergeCell ref="B9:B10"/>
    <mergeCell ref="B11:B12"/>
  </mergeCells>
  <phoneticPr fontId="12" type="noConversion"/>
  <conditionalFormatting sqref="G8">
    <cfRule type="expression" dxfId="12" priority="1">
      <formula>LEFT(CELL("format",C8))</formula>
    </cfRule>
  </conditionalFormatting>
  <dataValidations count="2">
    <dataValidation type="list" allowBlank="1" showInputMessage="1" showErrorMessage="1" sqref="F9:F17" xr:uid="{E9120D2A-7360-4F0B-ACF0-40AF1EACB55D}">
      <formula1>"20,40,45,50"</formula1>
    </dataValidation>
    <dataValidation type="list" allowBlank="1" showInputMessage="1" showErrorMessage="1" sqref="F8" xr:uid="{B8117443-9FA8-47EE-9359-B707E3B21D6A}">
      <formula1>"20,40,45,50,GROUPAGE"</formula1>
    </dataValidation>
  </dataValidations>
  <pageMargins left="0.11811023622047245" right="0.11811023622047245" top="0.15748031496062992" bottom="0.15748031496062992" header="0.31496062992125984" footer="0.31496062992125984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7D07-ED52-495B-B948-80458FF6FACD}">
  <dimension ref="A1:J44"/>
  <sheetViews>
    <sheetView workbookViewId="0">
      <selection activeCell="H2" sqref="H2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91">
        <f>COUNTIF(C8:C12,"&lt;&gt;")</f>
        <v>0</v>
      </c>
      <c r="I1" s="90" t="s">
        <v>386</v>
      </c>
    </row>
    <row r="2" spans="1:10" s="1" customFormat="1" ht="24.95" customHeight="1" x14ac:dyDescent="0.25">
      <c r="A2" s="3"/>
      <c r="F2" s="91">
        <f>COUNTIFS(B19:B28,"&lt;&gt;",C19:C28,"VH")</f>
        <v>0</v>
      </c>
      <c r="G2" s="90" t="s">
        <v>25</v>
      </c>
      <c r="H2" s="91">
        <f>COUNTA(C19:C28)-F2</f>
        <v>9</v>
      </c>
      <c r="I2" s="90" t="s">
        <v>386</v>
      </c>
      <c r="J2" s="101">
        <f>COUNTIF(E19:E27,"VIDE")</f>
        <v>3</v>
      </c>
    </row>
    <row r="3" spans="1:10" s="1" customFormat="1" ht="24.95" customHeight="1" x14ac:dyDescent="0.25">
      <c r="A3" s="129" t="s">
        <v>10</v>
      </c>
      <c r="B3" s="129"/>
      <c r="C3" s="129"/>
      <c r="D3" s="129"/>
      <c r="E3" s="129"/>
      <c r="F3" s="129"/>
      <c r="G3" s="129"/>
      <c r="H3" s="129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  <c r="B5" s="24" t="s">
        <v>3</v>
      </c>
      <c r="F5" s="1" t="s">
        <v>158</v>
      </c>
      <c r="G5" s="26">
        <v>44722</v>
      </c>
    </row>
    <row r="6" spans="1:10" s="1" customFormat="1" thickBot="1" x14ac:dyDescent="0.3">
      <c r="A6" s="3"/>
      <c r="B6" s="2"/>
    </row>
    <row r="7" spans="1:10" s="1" customFormat="1" ht="15.75" customHeight="1" thickBot="1" x14ac:dyDescent="0.3">
      <c r="A7" s="13" t="s">
        <v>2</v>
      </c>
      <c r="B7" s="14" t="s">
        <v>8</v>
      </c>
      <c r="C7" s="14" t="s">
        <v>12</v>
      </c>
      <c r="D7" s="14" t="s">
        <v>0</v>
      </c>
      <c r="E7" s="14" t="s">
        <v>1</v>
      </c>
      <c r="F7" s="16" t="s">
        <v>9</v>
      </c>
    </row>
    <row r="8" spans="1:10" s="1" customFormat="1" ht="15.75" customHeight="1" x14ac:dyDescent="0.25">
      <c r="A8" s="19"/>
      <c r="B8" s="76"/>
      <c r="C8" s="79"/>
      <c r="D8" s="76"/>
      <c r="E8" s="77"/>
      <c r="F8" s="58"/>
    </row>
    <row r="9" spans="1:10" s="1" customFormat="1" ht="15.75" customHeight="1" x14ac:dyDescent="0.25">
      <c r="A9" s="17"/>
      <c r="B9" s="82"/>
      <c r="C9" s="41"/>
      <c r="D9" s="74"/>
      <c r="E9" s="74"/>
      <c r="F9" s="59"/>
    </row>
    <row r="10" spans="1:10" s="1" customFormat="1" ht="15.75" customHeight="1" x14ac:dyDescent="0.25">
      <c r="A10" s="17"/>
      <c r="B10" s="44"/>
      <c r="C10" s="41"/>
      <c r="D10" s="74"/>
      <c r="E10" s="74"/>
      <c r="F10" s="59"/>
    </row>
    <row r="11" spans="1:10" s="1" customFormat="1" ht="15.75" customHeight="1" x14ac:dyDescent="0.25">
      <c r="A11" s="17"/>
      <c r="B11" s="78"/>
      <c r="C11" s="41"/>
      <c r="D11" s="42"/>
      <c r="E11" s="42"/>
      <c r="F11" s="59"/>
    </row>
    <row r="12" spans="1:10" ht="15.75" customHeight="1" x14ac:dyDescent="0.25">
      <c r="A12" s="17"/>
      <c r="B12" s="78"/>
      <c r="C12" s="41"/>
      <c r="D12" s="42"/>
      <c r="E12" s="42"/>
      <c r="F12" s="59"/>
    </row>
    <row r="13" spans="1:10" ht="15.75" x14ac:dyDescent="0.25">
      <c r="A13" s="17"/>
      <c r="B13" s="66"/>
      <c r="C13" s="67"/>
      <c r="D13" s="42"/>
      <c r="E13" s="42"/>
      <c r="F13" s="59"/>
      <c r="G13" s="5"/>
    </row>
    <row r="14" spans="1:10" ht="16.5" thickBot="1" x14ac:dyDescent="0.3">
      <c r="A14" s="21"/>
      <c r="B14" s="80"/>
      <c r="C14" s="81"/>
      <c r="D14" s="60"/>
      <c r="E14" s="60"/>
      <c r="F14" s="61"/>
      <c r="G14" s="5"/>
    </row>
    <row r="15" spans="1:10" ht="15.75" x14ac:dyDescent="0.25">
      <c r="A15" s="3"/>
      <c r="B15" s="5"/>
      <c r="C15" s="1"/>
      <c r="D15" s="65"/>
      <c r="E15" s="65"/>
      <c r="F15" s="65"/>
      <c r="G15" s="5"/>
    </row>
    <row r="16" spans="1:10" ht="15.75" x14ac:dyDescent="0.25">
      <c r="A16" s="3"/>
      <c r="B16" s="24" t="s">
        <v>4</v>
      </c>
      <c r="G16" s="5"/>
    </row>
    <row r="17" spans="1:7" ht="15.75" thickBot="1" x14ac:dyDescent="0.3">
      <c r="A17" s="3"/>
      <c r="B17" s="2"/>
      <c r="C17" s="1"/>
      <c r="D17" s="1"/>
      <c r="E17" s="1"/>
      <c r="F17" s="1"/>
      <c r="G17" s="1"/>
    </row>
    <row r="18" spans="1:7" ht="15.75" thickBot="1" x14ac:dyDescent="0.3">
      <c r="A18" s="13" t="s">
        <v>2</v>
      </c>
      <c r="B18" s="14" t="s">
        <v>11</v>
      </c>
      <c r="C18" s="14" t="s">
        <v>6</v>
      </c>
      <c r="D18" s="14" t="s">
        <v>0</v>
      </c>
      <c r="E18" s="14" t="s">
        <v>1</v>
      </c>
      <c r="F18" s="16" t="s">
        <v>9</v>
      </c>
    </row>
    <row r="19" spans="1:7" ht="15.75" customHeight="1" x14ac:dyDescent="0.25">
      <c r="A19" s="19">
        <v>1</v>
      </c>
      <c r="B19" s="28">
        <v>11062026</v>
      </c>
      <c r="C19" s="10" t="s">
        <v>280</v>
      </c>
      <c r="D19" s="10" t="s">
        <v>113</v>
      </c>
      <c r="E19" s="35">
        <v>3839</v>
      </c>
      <c r="F19" s="20">
        <v>40</v>
      </c>
    </row>
    <row r="20" spans="1:7" ht="15.75" customHeight="1" x14ac:dyDescent="0.25">
      <c r="A20" s="17">
        <v>2</v>
      </c>
      <c r="B20" s="28">
        <v>11062026</v>
      </c>
      <c r="C20" s="9" t="s">
        <v>159</v>
      </c>
      <c r="D20" s="9" t="s">
        <v>109</v>
      </c>
      <c r="E20" s="9">
        <v>3837</v>
      </c>
      <c r="F20" s="18">
        <v>40</v>
      </c>
    </row>
    <row r="21" spans="1:7" ht="15.75" customHeight="1" x14ac:dyDescent="0.25">
      <c r="A21" s="17">
        <v>3</v>
      </c>
      <c r="B21" s="28">
        <v>11062026</v>
      </c>
      <c r="C21" s="9" t="s">
        <v>281</v>
      </c>
      <c r="D21" s="9" t="s">
        <v>111</v>
      </c>
      <c r="E21" s="9">
        <v>3838</v>
      </c>
      <c r="F21" s="18">
        <v>40</v>
      </c>
    </row>
    <row r="22" spans="1:7" ht="15.75" customHeight="1" x14ac:dyDescent="0.25">
      <c r="A22" s="17">
        <v>4</v>
      </c>
      <c r="B22" s="28">
        <v>10062026</v>
      </c>
      <c r="C22" s="9" t="s">
        <v>283</v>
      </c>
      <c r="D22" s="9" t="s">
        <v>282</v>
      </c>
      <c r="E22" s="9" t="s">
        <v>164</v>
      </c>
      <c r="F22" s="18">
        <v>45</v>
      </c>
    </row>
    <row r="23" spans="1:7" ht="15.75" customHeight="1" x14ac:dyDescent="0.25">
      <c r="A23" s="17">
        <v>5</v>
      </c>
      <c r="B23" s="28">
        <v>10062026</v>
      </c>
      <c r="C23" s="9" t="s">
        <v>283</v>
      </c>
      <c r="D23" s="9" t="s">
        <v>289</v>
      </c>
      <c r="E23" s="9" t="s">
        <v>164</v>
      </c>
      <c r="F23" s="18">
        <v>45</v>
      </c>
    </row>
    <row r="24" spans="1:7" ht="15.75" customHeight="1" x14ac:dyDescent="0.25">
      <c r="A24" s="17">
        <v>6</v>
      </c>
      <c r="B24" s="28">
        <v>10062026</v>
      </c>
      <c r="C24" s="9" t="s">
        <v>283</v>
      </c>
      <c r="D24" s="9" t="s">
        <v>290</v>
      </c>
      <c r="E24" s="9" t="s">
        <v>164</v>
      </c>
      <c r="F24" s="18">
        <v>45</v>
      </c>
    </row>
    <row r="25" spans="1:7" ht="15.75" customHeight="1" x14ac:dyDescent="0.25">
      <c r="A25" s="17">
        <v>7</v>
      </c>
      <c r="B25" s="28">
        <v>10062026</v>
      </c>
      <c r="C25" s="9" t="s">
        <v>291</v>
      </c>
      <c r="D25" s="9" t="s">
        <v>185</v>
      </c>
      <c r="E25" s="9">
        <v>3784</v>
      </c>
      <c r="F25" s="18">
        <v>40</v>
      </c>
    </row>
    <row r="26" spans="1:7" ht="15.75" customHeight="1" x14ac:dyDescent="0.25">
      <c r="A26" s="17">
        <v>8</v>
      </c>
      <c r="B26" s="28">
        <v>10062026</v>
      </c>
      <c r="C26" s="9" t="s">
        <v>292</v>
      </c>
      <c r="D26" s="9" t="s">
        <v>53</v>
      </c>
      <c r="E26" s="9">
        <v>3814</v>
      </c>
      <c r="F26" s="18">
        <v>40</v>
      </c>
    </row>
    <row r="27" spans="1:7" ht="15.75" customHeight="1" x14ac:dyDescent="0.25">
      <c r="A27" s="17">
        <v>9</v>
      </c>
      <c r="B27" s="28">
        <v>10062026</v>
      </c>
      <c r="C27" s="9" t="s">
        <v>293</v>
      </c>
      <c r="D27" s="9" t="s">
        <v>55</v>
      </c>
      <c r="E27" s="9">
        <v>3815</v>
      </c>
      <c r="F27" s="18">
        <v>40</v>
      </c>
    </row>
    <row r="28" spans="1:7" ht="15.75" customHeight="1" thickBot="1" x14ac:dyDescent="0.3">
      <c r="A28" s="21"/>
      <c r="B28" s="29"/>
      <c r="C28" s="11"/>
      <c r="D28" s="11"/>
      <c r="E28" s="11"/>
      <c r="F28" s="22"/>
    </row>
    <row r="29" spans="1:7" x14ac:dyDescent="0.25">
      <c r="A29" t="s">
        <v>219</v>
      </c>
    </row>
    <row r="30" spans="1:7" ht="15.75" x14ac:dyDescent="0.25">
      <c r="A30" s="3"/>
      <c r="B30" s="24" t="s">
        <v>66</v>
      </c>
      <c r="C30" s="1"/>
      <c r="E30" s="1"/>
      <c r="F30" s="1"/>
      <c r="G30" s="5"/>
    </row>
    <row r="31" spans="1:7" ht="15.75" thickBot="1" x14ac:dyDescent="0.3">
      <c r="A31" s="3"/>
      <c r="B31" s="2"/>
      <c r="C31" s="1"/>
      <c r="D31" s="1"/>
      <c r="E31" s="1"/>
      <c r="F31" s="1"/>
      <c r="G31" s="1"/>
    </row>
    <row r="32" spans="1:7" x14ac:dyDescent="0.25">
      <c r="A32" s="13" t="s">
        <v>2</v>
      </c>
      <c r="B32" s="14" t="s">
        <v>532</v>
      </c>
      <c r="C32" s="14" t="s">
        <v>0</v>
      </c>
      <c r="D32" s="14" t="s">
        <v>14</v>
      </c>
      <c r="E32" s="14" t="s">
        <v>15</v>
      </c>
      <c r="F32" s="16" t="s">
        <v>9</v>
      </c>
    </row>
    <row r="33" spans="1:6" ht="15.75" customHeight="1" x14ac:dyDescent="0.25">
      <c r="A33" s="38">
        <v>1</v>
      </c>
      <c r="B33" s="28">
        <v>10062026</v>
      </c>
      <c r="C33" s="47" t="s">
        <v>25</v>
      </c>
      <c r="D33" s="49" t="s">
        <v>284</v>
      </c>
      <c r="E33" s="25" t="s">
        <v>285</v>
      </c>
      <c r="F33" s="37"/>
    </row>
    <row r="34" spans="1:6" ht="15.75" customHeight="1" x14ac:dyDescent="0.25">
      <c r="A34" s="38">
        <v>2</v>
      </c>
      <c r="B34" s="28">
        <v>10062026</v>
      </c>
      <c r="C34" s="47" t="s">
        <v>25</v>
      </c>
      <c r="D34" s="49" t="s">
        <v>286</v>
      </c>
      <c r="E34" s="25" t="s">
        <v>285</v>
      </c>
      <c r="F34" s="37"/>
    </row>
    <row r="35" spans="1:6" ht="15.75" customHeight="1" x14ac:dyDescent="0.25">
      <c r="A35" s="38">
        <v>3</v>
      </c>
      <c r="B35" s="28">
        <v>10062026</v>
      </c>
      <c r="C35" s="47" t="s">
        <v>25</v>
      </c>
      <c r="D35" s="42" t="s">
        <v>287</v>
      </c>
      <c r="E35" s="25" t="s">
        <v>288</v>
      </c>
      <c r="F35" s="37"/>
    </row>
    <row r="36" spans="1:6" ht="15.75" customHeight="1" x14ac:dyDescent="0.25">
      <c r="A36" s="38"/>
      <c r="B36" s="28"/>
      <c r="C36" s="42"/>
      <c r="D36" s="43"/>
      <c r="E36" s="9"/>
      <c r="F36" s="37"/>
    </row>
    <row r="37" spans="1:6" ht="15.75" customHeight="1" x14ac:dyDescent="0.25">
      <c r="A37" s="38"/>
      <c r="B37" s="28"/>
      <c r="C37" s="42"/>
      <c r="D37" s="43"/>
      <c r="E37" s="9"/>
      <c r="F37" s="37"/>
    </row>
    <row r="38" spans="1:6" ht="15.75" customHeight="1" x14ac:dyDescent="0.25">
      <c r="A38" s="38"/>
      <c r="B38" s="28"/>
      <c r="C38" s="42"/>
      <c r="D38" s="42"/>
      <c r="E38" s="9"/>
      <c r="F38" s="37"/>
    </row>
    <row r="39" spans="1:6" ht="15.75" customHeight="1" x14ac:dyDescent="0.25">
      <c r="A39" s="38"/>
      <c r="B39" s="28"/>
      <c r="C39" s="42"/>
      <c r="D39" s="42"/>
      <c r="E39" s="9"/>
      <c r="F39" s="37"/>
    </row>
    <row r="40" spans="1:6" ht="15.75" customHeight="1" x14ac:dyDescent="0.25">
      <c r="A40" s="38"/>
      <c r="B40" s="28"/>
      <c r="C40" s="42"/>
      <c r="D40" s="42"/>
      <c r="E40" s="9"/>
      <c r="F40" s="37"/>
    </row>
    <row r="41" spans="1:6" ht="15.75" customHeight="1" x14ac:dyDescent="0.25">
      <c r="A41" s="38"/>
      <c r="B41" s="28"/>
      <c r="C41" s="42"/>
      <c r="D41" s="42"/>
      <c r="E41" s="9"/>
      <c r="F41" s="37"/>
    </row>
    <row r="42" spans="1:6" x14ac:dyDescent="0.25">
      <c r="A42" s="38"/>
      <c r="B42" s="28"/>
      <c r="C42" s="42"/>
      <c r="D42" s="42"/>
      <c r="E42" s="9"/>
      <c r="F42" s="37"/>
    </row>
    <row r="43" spans="1:6" x14ac:dyDescent="0.25">
      <c r="A43" s="38"/>
      <c r="B43" s="28"/>
      <c r="C43" s="42"/>
      <c r="D43" s="42"/>
      <c r="E43" s="9"/>
      <c r="F43" s="37"/>
    </row>
    <row r="44" spans="1:6" x14ac:dyDescent="0.25">
      <c r="A44" s="38"/>
      <c r="B44" s="28"/>
      <c r="C44" s="42"/>
      <c r="D44" s="42"/>
      <c r="E44" s="9"/>
      <c r="F44" s="37"/>
    </row>
  </sheetData>
  <mergeCells count="1">
    <mergeCell ref="A3:H3"/>
  </mergeCells>
  <phoneticPr fontId="16" type="noConversion"/>
  <conditionalFormatting sqref="G8">
    <cfRule type="expression" dxfId="11" priority="1">
      <formula>LEFT(CELL("format",C8))</formula>
    </cfRule>
  </conditionalFormatting>
  <dataValidations count="1">
    <dataValidation type="list" allowBlank="1" showInputMessage="1" showErrorMessage="1" sqref="F8:F15" xr:uid="{43E827A9-D68E-4704-9223-5D5BAC8F8A46}">
      <formula1>"20,40,45,50"</formula1>
    </dataValidation>
  </dataValidations>
  <pageMargins left="0.31496062992125984" right="0.31496062992125984" top="0.35433070866141736" bottom="0.35433070866141736" header="0.31496062992125984" footer="0.31496062992125984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A270-1C21-4816-A7AE-5C35DF62D3B5}">
  <dimension ref="A1:J45"/>
  <sheetViews>
    <sheetView topLeftCell="A2" workbookViewId="0">
      <selection activeCell="G6" sqref="G6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91">
        <f>COUNTIF(C8:C12,"&lt;&gt;")</f>
        <v>3</v>
      </c>
      <c r="I1" s="90" t="s">
        <v>386</v>
      </c>
    </row>
    <row r="2" spans="1:10" s="1" customFormat="1" ht="24.95" customHeight="1" x14ac:dyDescent="0.25">
      <c r="A2" s="3"/>
      <c r="F2" s="91">
        <f>COUNTIFS(B16:B28,"&lt;&gt;",C16:C28,"VH")</f>
        <v>0</v>
      </c>
      <c r="G2" s="90" t="s">
        <v>25</v>
      </c>
      <c r="H2" s="91">
        <f>COUNTA(C16:C29)-F2</f>
        <v>13</v>
      </c>
      <c r="I2" s="90" t="s">
        <v>386</v>
      </c>
      <c r="J2" s="101">
        <f>COUNTIF(E19:E27,"VIDE")</f>
        <v>0</v>
      </c>
    </row>
    <row r="3" spans="1:10" s="1" customFormat="1" ht="24.95" customHeight="1" x14ac:dyDescent="0.25">
      <c r="A3" s="129" t="s">
        <v>10</v>
      </c>
      <c r="B3" s="129"/>
      <c r="C3" s="129"/>
      <c r="D3" s="129"/>
      <c r="E3" s="129"/>
      <c r="F3" s="129"/>
      <c r="G3" s="129"/>
      <c r="H3" s="129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  <c r="B5" s="24" t="s">
        <v>3</v>
      </c>
      <c r="F5" s="1" t="s">
        <v>158</v>
      </c>
      <c r="G5" s="26">
        <v>44725</v>
      </c>
    </row>
    <row r="6" spans="1:10" s="1" customFormat="1" thickBot="1" x14ac:dyDescent="0.3">
      <c r="A6" s="3"/>
      <c r="B6" s="2"/>
    </row>
    <row r="7" spans="1:10" s="1" customFormat="1" ht="15.75" customHeight="1" thickBot="1" x14ac:dyDescent="0.3">
      <c r="A7" s="13" t="s">
        <v>2</v>
      </c>
      <c r="B7" s="14" t="s">
        <v>8</v>
      </c>
      <c r="C7" s="14" t="s">
        <v>12</v>
      </c>
      <c r="D7" s="14" t="s">
        <v>0</v>
      </c>
      <c r="E7" s="14" t="s">
        <v>1</v>
      </c>
      <c r="F7" s="16" t="s">
        <v>9</v>
      </c>
    </row>
    <row r="8" spans="1:10" s="1" customFormat="1" ht="15.75" customHeight="1" x14ac:dyDescent="0.25">
      <c r="A8" s="19">
        <v>1</v>
      </c>
      <c r="B8" s="76" t="s">
        <v>398</v>
      </c>
      <c r="C8" s="79">
        <v>46187</v>
      </c>
      <c r="D8" s="76" t="s">
        <v>391</v>
      </c>
      <c r="E8" s="77" t="s">
        <v>394</v>
      </c>
      <c r="F8" s="58">
        <v>40</v>
      </c>
    </row>
    <row r="9" spans="1:10" s="1" customFormat="1" ht="15.75" customHeight="1" x14ac:dyDescent="0.25">
      <c r="A9" s="17">
        <v>2</v>
      </c>
      <c r="B9" s="139" t="s">
        <v>397</v>
      </c>
      <c r="C9" s="41">
        <v>46187</v>
      </c>
      <c r="D9" s="74" t="s">
        <v>392</v>
      </c>
      <c r="E9" s="74" t="s">
        <v>395</v>
      </c>
      <c r="F9" s="59">
        <v>40</v>
      </c>
    </row>
    <row r="10" spans="1:10" ht="15.75" x14ac:dyDescent="0.25">
      <c r="A10" s="17">
        <v>3</v>
      </c>
      <c r="B10" s="141"/>
      <c r="C10" s="41">
        <v>46187</v>
      </c>
      <c r="D10" s="42" t="s">
        <v>393</v>
      </c>
      <c r="E10" s="42" t="s">
        <v>396</v>
      </c>
      <c r="F10" s="59">
        <v>40</v>
      </c>
      <c r="G10" s="5"/>
    </row>
    <row r="11" spans="1:10" ht="16.5" thickBot="1" x14ac:dyDescent="0.3">
      <c r="A11" s="21"/>
      <c r="B11" s="80"/>
      <c r="C11" s="99"/>
      <c r="D11" s="60"/>
      <c r="E11" s="60"/>
      <c r="F11" s="61"/>
      <c r="G11" s="5"/>
    </row>
    <row r="12" spans="1:10" ht="15.75" x14ac:dyDescent="0.25">
      <c r="A12" s="3"/>
      <c r="B12" s="5"/>
      <c r="C12" s="1"/>
      <c r="D12" s="65"/>
      <c r="E12" s="65"/>
      <c r="F12" s="65"/>
      <c r="G12" s="5"/>
    </row>
    <row r="13" spans="1:10" ht="15.75" x14ac:dyDescent="0.25">
      <c r="A13" s="3"/>
      <c r="B13" s="24" t="s">
        <v>4</v>
      </c>
      <c r="G13" s="5"/>
    </row>
    <row r="14" spans="1:10" ht="15.75" thickBot="1" x14ac:dyDescent="0.3">
      <c r="A14" s="3"/>
      <c r="B14" s="2"/>
      <c r="C14" s="1"/>
      <c r="D14" s="1"/>
      <c r="E14" s="1"/>
      <c r="F14" s="1"/>
      <c r="G14" s="1"/>
    </row>
    <row r="15" spans="1:10" ht="15.75" thickBot="1" x14ac:dyDescent="0.3">
      <c r="A15" s="13" t="s">
        <v>2</v>
      </c>
      <c r="B15" s="14" t="s">
        <v>11</v>
      </c>
      <c r="C15" s="14" t="s">
        <v>6</v>
      </c>
      <c r="D15" s="14" t="s">
        <v>0</v>
      </c>
      <c r="E15" s="14" t="s">
        <v>1</v>
      </c>
      <c r="F15" s="16" t="s">
        <v>9</v>
      </c>
    </row>
    <row r="16" spans="1:10" ht="15.75" customHeight="1" x14ac:dyDescent="0.25">
      <c r="A16" s="19">
        <v>1</v>
      </c>
      <c r="B16" s="28">
        <v>14062026</v>
      </c>
      <c r="C16" s="10" t="s">
        <v>301</v>
      </c>
      <c r="D16" s="25" t="s">
        <v>51</v>
      </c>
      <c r="E16" s="25">
        <v>3812</v>
      </c>
      <c r="F16" s="20">
        <v>40</v>
      </c>
    </row>
    <row r="17" spans="1:7" ht="15.75" customHeight="1" x14ac:dyDescent="0.25">
      <c r="A17" s="17">
        <v>2</v>
      </c>
      <c r="B17" s="28">
        <v>14062026</v>
      </c>
      <c r="C17" s="9" t="s">
        <v>300</v>
      </c>
      <c r="D17" s="25" t="s">
        <v>52</v>
      </c>
      <c r="E17" s="25">
        <v>3813</v>
      </c>
      <c r="F17" s="18">
        <v>40</v>
      </c>
    </row>
    <row r="18" spans="1:7" ht="15.75" customHeight="1" x14ac:dyDescent="0.25">
      <c r="A18" s="17">
        <v>3</v>
      </c>
      <c r="B18" s="28">
        <v>14062026</v>
      </c>
      <c r="C18" s="9" t="s">
        <v>298</v>
      </c>
      <c r="D18" s="9" t="s">
        <v>54</v>
      </c>
      <c r="E18" s="9">
        <v>3816</v>
      </c>
      <c r="F18" s="18">
        <v>40</v>
      </c>
    </row>
    <row r="19" spans="1:7" ht="15.75" customHeight="1" x14ac:dyDescent="0.25">
      <c r="A19" s="17">
        <v>4</v>
      </c>
      <c r="B19" s="28">
        <v>14062026</v>
      </c>
      <c r="C19" s="9" t="s">
        <v>299</v>
      </c>
      <c r="D19" s="9" t="s">
        <v>56</v>
      </c>
      <c r="E19" s="9">
        <v>3819</v>
      </c>
      <c r="F19" s="18">
        <v>45</v>
      </c>
    </row>
    <row r="20" spans="1:7" ht="15.75" customHeight="1" x14ac:dyDescent="0.25">
      <c r="A20" s="17">
        <v>5</v>
      </c>
      <c r="B20" s="28">
        <v>14062026</v>
      </c>
      <c r="C20" s="73" t="s">
        <v>303</v>
      </c>
      <c r="D20" s="42" t="s">
        <v>274</v>
      </c>
      <c r="E20" s="9">
        <v>3799</v>
      </c>
      <c r="F20" s="18">
        <v>45</v>
      </c>
    </row>
    <row r="21" spans="1:7" ht="15.75" customHeight="1" x14ac:dyDescent="0.25">
      <c r="A21" s="17">
        <v>6</v>
      </c>
      <c r="B21" s="28">
        <v>14062026</v>
      </c>
      <c r="C21" s="9" t="s">
        <v>308</v>
      </c>
      <c r="D21" s="9" t="s">
        <v>323</v>
      </c>
      <c r="E21" s="9" t="s">
        <v>318</v>
      </c>
      <c r="F21" s="18">
        <v>45</v>
      </c>
    </row>
    <row r="22" spans="1:7" ht="15.75" customHeight="1" x14ac:dyDescent="0.25">
      <c r="A22" s="17">
        <v>7</v>
      </c>
      <c r="B22" s="28">
        <v>14062026</v>
      </c>
      <c r="C22" s="9" t="s">
        <v>309</v>
      </c>
      <c r="D22" s="9" t="s">
        <v>324</v>
      </c>
      <c r="E22" s="9" t="s">
        <v>319</v>
      </c>
      <c r="F22" s="18">
        <v>40</v>
      </c>
    </row>
    <row r="23" spans="1:7" ht="15.75" customHeight="1" x14ac:dyDescent="0.25">
      <c r="A23" s="17">
        <v>8</v>
      </c>
      <c r="B23" s="28">
        <v>14062026</v>
      </c>
      <c r="C23" s="9" t="s">
        <v>310</v>
      </c>
      <c r="D23" s="9" t="s">
        <v>325</v>
      </c>
      <c r="E23" s="9" t="s">
        <v>315</v>
      </c>
      <c r="F23" s="18">
        <v>40</v>
      </c>
    </row>
    <row r="24" spans="1:7" ht="15.75" customHeight="1" x14ac:dyDescent="0.25">
      <c r="A24" s="17">
        <v>9</v>
      </c>
      <c r="B24" s="28">
        <v>14062026</v>
      </c>
      <c r="C24" s="9" t="s">
        <v>311</v>
      </c>
      <c r="D24" s="9" t="s">
        <v>326</v>
      </c>
      <c r="E24" s="9" t="s">
        <v>316</v>
      </c>
      <c r="F24" s="18"/>
    </row>
    <row r="25" spans="1:7" ht="15.75" customHeight="1" x14ac:dyDescent="0.25">
      <c r="A25" s="17">
        <v>10</v>
      </c>
      <c r="B25" s="28">
        <v>14062026</v>
      </c>
      <c r="C25" s="9" t="s">
        <v>312</v>
      </c>
      <c r="D25" s="9" t="s">
        <v>327</v>
      </c>
      <c r="E25" s="9" t="s">
        <v>317</v>
      </c>
      <c r="F25" s="18"/>
    </row>
    <row r="26" spans="1:7" ht="15.75" customHeight="1" x14ac:dyDescent="0.25">
      <c r="A26" s="17">
        <v>11</v>
      </c>
      <c r="B26" s="28">
        <v>14062026</v>
      </c>
      <c r="C26" s="9" t="s">
        <v>313</v>
      </c>
      <c r="D26" s="9" t="s">
        <v>328</v>
      </c>
      <c r="E26" s="9" t="s">
        <v>320</v>
      </c>
      <c r="F26" s="18"/>
    </row>
    <row r="27" spans="1:7" ht="15.75" customHeight="1" x14ac:dyDescent="0.25">
      <c r="A27" s="17">
        <v>12</v>
      </c>
      <c r="B27" s="28">
        <v>14062026</v>
      </c>
      <c r="C27" s="9" t="s">
        <v>218</v>
      </c>
      <c r="D27" s="9" t="s">
        <v>329</v>
      </c>
      <c r="E27" s="9" t="s">
        <v>321</v>
      </c>
      <c r="F27" s="18"/>
    </row>
    <row r="28" spans="1:7" ht="15.75" customHeight="1" x14ac:dyDescent="0.25">
      <c r="A28" s="17">
        <v>13</v>
      </c>
      <c r="B28" s="28">
        <v>14062026</v>
      </c>
      <c r="C28" s="9" t="s">
        <v>314</v>
      </c>
      <c r="D28" s="9" t="s">
        <v>330</v>
      </c>
      <c r="E28" s="9" t="s">
        <v>322</v>
      </c>
      <c r="F28" s="18">
        <v>40</v>
      </c>
    </row>
    <row r="29" spans="1:7" ht="15.75" customHeight="1" thickBot="1" x14ac:dyDescent="0.3">
      <c r="A29" s="21"/>
      <c r="B29" s="29"/>
      <c r="C29" s="11"/>
      <c r="D29" s="11"/>
      <c r="E29" s="11"/>
      <c r="F29" s="22"/>
    </row>
    <row r="30" spans="1:7" x14ac:dyDescent="0.25">
      <c r="A30" t="s">
        <v>219</v>
      </c>
    </row>
    <row r="31" spans="1:7" ht="15.75" x14ac:dyDescent="0.25">
      <c r="A31" s="3"/>
      <c r="B31" s="24" t="s">
        <v>66</v>
      </c>
      <c r="C31" s="1"/>
      <c r="E31" s="1"/>
      <c r="F31" s="1"/>
      <c r="G31" s="5"/>
    </row>
    <row r="32" spans="1:7" ht="15.75" thickBot="1" x14ac:dyDescent="0.3">
      <c r="A32" s="3"/>
      <c r="B32" s="2"/>
      <c r="C32" s="1"/>
      <c r="D32" s="1"/>
      <c r="E32" s="1"/>
      <c r="F32" s="1"/>
      <c r="G32" s="1"/>
    </row>
    <row r="33" spans="1:6" x14ac:dyDescent="0.25">
      <c r="A33" s="13" t="s">
        <v>2</v>
      </c>
      <c r="B33" s="14" t="s">
        <v>532</v>
      </c>
      <c r="C33" s="14" t="s">
        <v>0</v>
      </c>
      <c r="D33" s="14" t="s">
        <v>14</v>
      </c>
      <c r="E33" s="14" t="s">
        <v>15</v>
      </c>
      <c r="F33" s="16" t="s">
        <v>9</v>
      </c>
    </row>
    <row r="34" spans="1:6" ht="15.75" customHeight="1" x14ac:dyDescent="0.25">
      <c r="A34" s="38">
        <v>1</v>
      </c>
      <c r="B34" s="28">
        <v>14062026</v>
      </c>
      <c r="C34" s="47" t="s">
        <v>25</v>
      </c>
      <c r="D34" s="49" t="s">
        <v>295</v>
      </c>
      <c r="E34" s="25" t="s">
        <v>294</v>
      </c>
      <c r="F34" s="37"/>
    </row>
    <row r="35" spans="1:6" ht="15.75" customHeight="1" x14ac:dyDescent="0.25">
      <c r="A35" s="38">
        <v>2</v>
      </c>
      <c r="B35" s="28">
        <v>14062026</v>
      </c>
      <c r="C35" s="47" t="s">
        <v>296</v>
      </c>
      <c r="D35" s="49" t="s">
        <v>297</v>
      </c>
      <c r="E35" s="25">
        <v>3879</v>
      </c>
      <c r="F35" s="37"/>
    </row>
    <row r="36" spans="1:6" ht="15.75" customHeight="1" x14ac:dyDescent="0.25">
      <c r="A36" s="38">
        <v>3</v>
      </c>
      <c r="B36" s="28">
        <v>14062026</v>
      </c>
      <c r="C36" s="42" t="s">
        <v>165</v>
      </c>
      <c r="D36" s="43" t="s">
        <v>166</v>
      </c>
      <c r="E36" s="25">
        <v>3875</v>
      </c>
      <c r="F36" s="37"/>
    </row>
    <row r="37" spans="1:6" ht="15.75" customHeight="1" x14ac:dyDescent="0.25">
      <c r="A37" s="38">
        <v>4</v>
      </c>
      <c r="B37" s="28">
        <v>14062026</v>
      </c>
      <c r="C37" s="42" t="s">
        <v>461</v>
      </c>
      <c r="D37" s="42" t="s">
        <v>167</v>
      </c>
      <c r="E37" s="9">
        <v>3874</v>
      </c>
      <c r="F37" s="37"/>
    </row>
    <row r="38" spans="1:6" ht="15.75" customHeight="1" x14ac:dyDescent="0.25">
      <c r="A38" s="38">
        <v>5</v>
      </c>
      <c r="B38" s="28">
        <v>14062026</v>
      </c>
      <c r="C38" s="42" t="s">
        <v>168</v>
      </c>
      <c r="D38" s="43" t="s">
        <v>169</v>
      </c>
      <c r="E38" s="9">
        <v>3873</v>
      </c>
      <c r="F38" s="37"/>
    </row>
    <row r="39" spans="1:6" ht="15.75" customHeight="1" x14ac:dyDescent="0.25">
      <c r="A39" s="38">
        <v>6</v>
      </c>
      <c r="B39" s="28">
        <v>14062026</v>
      </c>
      <c r="C39" s="42" t="s">
        <v>170</v>
      </c>
      <c r="D39" s="43" t="s">
        <v>171</v>
      </c>
      <c r="E39" s="9">
        <v>3876</v>
      </c>
      <c r="F39" s="37"/>
    </row>
    <row r="40" spans="1:6" ht="15.75" customHeight="1" x14ac:dyDescent="0.25">
      <c r="A40" s="38">
        <v>7</v>
      </c>
      <c r="B40" s="28">
        <v>14062026</v>
      </c>
      <c r="C40" s="42" t="s">
        <v>172</v>
      </c>
      <c r="D40" s="42" t="s">
        <v>173</v>
      </c>
      <c r="E40" s="9">
        <v>3872</v>
      </c>
      <c r="F40" s="37"/>
    </row>
    <row r="41" spans="1:6" ht="15.75" customHeight="1" x14ac:dyDescent="0.25">
      <c r="A41" s="38">
        <v>8</v>
      </c>
      <c r="B41" s="28">
        <v>14062026</v>
      </c>
      <c r="C41" s="42" t="s">
        <v>174</v>
      </c>
      <c r="D41" s="42" t="s">
        <v>175</v>
      </c>
      <c r="E41" s="9">
        <v>3877</v>
      </c>
      <c r="F41" s="37"/>
    </row>
    <row r="42" spans="1:6" ht="15.75" customHeight="1" x14ac:dyDescent="0.25">
      <c r="A42" s="38">
        <v>9</v>
      </c>
      <c r="B42" s="28">
        <v>14062026</v>
      </c>
      <c r="C42" s="42" t="s">
        <v>176</v>
      </c>
      <c r="D42" s="42" t="s">
        <v>177</v>
      </c>
      <c r="E42" s="9">
        <v>3871</v>
      </c>
      <c r="F42" s="37"/>
    </row>
    <row r="43" spans="1:6" x14ac:dyDescent="0.25">
      <c r="A43" s="38">
        <v>10</v>
      </c>
      <c r="B43" s="28">
        <v>14062026</v>
      </c>
      <c r="C43" s="42" t="s">
        <v>304</v>
      </c>
      <c r="D43" s="42" t="s">
        <v>305</v>
      </c>
      <c r="E43" s="9">
        <v>3878</v>
      </c>
      <c r="F43" s="37"/>
    </row>
    <row r="44" spans="1:6" x14ac:dyDescent="0.25">
      <c r="A44" s="38">
        <v>11</v>
      </c>
      <c r="B44" s="28">
        <v>14062026</v>
      </c>
      <c r="C44" s="42" t="s">
        <v>306</v>
      </c>
      <c r="D44" s="42" t="s">
        <v>307</v>
      </c>
      <c r="E44" s="9">
        <v>3880</v>
      </c>
      <c r="F44" s="37"/>
    </row>
    <row r="45" spans="1:6" x14ac:dyDescent="0.25">
      <c r="A45" s="38">
        <v>12</v>
      </c>
      <c r="B45" s="28">
        <v>14062026</v>
      </c>
      <c r="C45" s="42" t="s">
        <v>131</v>
      </c>
      <c r="D45" s="42" t="s">
        <v>132</v>
      </c>
      <c r="E45" s="9">
        <v>3800</v>
      </c>
      <c r="F45" s="37"/>
    </row>
  </sheetData>
  <mergeCells count="2">
    <mergeCell ref="A3:H3"/>
    <mergeCell ref="B9:B10"/>
  </mergeCells>
  <conditionalFormatting sqref="G8">
    <cfRule type="expression" dxfId="10" priority="1">
      <formula>LEFT(CELL("format",C8))</formula>
    </cfRule>
  </conditionalFormatting>
  <dataValidations count="1">
    <dataValidation type="list" allowBlank="1" showInputMessage="1" showErrorMessage="1" sqref="F8:F12" xr:uid="{C0062AC2-D7A5-43FB-990D-141490C0EA67}">
      <formula1>"20,40,45,50"</formula1>
    </dataValidation>
  </dataValidations>
  <pageMargins left="0.31496062992125984" right="0.31496062992125984" top="0.35433070866141736" bottom="0.35433070866141736" header="0.31496062992125984" footer="0.31496062992125984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F1CD-3711-4806-865B-9223CBB7A919}">
  <dimension ref="A1:J52"/>
  <sheetViews>
    <sheetView topLeftCell="A9" workbookViewId="0">
      <selection activeCell="G6" sqref="G6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91">
        <f>COUNTIF(C8:C10,"&lt;&gt;")</f>
        <v>2</v>
      </c>
      <c r="I1" s="90" t="s">
        <v>386</v>
      </c>
    </row>
    <row r="2" spans="1:10" s="1" customFormat="1" ht="24.95" customHeight="1" x14ac:dyDescent="0.25">
      <c r="A2" s="3"/>
      <c r="F2" s="91">
        <f>COUNTIFS(B16:B44,"&lt;&gt;",C16:C44,"VH")</f>
        <v>8</v>
      </c>
      <c r="G2" s="90" t="s">
        <v>25</v>
      </c>
      <c r="H2" s="91">
        <f>COUNTA(C16:C44)-F2</f>
        <v>21</v>
      </c>
      <c r="I2" s="90" t="s">
        <v>386</v>
      </c>
      <c r="J2" s="101">
        <f>COUNTIF(E16:E44,"VIDE")</f>
        <v>0</v>
      </c>
    </row>
    <row r="3" spans="1:10" s="1" customFormat="1" ht="24.95" customHeight="1" x14ac:dyDescent="0.25">
      <c r="A3" s="129" t="s">
        <v>10</v>
      </c>
      <c r="B3" s="129"/>
      <c r="C3" s="129"/>
      <c r="D3" s="129"/>
      <c r="E3" s="129"/>
      <c r="F3" s="129"/>
      <c r="G3" s="129"/>
      <c r="H3" s="129"/>
    </row>
    <row r="4" spans="1:10" s="1" customFormat="1" ht="24.95" customHeight="1" x14ac:dyDescent="0.25">
      <c r="A4" s="89"/>
      <c r="B4" s="89"/>
      <c r="C4" s="89"/>
      <c r="D4" s="89"/>
      <c r="E4" s="89"/>
      <c r="F4" s="89"/>
      <c r="G4" s="89"/>
      <c r="H4" s="89"/>
    </row>
    <row r="5" spans="1:10" s="1" customFormat="1" ht="24.95" customHeight="1" x14ac:dyDescent="0.25">
      <c r="A5" s="3"/>
      <c r="B5" s="24" t="s">
        <v>3</v>
      </c>
      <c r="F5" s="1" t="s">
        <v>158</v>
      </c>
      <c r="G5" s="26">
        <v>44726</v>
      </c>
    </row>
    <row r="6" spans="1:10" s="1" customFormat="1" thickBot="1" x14ac:dyDescent="0.3">
      <c r="A6" s="3"/>
      <c r="B6" s="2"/>
    </row>
    <row r="7" spans="1:10" s="1" customFormat="1" ht="15.75" customHeight="1" thickBot="1" x14ac:dyDescent="0.3">
      <c r="A7" s="13" t="s">
        <v>2</v>
      </c>
      <c r="B7" s="14" t="s">
        <v>8</v>
      </c>
      <c r="C7" s="14" t="s">
        <v>12</v>
      </c>
      <c r="D7" s="14" t="s">
        <v>0</v>
      </c>
      <c r="E7" s="14" t="s">
        <v>1</v>
      </c>
      <c r="F7" s="16" t="s">
        <v>9</v>
      </c>
    </row>
    <row r="8" spans="1:10" s="1" customFormat="1" ht="15.75" customHeight="1" thickBot="1" x14ac:dyDescent="0.3">
      <c r="A8" s="19"/>
      <c r="B8" s="139" t="s">
        <v>333</v>
      </c>
      <c r="C8" s="27">
        <v>15062026</v>
      </c>
      <c r="D8" s="42" t="s">
        <v>452</v>
      </c>
      <c r="E8" s="43" t="s">
        <v>331</v>
      </c>
      <c r="F8" s="58"/>
    </row>
    <row r="9" spans="1:10" s="1" customFormat="1" ht="15.75" customHeight="1" x14ac:dyDescent="0.25">
      <c r="A9" s="83"/>
      <c r="B9" s="141"/>
      <c r="C9" s="27">
        <v>15062026</v>
      </c>
      <c r="D9" s="42" t="s">
        <v>453</v>
      </c>
      <c r="E9" s="42" t="s">
        <v>332</v>
      </c>
      <c r="F9" s="88"/>
    </row>
    <row r="10" spans="1:10" s="1" customFormat="1" ht="15.75" customHeight="1" x14ac:dyDescent="0.25">
      <c r="A10" s="83"/>
      <c r="B10" s="84"/>
      <c r="C10" s="85"/>
      <c r="D10" s="86"/>
      <c r="E10" s="87"/>
      <c r="F10" s="88"/>
    </row>
    <row r="11" spans="1:10" ht="16.5" thickBot="1" x14ac:dyDescent="0.3">
      <c r="A11" s="21"/>
      <c r="B11" s="80"/>
      <c r="C11" s="81"/>
      <c r="D11" s="60"/>
      <c r="E11" s="60"/>
      <c r="F11" s="61"/>
      <c r="G11" s="5"/>
    </row>
    <row r="12" spans="1:10" ht="15.75" x14ac:dyDescent="0.25">
      <c r="A12" s="3"/>
      <c r="B12" s="5"/>
      <c r="C12" s="1"/>
      <c r="D12" s="65"/>
      <c r="E12" s="65"/>
      <c r="F12" s="65"/>
      <c r="G12" s="5"/>
    </row>
    <row r="13" spans="1:10" ht="15.75" x14ac:dyDescent="0.25">
      <c r="A13" s="3"/>
      <c r="B13" s="24" t="s">
        <v>4</v>
      </c>
      <c r="G13" s="5"/>
    </row>
    <row r="14" spans="1:10" ht="15.75" thickBot="1" x14ac:dyDescent="0.3">
      <c r="A14" s="3"/>
      <c r="B14" s="2"/>
      <c r="C14" s="1"/>
      <c r="D14" s="1"/>
      <c r="E14" s="1"/>
      <c r="F14" s="1"/>
      <c r="G14" s="1"/>
    </row>
    <row r="15" spans="1:10" ht="15.75" thickBot="1" x14ac:dyDescent="0.3">
      <c r="A15" s="13" t="s">
        <v>2</v>
      </c>
      <c r="B15" s="14" t="s">
        <v>11</v>
      </c>
      <c r="C15" s="14" t="s">
        <v>6</v>
      </c>
      <c r="D15" s="14" t="s">
        <v>0</v>
      </c>
      <c r="E15" s="14" t="s">
        <v>1</v>
      </c>
      <c r="F15" s="16" t="s">
        <v>9</v>
      </c>
    </row>
    <row r="16" spans="1:10" ht="15.75" customHeight="1" x14ac:dyDescent="0.25">
      <c r="A16" s="19">
        <v>1</v>
      </c>
      <c r="B16" s="27">
        <v>15062026</v>
      </c>
      <c r="C16" s="10" t="s">
        <v>334</v>
      </c>
      <c r="D16" s="10" t="s">
        <v>339</v>
      </c>
      <c r="E16" s="10">
        <v>3810</v>
      </c>
      <c r="F16" s="20"/>
    </row>
    <row r="17" spans="1:6" ht="15.75" customHeight="1" x14ac:dyDescent="0.25">
      <c r="A17" s="17">
        <v>2</v>
      </c>
      <c r="B17" s="28">
        <v>15062026</v>
      </c>
      <c r="C17" s="9" t="s">
        <v>280</v>
      </c>
      <c r="D17" s="25" t="s">
        <v>340</v>
      </c>
      <c r="E17" s="25">
        <v>3755</v>
      </c>
      <c r="F17" s="18"/>
    </row>
    <row r="18" spans="1:6" ht="15.75" customHeight="1" x14ac:dyDescent="0.25">
      <c r="A18" s="17">
        <v>3</v>
      </c>
      <c r="B18" s="28">
        <v>15062026</v>
      </c>
      <c r="C18" s="9" t="s">
        <v>335</v>
      </c>
      <c r="D18" s="9" t="s">
        <v>342</v>
      </c>
      <c r="E18" s="9">
        <v>3809</v>
      </c>
      <c r="F18" s="18"/>
    </row>
    <row r="19" spans="1:6" ht="15.75" customHeight="1" x14ac:dyDescent="0.25">
      <c r="A19" s="17">
        <v>4</v>
      </c>
      <c r="B19" s="28">
        <v>15062026</v>
      </c>
      <c r="C19" s="9" t="s">
        <v>336</v>
      </c>
      <c r="D19" s="44" t="s">
        <v>341</v>
      </c>
      <c r="E19" s="9">
        <v>3757</v>
      </c>
      <c r="F19" s="18"/>
    </row>
    <row r="20" spans="1:6" ht="15.75" customHeight="1" x14ac:dyDescent="0.25">
      <c r="A20" s="17">
        <v>5</v>
      </c>
      <c r="B20" s="28">
        <v>15062026</v>
      </c>
      <c r="C20" s="73" t="s">
        <v>337</v>
      </c>
      <c r="D20" s="44" t="s">
        <v>213</v>
      </c>
      <c r="E20" s="9">
        <v>3807</v>
      </c>
      <c r="F20" s="18"/>
    </row>
    <row r="21" spans="1:6" ht="15.75" customHeight="1" x14ac:dyDescent="0.25">
      <c r="A21" s="17">
        <v>6</v>
      </c>
      <c r="B21" s="28">
        <v>15062026</v>
      </c>
      <c r="C21" s="9" t="s">
        <v>343</v>
      </c>
      <c r="D21" s="44" t="s">
        <v>345</v>
      </c>
      <c r="E21" s="9">
        <v>3754</v>
      </c>
      <c r="F21" s="18"/>
    </row>
    <row r="22" spans="1:6" ht="15.75" customHeight="1" x14ac:dyDescent="0.25">
      <c r="A22" s="17">
        <v>7</v>
      </c>
      <c r="B22" s="28">
        <v>15062026</v>
      </c>
      <c r="C22" s="9" t="s">
        <v>347</v>
      </c>
      <c r="D22" s="44" t="s">
        <v>346</v>
      </c>
      <c r="E22" s="9">
        <v>3760</v>
      </c>
      <c r="F22" s="18"/>
    </row>
    <row r="23" spans="1:6" ht="15.75" customHeight="1" x14ac:dyDescent="0.25">
      <c r="A23" s="17">
        <v>8</v>
      </c>
      <c r="B23" s="28">
        <v>15062026</v>
      </c>
      <c r="C23" s="9" t="s">
        <v>348</v>
      </c>
      <c r="D23" s="44" t="s">
        <v>350</v>
      </c>
      <c r="E23" s="9">
        <v>3834</v>
      </c>
      <c r="F23" s="18"/>
    </row>
    <row r="24" spans="1:6" ht="15.75" customHeight="1" x14ac:dyDescent="0.25">
      <c r="A24" s="17">
        <v>9</v>
      </c>
      <c r="B24" s="28">
        <v>15062026</v>
      </c>
      <c r="C24" s="9" t="s">
        <v>349</v>
      </c>
      <c r="D24" s="44" t="s">
        <v>351</v>
      </c>
      <c r="E24" s="9">
        <v>3804</v>
      </c>
      <c r="F24" s="18"/>
    </row>
    <row r="25" spans="1:6" ht="15.75" customHeight="1" x14ac:dyDescent="0.25">
      <c r="A25" s="17">
        <v>10</v>
      </c>
      <c r="B25" s="28">
        <v>15062026</v>
      </c>
      <c r="C25" s="9" t="s">
        <v>354</v>
      </c>
      <c r="D25" s="44" t="s">
        <v>352</v>
      </c>
      <c r="E25" s="9">
        <v>3803</v>
      </c>
      <c r="F25" s="18"/>
    </row>
    <row r="26" spans="1:6" ht="15.75" customHeight="1" x14ac:dyDescent="0.25">
      <c r="A26" s="17">
        <v>11</v>
      </c>
      <c r="B26" s="28">
        <v>15062026</v>
      </c>
      <c r="C26" s="9" t="s">
        <v>355</v>
      </c>
      <c r="D26" s="44" t="s">
        <v>353</v>
      </c>
      <c r="E26" s="9">
        <v>3759</v>
      </c>
      <c r="F26" s="18"/>
    </row>
    <row r="27" spans="1:6" ht="15.75" customHeight="1" x14ac:dyDescent="0.25">
      <c r="A27" s="17">
        <v>12</v>
      </c>
      <c r="B27" s="28">
        <v>15062026</v>
      </c>
      <c r="C27" s="9" t="s">
        <v>293</v>
      </c>
      <c r="D27" s="9" t="s">
        <v>296</v>
      </c>
      <c r="E27" s="9">
        <v>3879</v>
      </c>
      <c r="F27" s="18"/>
    </row>
    <row r="28" spans="1:6" ht="15.75" customHeight="1" x14ac:dyDescent="0.25">
      <c r="A28" s="17">
        <v>13</v>
      </c>
      <c r="B28" s="28">
        <v>15062026</v>
      </c>
      <c r="C28" s="9" t="s">
        <v>357</v>
      </c>
      <c r="D28" s="42" t="s">
        <v>74</v>
      </c>
      <c r="E28" s="9">
        <v>3791</v>
      </c>
      <c r="F28" s="18"/>
    </row>
    <row r="29" spans="1:6" ht="15.75" customHeight="1" x14ac:dyDescent="0.25">
      <c r="A29" s="17">
        <v>14</v>
      </c>
      <c r="B29" s="28">
        <v>15062026</v>
      </c>
      <c r="C29" s="9" t="s">
        <v>359</v>
      </c>
      <c r="D29" s="42" t="s">
        <v>76</v>
      </c>
      <c r="E29" s="9">
        <v>3792</v>
      </c>
      <c r="F29" s="18"/>
    </row>
    <row r="30" spans="1:6" ht="15.75" customHeight="1" x14ac:dyDescent="0.25">
      <c r="A30" s="17">
        <v>15</v>
      </c>
      <c r="B30" s="28">
        <v>15062026</v>
      </c>
      <c r="C30" s="9" t="s">
        <v>361</v>
      </c>
      <c r="D30" s="42" t="s">
        <v>78</v>
      </c>
      <c r="E30" s="9">
        <v>3793</v>
      </c>
      <c r="F30" s="18"/>
    </row>
    <row r="31" spans="1:6" ht="15.75" customHeight="1" x14ac:dyDescent="0.25">
      <c r="A31" s="17">
        <v>16</v>
      </c>
      <c r="B31" s="28">
        <v>15062026</v>
      </c>
      <c r="C31" s="9" t="s">
        <v>362</v>
      </c>
      <c r="D31" s="42" t="s">
        <v>80</v>
      </c>
      <c r="E31" s="9">
        <v>3794</v>
      </c>
      <c r="F31" s="18"/>
    </row>
    <row r="32" spans="1:6" ht="15.75" customHeight="1" x14ac:dyDescent="0.25">
      <c r="A32" s="17">
        <v>17</v>
      </c>
      <c r="B32" s="28">
        <v>15062026</v>
      </c>
      <c r="C32" s="9" t="s">
        <v>358</v>
      </c>
      <c r="D32" s="42" t="s">
        <v>82</v>
      </c>
      <c r="E32" s="9">
        <v>3795</v>
      </c>
      <c r="F32" s="18"/>
    </row>
    <row r="33" spans="1:7" ht="15.75" customHeight="1" x14ac:dyDescent="0.25">
      <c r="A33" s="17">
        <v>18</v>
      </c>
      <c r="B33" s="28">
        <v>15062026</v>
      </c>
      <c r="C33" s="9" t="s">
        <v>344</v>
      </c>
      <c r="D33" s="42" t="s">
        <v>84</v>
      </c>
      <c r="E33" s="9">
        <v>3796</v>
      </c>
      <c r="F33" s="18"/>
    </row>
    <row r="34" spans="1:7" ht="15.75" customHeight="1" x14ac:dyDescent="0.25">
      <c r="A34" s="17">
        <v>19</v>
      </c>
      <c r="B34" s="28">
        <v>15062026</v>
      </c>
      <c r="C34" s="9" t="s">
        <v>360</v>
      </c>
      <c r="D34" s="42" t="s">
        <v>86</v>
      </c>
      <c r="E34" s="9">
        <v>3797</v>
      </c>
      <c r="F34" s="18"/>
    </row>
    <row r="35" spans="1:7" ht="15.75" customHeight="1" x14ac:dyDescent="0.25">
      <c r="A35" s="17">
        <v>20</v>
      </c>
      <c r="B35" s="28">
        <v>15062026</v>
      </c>
      <c r="C35" s="9" t="s">
        <v>356</v>
      </c>
      <c r="D35" s="42" t="s">
        <v>88</v>
      </c>
      <c r="E35" s="9">
        <v>3798</v>
      </c>
      <c r="F35" s="18"/>
    </row>
    <row r="36" spans="1:7" ht="15.75" customHeight="1" x14ac:dyDescent="0.25">
      <c r="A36" s="17">
        <v>21</v>
      </c>
      <c r="B36" s="28">
        <v>15062026</v>
      </c>
      <c r="C36" s="9" t="s">
        <v>363</v>
      </c>
      <c r="D36" s="9" t="s">
        <v>134</v>
      </c>
      <c r="E36" s="9" t="s">
        <v>364</v>
      </c>
      <c r="F36" s="18"/>
    </row>
    <row r="37" spans="1:7" ht="15.75" customHeight="1" x14ac:dyDescent="0.25">
      <c r="A37" s="17">
        <v>22</v>
      </c>
      <c r="B37" s="28">
        <v>15062026</v>
      </c>
      <c r="C37" s="9" t="s">
        <v>25</v>
      </c>
      <c r="D37" s="9" t="s">
        <v>365</v>
      </c>
      <c r="E37" s="9" t="s">
        <v>589</v>
      </c>
      <c r="F37" s="18"/>
    </row>
    <row r="38" spans="1:7" ht="15.75" customHeight="1" x14ac:dyDescent="0.25">
      <c r="A38" s="17">
        <v>23</v>
      </c>
      <c r="B38" s="28">
        <v>15062026</v>
      </c>
      <c r="C38" s="9" t="s">
        <v>25</v>
      </c>
      <c r="D38" s="9" t="s">
        <v>366</v>
      </c>
      <c r="E38" s="9" t="s">
        <v>589</v>
      </c>
      <c r="F38" s="18"/>
    </row>
    <row r="39" spans="1:7" ht="15.75" customHeight="1" x14ac:dyDescent="0.25">
      <c r="A39" s="17">
        <v>24</v>
      </c>
      <c r="B39" s="28">
        <v>15062026</v>
      </c>
      <c r="C39" s="9" t="s">
        <v>25</v>
      </c>
      <c r="D39" s="9" t="s">
        <v>367</v>
      </c>
      <c r="E39" s="9" t="s">
        <v>589</v>
      </c>
      <c r="F39" s="18"/>
    </row>
    <row r="40" spans="1:7" ht="15.75" customHeight="1" x14ac:dyDescent="0.25">
      <c r="A40" s="17">
        <v>25</v>
      </c>
      <c r="B40" s="28">
        <v>15062026</v>
      </c>
      <c r="C40" s="9" t="s">
        <v>25</v>
      </c>
      <c r="D40" s="9" t="s">
        <v>368</v>
      </c>
      <c r="E40" s="9" t="s">
        <v>589</v>
      </c>
      <c r="F40" s="18"/>
    </row>
    <row r="41" spans="1:7" ht="15.75" customHeight="1" x14ac:dyDescent="0.25">
      <c r="A41" s="17">
        <v>26</v>
      </c>
      <c r="B41" s="28">
        <v>15062026</v>
      </c>
      <c r="C41" s="9" t="s">
        <v>25</v>
      </c>
      <c r="D41" s="9" t="s">
        <v>369</v>
      </c>
      <c r="E41" s="9" t="s">
        <v>589</v>
      </c>
      <c r="F41" s="18"/>
    </row>
    <row r="42" spans="1:7" ht="15.75" customHeight="1" x14ac:dyDescent="0.25">
      <c r="A42" s="17">
        <v>27</v>
      </c>
      <c r="B42" s="28">
        <v>15062026</v>
      </c>
      <c r="C42" s="9" t="s">
        <v>25</v>
      </c>
      <c r="D42" s="9" t="s">
        <v>370</v>
      </c>
      <c r="E42" s="9" t="s">
        <v>589</v>
      </c>
      <c r="F42" s="18"/>
    </row>
    <row r="43" spans="1:7" ht="15.75" customHeight="1" x14ac:dyDescent="0.25">
      <c r="A43" s="17">
        <v>28</v>
      </c>
      <c r="B43" s="28">
        <v>15062026</v>
      </c>
      <c r="C43" s="9" t="s">
        <v>25</v>
      </c>
      <c r="D43" s="9" t="s">
        <v>371</v>
      </c>
      <c r="E43" s="9" t="s">
        <v>589</v>
      </c>
      <c r="F43" s="18"/>
    </row>
    <row r="44" spans="1:7" ht="15.75" customHeight="1" thickBot="1" x14ac:dyDescent="0.3">
      <c r="A44" s="21">
        <v>29</v>
      </c>
      <c r="B44" s="29">
        <v>15062026</v>
      </c>
      <c r="C44" s="11" t="s">
        <v>25</v>
      </c>
      <c r="D44" s="11" t="s">
        <v>372</v>
      </c>
      <c r="E44" s="11" t="s">
        <v>589</v>
      </c>
      <c r="F44" s="22"/>
    </row>
    <row r="45" spans="1:7" x14ac:dyDescent="0.25">
      <c r="A45" t="s">
        <v>219</v>
      </c>
    </row>
    <row r="46" spans="1:7" ht="15.75" x14ac:dyDescent="0.25">
      <c r="A46" s="3"/>
      <c r="B46" s="24" t="s">
        <v>66</v>
      </c>
      <c r="C46" s="1"/>
      <c r="E46" s="1"/>
      <c r="F46" s="1"/>
      <c r="G46" s="5"/>
    </row>
    <row r="47" spans="1:7" ht="15.75" thickBot="1" x14ac:dyDescent="0.3">
      <c r="A47" s="3"/>
      <c r="B47" s="2"/>
      <c r="C47" s="1"/>
      <c r="D47" s="1"/>
      <c r="E47" s="1"/>
      <c r="F47" s="1"/>
      <c r="G47" s="1"/>
    </row>
    <row r="48" spans="1:7" x14ac:dyDescent="0.25">
      <c r="A48" s="13" t="s">
        <v>2</v>
      </c>
      <c r="B48" s="14" t="s">
        <v>532</v>
      </c>
      <c r="C48" s="14" t="s">
        <v>0</v>
      </c>
      <c r="D48" s="14" t="s">
        <v>14</v>
      </c>
      <c r="E48" s="14" t="s">
        <v>15</v>
      </c>
      <c r="F48" s="16" t="s">
        <v>9</v>
      </c>
    </row>
    <row r="49" spans="1:6" ht="15.75" customHeight="1" x14ac:dyDescent="0.25">
      <c r="A49" s="38">
        <v>1</v>
      </c>
      <c r="B49" s="28">
        <v>15062026</v>
      </c>
      <c r="C49" s="47" t="s">
        <v>140</v>
      </c>
      <c r="D49" s="49" t="s">
        <v>141</v>
      </c>
      <c r="E49" s="25">
        <v>3861</v>
      </c>
      <c r="F49" s="37"/>
    </row>
    <row r="50" spans="1:6" ht="15.75" customHeight="1" x14ac:dyDescent="0.25">
      <c r="A50" s="38">
        <v>2</v>
      </c>
      <c r="B50" s="28">
        <v>15062026</v>
      </c>
      <c r="C50" s="47" t="s">
        <v>338</v>
      </c>
      <c r="D50" s="49">
        <v>11101</v>
      </c>
      <c r="E50" s="25">
        <v>3862</v>
      </c>
      <c r="F50" s="37"/>
    </row>
    <row r="51" spans="1:6" ht="15.75" customHeight="1" x14ac:dyDescent="0.25">
      <c r="A51" s="38"/>
      <c r="B51" s="28"/>
      <c r="C51" s="42"/>
      <c r="D51" s="43"/>
      <c r="E51" s="25"/>
      <c r="F51" s="37"/>
    </row>
    <row r="52" spans="1:6" x14ac:dyDescent="0.25">
      <c r="A52" s="38"/>
      <c r="B52" s="28"/>
      <c r="C52" s="42"/>
      <c r="D52" s="42"/>
      <c r="E52" s="9"/>
      <c r="F52" s="37"/>
    </row>
  </sheetData>
  <mergeCells count="2">
    <mergeCell ref="A3:H3"/>
    <mergeCell ref="B8:B9"/>
  </mergeCells>
  <conditionalFormatting sqref="G8:G10">
    <cfRule type="expression" dxfId="9" priority="1">
      <formula>LEFT(CELL("format",C8))</formula>
    </cfRule>
  </conditionalFormatting>
  <dataValidations count="1">
    <dataValidation type="list" allowBlank="1" showInputMessage="1" showErrorMessage="1" sqref="F8:F12" xr:uid="{16A7A0C3-7DF1-4017-BD3F-E2FE89E6F2B8}">
      <formula1>"20,40,45,50"</formula1>
    </dataValidation>
  </dataValidations>
  <pageMargins left="0.11811023622047245" right="0.31496062992125984" top="0.15748031496062992" bottom="0.15748031496062992" header="0.31496062992125984" footer="0.31496062992125984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8823-50E6-4443-88B4-FC733589AEE1}">
  <dimension ref="A1:J45"/>
  <sheetViews>
    <sheetView topLeftCell="A6" workbookViewId="0">
      <selection activeCell="G6" sqref="G6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  <col min="8" max="8" width="14.140625" bestFit="1" customWidth="1"/>
  </cols>
  <sheetData>
    <row r="1" spans="1:10" s="1" customFormat="1" ht="24.95" customHeight="1" x14ac:dyDescent="0.25">
      <c r="A1" s="3"/>
      <c r="H1" s="91">
        <f>COUNTIF(C9:C11,"&lt;&gt;")</f>
        <v>0</v>
      </c>
      <c r="I1" s="90" t="s">
        <v>386</v>
      </c>
    </row>
    <row r="2" spans="1:10" s="1" customFormat="1" ht="24.75" customHeight="1" x14ac:dyDescent="0.25">
      <c r="A2" s="3"/>
      <c r="F2" s="91">
        <f>COUNTIFS(B17:B35,"&lt;&gt;",C17:C35,"VH")</f>
        <v>0</v>
      </c>
      <c r="G2" s="90" t="s">
        <v>25</v>
      </c>
      <c r="H2" s="91">
        <f>COUNTA(C17:C35)-F2</f>
        <v>12</v>
      </c>
      <c r="I2" s="90" t="s">
        <v>386</v>
      </c>
      <c r="J2" s="101">
        <f>COUNTIF(E17:E32,"VIDE")</f>
        <v>0</v>
      </c>
    </row>
    <row r="3" spans="1:10" s="1" customFormat="1" ht="24.95" customHeight="1" x14ac:dyDescent="0.25">
      <c r="A3" s="3"/>
    </row>
    <row r="4" spans="1:10" s="1" customFormat="1" ht="24.95" customHeight="1" x14ac:dyDescent="0.25">
      <c r="A4" s="129" t="s">
        <v>10</v>
      </c>
      <c r="B4" s="129"/>
      <c r="C4" s="129"/>
      <c r="D4" s="129"/>
      <c r="E4" s="129"/>
      <c r="F4" s="129"/>
      <c r="G4" s="129"/>
      <c r="H4" s="129"/>
    </row>
    <row r="5" spans="1:10" s="1" customFormat="1" ht="24.95" customHeight="1" x14ac:dyDescent="0.25">
      <c r="A5" s="89"/>
      <c r="B5" s="89"/>
      <c r="C5" s="89"/>
      <c r="D5" s="89"/>
      <c r="E5" s="89"/>
      <c r="F5" s="89"/>
      <c r="G5" s="89"/>
      <c r="H5" s="89"/>
    </row>
    <row r="6" spans="1:10" s="1" customFormat="1" ht="24.95" customHeight="1" x14ac:dyDescent="0.25">
      <c r="A6" s="3"/>
      <c r="B6" s="24" t="s">
        <v>3</v>
      </c>
      <c r="F6" s="1" t="s">
        <v>158</v>
      </c>
      <c r="G6" s="26">
        <v>44728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13" t="s">
        <v>2</v>
      </c>
      <c r="B8" s="14" t="s">
        <v>8</v>
      </c>
      <c r="C8" s="14" t="s">
        <v>12</v>
      </c>
      <c r="D8" s="14" t="s">
        <v>0</v>
      </c>
      <c r="E8" s="14" t="s">
        <v>1</v>
      </c>
      <c r="F8" s="16" t="s">
        <v>9</v>
      </c>
    </row>
    <row r="9" spans="1:10" s="1" customFormat="1" ht="15.75" customHeight="1" x14ac:dyDescent="0.25">
      <c r="A9" s="19"/>
      <c r="B9" s="98"/>
      <c r="C9" s="27"/>
      <c r="D9" s="56"/>
      <c r="E9" s="57"/>
      <c r="F9" s="58"/>
    </row>
    <row r="10" spans="1:10" s="1" customFormat="1" ht="15.75" customHeight="1" x14ac:dyDescent="0.25">
      <c r="A10" s="17"/>
      <c r="B10" s="78"/>
      <c r="C10" s="28"/>
      <c r="D10" s="42"/>
      <c r="E10" s="42"/>
      <c r="F10" s="59"/>
    </row>
    <row r="11" spans="1:10" s="1" customFormat="1" ht="15.75" customHeight="1" x14ac:dyDescent="0.25">
      <c r="A11" s="17"/>
      <c r="B11" s="96"/>
      <c r="C11" s="41"/>
      <c r="D11" s="96"/>
      <c r="E11" s="97"/>
      <c r="F11" s="59"/>
    </row>
    <row r="12" spans="1:10" ht="16.5" thickBot="1" x14ac:dyDescent="0.3">
      <c r="A12" s="21"/>
      <c r="B12" s="80"/>
      <c r="C12" s="81"/>
      <c r="D12" s="60"/>
      <c r="E12" s="60"/>
      <c r="F12" s="61"/>
      <c r="G12" s="5"/>
    </row>
    <row r="13" spans="1:10" ht="15.75" x14ac:dyDescent="0.25">
      <c r="A13" s="3"/>
      <c r="B13" s="5"/>
      <c r="C13" s="1"/>
      <c r="D13" s="65"/>
      <c r="E13" s="65"/>
      <c r="F13" s="65"/>
      <c r="G13" s="5"/>
    </row>
    <row r="14" spans="1:10" ht="15.75" x14ac:dyDescent="0.25">
      <c r="A14" s="3"/>
      <c r="B14" s="24" t="s">
        <v>4</v>
      </c>
      <c r="G14" s="5"/>
    </row>
    <row r="15" spans="1:10" ht="15.75" thickBot="1" x14ac:dyDescent="0.3">
      <c r="A15" s="3"/>
      <c r="B15" s="2"/>
      <c r="C15" s="1"/>
      <c r="D15" s="1"/>
      <c r="E15" s="1"/>
      <c r="F15" s="1"/>
      <c r="G15" s="1"/>
    </row>
    <row r="16" spans="1:10" ht="15.75" thickBot="1" x14ac:dyDescent="0.3">
      <c r="A16" s="13" t="s">
        <v>2</v>
      </c>
      <c r="B16" s="14" t="s">
        <v>11</v>
      </c>
      <c r="C16" s="14" t="s">
        <v>6</v>
      </c>
      <c r="D16" s="14" t="s">
        <v>0</v>
      </c>
      <c r="E16" s="14" t="s">
        <v>1</v>
      </c>
      <c r="F16" s="16" t="s">
        <v>9</v>
      </c>
    </row>
    <row r="17" spans="1:6" ht="15.75" customHeight="1" x14ac:dyDescent="0.25">
      <c r="A17" s="19">
        <v>1</v>
      </c>
      <c r="B17" s="27">
        <v>17062026</v>
      </c>
      <c r="C17" s="10" t="s">
        <v>334</v>
      </c>
      <c r="D17" s="69" t="s">
        <v>379</v>
      </c>
      <c r="E17" s="69">
        <v>3808</v>
      </c>
      <c r="F17" s="100">
        <v>40</v>
      </c>
    </row>
    <row r="18" spans="1:6" ht="15.75" customHeight="1" x14ac:dyDescent="0.25">
      <c r="A18" s="17">
        <v>2</v>
      </c>
      <c r="B18" s="28">
        <v>17062026</v>
      </c>
      <c r="C18" s="9" t="s">
        <v>355</v>
      </c>
      <c r="D18" s="44" t="s">
        <v>381</v>
      </c>
      <c r="E18" s="44">
        <v>3805</v>
      </c>
      <c r="F18" s="18">
        <v>40</v>
      </c>
    </row>
    <row r="19" spans="1:6" ht="15.75" customHeight="1" x14ac:dyDescent="0.25">
      <c r="A19" s="17">
        <v>3</v>
      </c>
      <c r="B19" s="28">
        <v>17062026</v>
      </c>
      <c r="C19" s="9" t="s">
        <v>335</v>
      </c>
      <c r="D19" s="44" t="s">
        <v>376</v>
      </c>
      <c r="E19" s="42">
        <v>3753</v>
      </c>
      <c r="F19" s="18">
        <v>40</v>
      </c>
    </row>
    <row r="20" spans="1:6" ht="15.75" customHeight="1" x14ac:dyDescent="0.25">
      <c r="A20" s="17">
        <v>4</v>
      </c>
      <c r="B20" s="28">
        <v>17062026</v>
      </c>
      <c r="C20" s="9" t="s">
        <v>336</v>
      </c>
      <c r="D20" s="44" t="s">
        <v>383</v>
      </c>
      <c r="E20" s="44">
        <v>3806</v>
      </c>
      <c r="F20" s="18">
        <v>40</v>
      </c>
    </row>
    <row r="21" spans="1:6" ht="15.75" customHeight="1" x14ac:dyDescent="0.25">
      <c r="A21" s="17">
        <v>5</v>
      </c>
      <c r="B21" s="28">
        <v>17062026</v>
      </c>
      <c r="C21" s="73" t="s">
        <v>385</v>
      </c>
      <c r="D21" s="44" t="s">
        <v>375</v>
      </c>
      <c r="E21" s="42">
        <v>3756</v>
      </c>
      <c r="F21" s="18">
        <v>40</v>
      </c>
    </row>
    <row r="22" spans="1:6" ht="15.75" customHeight="1" x14ac:dyDescent="0.25">
      <c r="A22" s="17">
        <v>6</v>
      </c>
      <c r="B22" s="28">
        <v>17062026</v>
      </c>
      <c r="C22" s="9" t="s">
        <v>337</v>
      </c>
      <c r="D22" s="44" t="s">
        <v>378</v>
      </c>
      <c r="E22" s="44">
        <v>3802</v>
      </c>
      <c r="F22" s="18">
        <v>40</v>
      </c>
    </row>
    <row r="23" spans="1:6" ht="15.75" customHeight="1" x14ac:dyDescent="0.25">
      <c r="A23" s="17">
        <v>7</v>
      </c>
      <c r="B23" s="28">
        <v>17062026</v>
      </c>
      <c r="C23" s="9" t="s">
        <v>347</v>
      </c>
      <c r="D23" s="44" t="s">
        <v>384</v>
      </c>
      <c r="E23" s="44">
        <v>3752</v>
      </c>
      <c r="F23" s="18">
        <v>40</v>
      </c>
    </row>
    <row r="24" spans="1:6" ht="15.75" customHeight="1" x14ac:dyDescent="0.25">
      <c r="A24" s="17">
        <v>8</v>
      </c>
      <c r="B24" s="28">
        <v>17062026</v>
      </c>
      <c r="C24" s="9" t="s">
        <v>348</v>
      </c>
      <c r="D24" s="44" t="s">
        <v>380</v>
      </c>
      <c r="E24" s="44">
        <v>3751</v>
      </c>
      <c r="F24" s="18">
        <v>40</v>
      </c>
    </row>
    <row r="25" spans="1:6" ht="15.75" customHeight="1" x14ac:dyDescent="0.25">
      <c r="A25" s="17">
        <v>9</v>
      </c>
      <c r="B25" s="28">
        <v>17062026</v>
      </c>
      <c r="C25" s="9" t="s">
        <v>389</v>
      </c>
      <c r="D25" s="44" t="s">
        <v>373</v>
      </c>
      <c r="E25" s="42">
        <v>3801</v>
      </c>
      <c r="F25" s="18">
        <v>40</v>
      </c>
    </row>
    <row r="26" spans="1:6" ht="15.75" customHeight="1" x14ac:dyDescent="0.25">
      <c r="A26" s="17">
        <v>10</v>
      </c>
      <c r="B26" s="28">
        <v>17062026</v>
      </c>
      <c r="C26" s="9" t="s">
        <v>390</v>
      </c>
      <c r="D26" s="44" t="s">
        <v>374</v>
      </c>
      <c r="E26" s="42">
        <v>3833</v>
      </c>
      <c r="F26" s="18">
        <v>40</v>
      </c>
    </row>
    <row r="27" spans="1:6" ht="15.75" customHeight="1" x14ac:dyDescent="0.25">
      <c r="A27" s="17">
        <v>11</v>
      </c>
      <c r="B27" s="28">
        <v>17062026</v>
      </c>
      <c r="C27" s="9" t="s">
        <v>343</v>
      </c>
      <c r="D27" s="44" t="s">
        <v>377</v>
      </c>
      <c r="E27" s="42">
        <v>3758</v>
      </c>
      <c r="F27" s="18">
        <v>40</v>
      </c>
    </row>
    <row r="28" spans="1:6" ht="15.75" customHeight="1" x14ac:dyDescent="0.25">
      <c r="A28" s="17">
        <v>12</v>
      </c>
      <c r="B28" s="28">
        <v>17062026</v>
      </c>
      <c r="C28" s="9" t="s">
        <v>399</v>
      </c>
      <c r="D28" s="9" t="s">
        <v>140</v>
      </c>
      <c r="E28" s="9">
        <v>3861</v>
      </c>
      <c r="F28" s="18">
        <v>40</v>
      </c>
    </row>
    <row r="29" spans="1:6" ht="15.75" customHeight="1" x14ac:dyDescent="0.25">
      <c r="A29" s="17">
        <v>13</v>
      </c>
      <c r="B29" s="28"/>
      <c r="C29" s="9"/>
      <c r="D29" s="42"/>
      <c r="E29" s="9"/>
      <c r="F29" s="18"/>
    </row>
    <row r="30" spans="1:6" ht="15.75" customHeight="1" x14ac:dyDescent="0.25">
      <c r="A30" s="17">
        <v>14</v>
      </c>
      <c r="B30" s="28"/>
      <c r="C30" s="9"/>
      <c r="D30" s="42"/>
      <c r="E30" s="9"/>
      <c r="F30" s="18"/>
    </row>
    <row r="31" spans="1:6" ht="15.75" customHeight="1" x14ac:dyDescent="0.25">
      <c r="A31" s="17">
        <v>25</v>
      </c>
      <c r="B31" s="28"/>
      <c r="C31" s="9"/>
      <c r="D31" s="9"/>
      <c r="E31" s="9"/>
      <c r="F31" s="18"/>
    </row>
    <row r="32" spans="1:6" ht="15.75" customHeight="1" x14ac:dyDescent="0.25">
      <c r="A32" s="17">
        <v>26</v>
      </c>
      <c r="B32" s="28"/>
      <c r="C32" s="9"/>
      <c r="D32" s="9"/>
      <c r="E32" s="9"/>
      <c r="F32" s="18"/>
    </row>
    <row r="33" spans="1:7" ht="15.75" customHeight="1" x14ac:dyDescent="0.25">
      <c r="A33" s="17">
        <v>27</v>
      </c>
      <c r="B33" s="28"/>
      <c r="C33" s="9"/>
      <c r="D33" s="9"/>
      <c r="E33" s="9"/>
      <c r="F33" s="18"/>
    </row>
    <row r="34" spans="1:7" ht="15.75" customHeight="1" x14ac:dyDescent="0.25">
      <c r="A34" s="17">
        <v>28</v>
      </c>
      <c r="B34" s="28"/>
      <c r="C34" s="9"/>
      <c r="D34" s="9"/>
      <c r="E34" s="9"/>
      <c r="F34" s="18"/>
    </row>
    <row r="35" spans="1:7" ht="15.75" customHeight="1" thickBot="1" x14ac:dyDescent="0.3">
      <c r="A35" s="21">
        <v>29</v>
      </c>
      <c r="B35" s="29"/>
      <c r="C35" s="11"/>
      <c r="D35" s="11"/>
      <c r="E35" s="11"/>
      <c r="F35" s="22"/>
    </row>
    <row r="36" spans="1:7" x14ac:dyDescent="0.25">
      <c r="A36" t="s">
        <v>219</v>
      </c>
    </row>
    <row r="37" spans="1:7" ht="15.75" x14ac:dyDescent="0.25">
      <c r="A37" s="3"/>
      <c r="B37" s="24" t="s">
        <v>66</v>
      </c>
      <c r="C37" s="1"/>
      <c r="E37" s="1"/>
      <c r="F37" s="1"/>
      <c r="G37" s="5"/>
    </row>
    <row r="38" spans="1:7" ht="15.75" thickBot="1" x14ac:dyDescent="0.3">
      <c r="A38" s="3"/>
      <c r="B38" s="2"/>
      <c r="C38" s="1"/>
      <c r="D38" s="1"/>
      <c r="E38" s="1"/>
      <c r="F38" s="1"/>
      <c r="G38" s="1"/>
    </row>
    <row r="39" spans="1:7" x14ac:dyDescent="0.25">
      <c r="A39" s="13" t="s">
        <v>2</v>
      </c>
      <c r="B39" s="14" t="s">
        <v>532</v>
      </c>
      <c r="C39" s="14" t="s">
        <v>0</v>
      </c>
      <c r="D39" s="14" t="s">
        <v>14</v>
      </c>
      <c r="E39" s="14" t="s">
        <v>15</v>
      </c>
      <c r="F39" s="16" t="s">
        <v>9</v>
      </c>
    </row>
    <row r="40" spans="1:7" ht="15.75" customHeight="1" x14ac:dyDescent="0.25">
      <c r="A40" s="38">
        <v>1</v>
      </c>
      <c r="B40" s="28">
        <v>17062026</v>
      </c>
      <c r="C40" s="47" t="s">
        <v>129</v>
      </c>
      <c r="D40" s="49"/>
      <c r="E40" s="25">
        <v>3866</v>
      </c>
      <c r="F40" s="37">
        <v>40</v>
      </c>
    </row>
    <row r="41" spans="1:7" ht="15.75" customHeight="1" x14ac:dyDescent="0.25">
      <c r="A41" s="38">
        <v>2</v>
      </c>
      <c r="B41" s="28">
        <v>17062026</v>
      </c>
      <c r="C41" s="47" t="s">
        <v>387</v>
      </c>
      <c r="D41" s="49"/>
      <c r="E41" s="25">
        <v>3864</v>
      </c>
      <c r="F41" s="37">
        <v>20</v>
      </c>
    </row>
    <row r="42" spans="1:7" ht="15.75" customHeight="1" x14ac:dyDescent="0.25">
      <c r="A42" s="38">
        <v>3</v>
      </c>
      <c r="B42" s="28">
        <v>17062026</v>
      </c>
      <c r="C42" s="47" t="s">
        <v>388</v>
      </c>
      <c r="D42" s="49"/>
      <c r="E42" s="25">
        <v>3863</v>
      </c>
      <c r="F42" s="37">
        <v>20</v>
      </c>
    </row>
    <row r="43" spans="1:7" ht="15.75" customHeight="1" x14ac:dyDescent="0.25">
      <c r="A43" s="38"/>
      <c r="B43" s="28"/>
      <c r="C43" s="47"/>
      <c r="D43" s="49"/>
      <c r="E43" s="25"/>
      <c r="F43" s="37"/>
    </row>
    <row r="44" spans="1:7" ht="15.75" customHeight="1" x14ac:dyDescent="0.25">
      <c r="A44" s="38"/>
      <c r="B44" s="28"/>
      <c r="C44" s="42"/>
      <c r="D44" s="43"/>
      <c r="E44" s="25"/>
      <c r="F44" s="37"/>
    </row>
    <row r="45" spans="1:7" x14ac:dyDescent="0.25">
      <c r="A45" s="38"/>
      <c r="B45" s="28"/>
      <c r="C45" s="42"/>
      <c r="D45" s="42"/>
      <c r="E45" s="9"/>
      <c r="F45" s="37"/>
    </row>
  </sheetData>
  <mergeCells count="1">
    <mergeCell ref="A4:H4"/>
  </mergeCells>
  <phoneticPr fontId="17" type="noConversion"/>
  <conditionalFormatting sqref="G9:G11">
    <cfRule type="expression" dxfId="8" priority="1">
      <formula>LEFT(CELL("format",C9))</formula>
    </cfRule>
  </conditionalFormatting>
  <dataValidations count="1">
    <dataValidation type="list" allowBlank="1" showInputMessage="1" showErrorMessage="1" sqref="F9:F13" xr:uid="{C343DB91-AA85-4BCA-A9C8-F8C7E38A31EA}">
      <formula1>"20,40,45,50"</formula1>
    </dataValidation>
  </dataValidations>
  <pageMargins left="0.31496062992125984" right="0.31496062992125984" top="0.35433070866141736" bottom="0.35433070866141736" header="0.31496062992125984" footer="0.31496062992125984"/>
  <pageSetup paperSize="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3822-1B7F-4C6E-A629-793C4BCEDBD7}">
  <dimension ref="A1:J45"/>
  <sheetViews>
    <sheetView workbookViewId="0">
      <selection activeCell="G7" sqref="G7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  <col min="8" max="8" width="14.140625" bestFit="1" customWidth="1"/>
  </cols>
  <sheetData>
    <row r="1" spans="1:10" s="1" customFormat="1" ht="24.95" customHeight="1" x14ac:dyDescent="0.25">
      <c r="A1" s="3"/>
      <c r="H1" s="91">
        <f>COUNTIF(C9:C21,"&lt;&gt;")</f>
        <v>10</v>
      </c>
      <c r="I1" s="90" t="s">
        <v>386</v>
      </c>
    </row>
    <row r="2" spans="1:10" s="1" customFormat="1" ht="24.75" customHeight="1" x14ac:dyDescent="0.25">
      <c r="A2" s="3"/>
      <c r="F2" s="91">
        <f>COUNTIFS(B27:B35,"&lt;&gt;",C27:C35,"VH")</f>
        <v>0</v>
      </c>
      <c r="G2" s="90" t="s">
        <v>25</v>
      </c>
      <c r="H2" s="91">
        <f>COUNTA(C27:C35)-F2</f>
        <v>1</v>
      </c>
      <c r="I2" s="90" t="s">
        <v>386</v>
      </c>
      <c r="J2" s="101">
        <f>COUNTIF(E27:E35,"VIDE")</f>
        <v>0</v>
      </c>
    </row>
    <row r="3" spans="1:10" s="1" customFormat="1" ht="24.95" customHeight="1" x14ac:dyDescent="0.25">
      <c r="A3" s="3"/>
    </row>
    <row r="4" spans="1:10" s="1" customFormat="1" ht="24.95" customHeight="1" x14ac:dyDescent="0.25">
      <c r="A4" s="129" t="s">
        <v>10</v>
      </c>
      <c r="B4" s="129"/>
      <c r="C4" s="129"/>
      <c r="D4" s="129"/>
      <c r="E4" s="129"/>
      <c r="F4" s="129"/>
      <c r="G4" s="129"/>
      <c r="H4" s="129"/>
    </row>
    <row r="5" spans="1:10" s="1" customFormat="1" ht="24.95" customHeight="1" x14ac:dyDescent="0.25">
      <c r="A5" s="89"/>
      <c r="B5" s="89"/>
      <c r="C5" s="89"/>
      <c r="D5" s="89"/>
      <c r="E5" s="89"/>
      <c r="F5" s="89"/>
      <c r="G5" s="89"/>
      <c r="H5" s="89"/>
    </row>
    <row r="6" spans="1:10" s="1" customFormat="1" ht="24.95" customHeight="1" x14ac:dyDescent="0.25">
      <c r="A6" s="3"/>
      <c r="B6" s="24" t="s">
        <v>3</v>
      </c>
      <c r="F6" s="1" t="s">
        <v>158</v>
      </c>
      <c r="G6" s="26">
        <v>44729</v>
      </c>
    </row>
    <row r="7" spans="1:10" s="1" customFormat="1" thickBot="1" x14ac:dyDescent="0.3">
      <c r="A7" s="3"/>
      <c r="B7" s="2"/>
    </row>
    <row r="8" spans="1:10" s="1" customFormat="1" ht="15.75" customHeight="1" x14ac:dyDescent="0.25">
      <c r="A8" s="13" t="s">
        <v>2</v>
      </c>
      <c r="B8" s="14" t="s">
        <v>8</v>
      </c>
      <c r="C8" s="14" t="s">
        <v>12</v>
      </c>
      <c r="D8" s="14" t="s">
        <v>0</v>
      </c>
      <c r="E8" s="14" t="s">
        <v>1</v>
      </c>
      <c r="F8" s="16" t="s">
        <v>9</v>
      </c>
    </row>
    <row r="9" spans="1:10" s="1" customFormat="1" ht="15.75" customHeight="1" x14ac:dyDescent="0.25">
      <c r="A9" s="38">
        <v>1</v>
      </c>
      <c r="B9" s="96" t="s">
        <v>424</v>
      </c>
      <c r="C9" s="28">
        <v>18062026</v>
      </c>
      <c r="D9" s="96" t="s">
        <v>404</v>
      </c>
      <c r="E9" s="43" t="s">
        <v>414</v>
      </c>
      <c r="F9" s="42">
        <v>40</v>
      </c>
    </row>
    <row r="10" spans="1:10" s="1" customFormat="1" ht="15.75" customHeight="1" x14ac:dyDescent="0.25">
      <c r="A10" s="38">
        <v>2</v>
      </c>
      <c r="B10" s="44" t="s">
        <v>425</v>
      </c>
      <c r="C10" s="28">
        <v>18062026</v>
      </c>
      <c r="D10" s="96" t="s">
        <v>405</v>
      </c>
      <c r="E10" s="103" t="s">
        <v>415</v>
      </c>
      <c r="F10" s="42">
        <v>40</v>
      </c>
    </row>
    <row r="11" spans="1:10" s="1" customFormat="1" ht="15.75" customHeight="1" x14ac:dyDescent="0.25">
      <c r="A11" s="38">
        <v>3</v>
      </c>
      <c r="B11" s="96" t="s">
        <v>426</v>
      </c>
      <c r="C11" s="28">
        <v>18062026</v>
      </c>
      <c r="D11" s="44" t="s">
        <v>406</v>
      </c>
      <c r="E11" s="43" t="s">
        <v>416</v>
      </c>
      <c r="F11" s="42">
        <v>40</v>
      </c>
    </row>
    <row r="12" spans="1:10" s="1" customFormat="1" ht="15.75" customHeight="1" x14ac:dyDescent="0.25">
      <c r="A12" s="38">
        <v>4</v>
      </c>
      <c r="B12" s="146" t="s">
        <v>427</v>
      </c>
      <c r="C12" s="28">
        <v>18062026</v>
      </c>
      <c r="D12" s="96" t="s">
        <v>407</v>
      </c>
      <c r="E12" s="43" t="s">
        <v>417</v>
      </c>
      <c r="F12" s="42">
        <v>40</v>
      </c>
    </row>
    <row r="13" spans="1:10" s="1" customFormat="1" ht="15.75" customHeight="1" x14ac:dyDescent="0.25">
      <c r="A13" s="38">
        <v>5</v>
      </c>
      <c r="B13" s="147"/>
      <c r="C13" s="28">
        <v>18062026</v>
      </c>
      <c r="D13" s="44" t="s">
        <v>408</v>
      </c>
      <c r="E13" s="42" t="s">
        <v>418</v>
      </c>
      <c r="F13" s="42">
        <v>40</v>
      </c>
    </row>
    <row r="14" spans="1:10" s="1" customFormat="1" ht="15.75" customHeight="1" x14ac:dyDescent="0.25">
      <c r="A14" s="38">
        <v>6</v>
      </c>
      <c r="B14" s="96" t="s">
        <v>428</v>
      </c>
      <c r="C14" s="28">
        <v>18062026</v>
      </c>
      <c r="D14" s="44" t="s">
        <v>409</v>
      </c>
      <c r="E14" s="104" t="s">
        <v>419</v>
      </c>
      <c r="F14" s="42">
        <v>40</v>
      </c>
    </row>
    <row r="15" spans="1:10" s="1" customFormat="1" ht="15.75" customHeight="1" x14ac:dyDescent="0.25">
      <c r="A15" s="38">
        <v>7</v>
      </c>
      <c r="B15" s="138" t="s">
        <v>429</v>
      </c>
      <c r="C15" s="28">
        <v>18062026</v>
      </c>
      <c r="D15" s="44" t="s">
        <v>410</v>
      </c>
      <c r="E15" s="42" t="s">
        <v>420</v>
      </c>
      <c r="F15" s="42">
        <v>20</v>
      </c>
    </row>
    <row r="16" spans="1:10" s="1" customFormat="1" ht="15.75" customHeight="1" x14ac:dyDescent="0.25">
      <c r="A16" s="38">
        <v>8</v>
      </c>
      <c r="B16" s="138"/>
      <c r="C16" s="28">
        <v>18062026</v>
      </c>
      <c r="D16" s="96" t="s">
        <v>411</v>
      </c>
      <c r="E16" s="42" t="s">
        <v>421</v>
      </c>
      <c r="F16" s="42">
        <v>20</v>
      </c>
    </row>
    <row r="17" spans="1:7" s="1" customFormat="1" ht="15.75" customHeight="1" x14ac:dyDescent="0.25">
      <c r="A17" s="38">
        <v>9</v>
      </c>
      <c r="B17" s="145" t="s">
        <v>430</v>
      </c>
      <c r="C17" s="28">
        <v>18062026</v>
      </c>
      <c r="D17" s="96" t="s">
        <v>412</v>
      </c>
      <c r="E17" s="103" t="s">
        <v>422</v>
      </c>
      <c r="F17" s="42">
        <v>40</v>
      </c>
    </row>
    <row r="18" spans="1:7" s="1" customFormat="1" ht="15.75" customHeight="1" x14ac:dyDescent="0.25">
      <c r="A18" s="38">
        <v>10</v>
      </c>
      <c r="B18" s="145"/>
      <c r="C18" s="28">
        <v>18062026</v>
      </c>
      <c r="D18" s="44" t="s">
        <v>413</v>
      </c>
      <c r="E18" s="104" t="s">
        <v>423</v>
      </c>
      <c r="F18" s="42">
        <v>40</v>
      </c>
    </row>
    <row r="19" spans="1:7" s="1" customFormat="1" ht="15.75" customHeight="1" x14ac:dyDescent="0.25">
      <c r="A19" s="17"/>
      <c r="B19" s="78"/>
      <c r="C19" s="28"/>
      <c r="D19" s="42"/>
      <c r="E19" s="43"/>
      <c r="F19" s="42"/>
    </row>
    <row r="20" spans="1:7" s="1" customFormat="1" ht="15.75" customHeight="1" x14ac:dyDescent="0.25">
      <c r="A20" s="17"/>
      <c r="B20" s="78"/>
      <c r="C20" s="28"/>
      <c r="D20" s="42"/>
      <c r="E20" s="42"/>
      <c r="F20" s="59"/>
    </row>
    <row r="21" spans="1:7" s="1" customFormat="1" ht="15.75" customHeight="1" x14ac:dyDescent="0.25">
      <c r="A21" s="17"/>
      <c r="B21" s="96"/>
      <c r="C21" s="41"/>
      <c r="D21" s="96"/>
      <c r="E21" s="97"/>
      <c r="F21" s="59"/>
    </row>
    <row r="22" spans="1:7" ht="16.5" thickBot="1" x14ac:dyDescent="0.3">
      <c r="A22" s="21"/>
      <c r="B22" s="80"/>
      <c r="C22" s="81"/>
      <c r="D22" s="60"/>
      <c r="E22" s="60"/>
      <c r="F22" s="61"/>
      <c r="G22" s="5"/>
    </row>
    <row r="23" spans="1:7" ht="15.75" x14ac:dyDescent="0.25">
      <c r="A23" s="3"/>
      <c r="B23" s="5"/>
      <c r="C23" s="1"/>
      <c r="D23" s="65"/>
      <c r="E23" s="65"/>
      <c r="F23" s="65"/>
      <c r="G23" s="5"/>
    </row>
    <row r="24" spans="1:7" ht="15.75" x14ac:dyDescent="0.25">
      <c r="A24" s="3"/>
      <c r="B24" s="24" t="s">
        <v>4</v>
      </c>
      <c r="G24" s="5"/>
    </row>
    <row r="25" spans="1:7" ht="15.75" thickBot="1" x14ac:dyDescent="0.3">
      <c r="A25" s="3"/>
      <c r="B25" s="2"/>
      <c r="C25" s="1"/>
      <c r="D25" s="1"/>
      <c r="E25" s="1"/>
      <c r="F25" s="1"/>
      <c r="G25" s="1"/>
    </row>
    <row r="26" spans="1:7" ht="15.75" thickBot="1" x14ac:dyDescent="0.3">
      <c r="A26" s="13" t="s">
        <v>2</v>
      </c>
      <c r="B26" s="14" t="s">
        <v>11</v>
      </c>
      <c r="C26" s="14" t="s">
        <v>6</v>
      </c>
      <c r="D26" s="14" t="s">
        <v>0</v>
      </c>
      <c r="E26" s="14" t="s">
        <v>1</v>
      </c>
      <c r="F26" s="16" t="s">
        <v>9</v>
      </c>
    </row>
    <row r="27" spans="1:7" ht="15.75" customHeight="1" x14ac:dyDescent="0.25">
      <c r="A27" s="19">
        <v>1</v>
      </c>
      <c r="B27" s="28">
        <v>18062026</v>
      </c>
      <c r="C27" s="10" t="s">
        <v>431</v>
      </c>
      <c r="D27" s="44" t="s">
        <v>193</v>
      </c>
      <c r="E27" s="44">
        <v>3831</v>
      </c>
      <c r="F27" s="20"/>
    </row>
    <row r="28" spans="1:7" ht="15.75" customHeight="1" x14ac:dyDescent="0.25">
      <c r="A28" s="17">
        <v>2</v>
      </c>
      <c r="B28" s="28"/>
      <c r="C28" s="9"/>
      <c r="D28" s="44"/>
      <c r="E28" s="44"/>
      <c r="F28" s="18"/>
    </row>
    <row r="29" spans="1:7" ht="15.75" customHeight="1" x14ac:dyDescent="0.25">
      <c r="A29" s="17">
        <v>3</v>
      </c>
      <c r="B29" s="28"/>
      <c r="C29" s="9"/>
      <c r="D29" s="44"/>
      <c r="E29" s="42"/>
      <c r="F29" s="18"/>
    </row>
    <row r="30" spans="1:7" ht="15.75" customHeight="1" x14ac:dyDescent="0.25">
      <c r="A30" s="17">
        <v>4</v>
      </c>
      <c r="B30" s="28"/>
      <c r="C30" s="9"/>
      <c r="D30" s="44"/>
      <c r="E30" s="44"/>
      <c r="F30" s="18"/>
    </row>
    <row r="31" spans="1:7" ht="15.75" customHeight="1" x14ac:dyDescent="0.25">
      <c r="A31" s="17">
        <v>5</v>
      </c>
      <c r="B31" s="28"/>
      <c r="C31" s="73"/>
      <c r="D31" s="44"/>
      <c r="E31" s="42"/>
      <c r="F31" s="18"/>
    </row>
    <row r="32" spans="1:7" ht="15.75" customHeight="1" x14ac:dyDescent="0.25">
      <c r="A32" s="17">
        <v>6</v>
      </c>
      <c r="B32" s="28"/>
      <c r="C32" s="9"/>
      <c r="D32" s="44"/>
      <c r="E32" s="44"/>
      <c r="F32" s="18"/>
    </row>
    <row r="33" spans="1:7" ht="15.75" customHeight="1" x14ac:dyDescent="0.25">
      <c r="A33" s="17">
        <v>27</v>
      </c>
      <c r="B33" s="28"/>
      <c r="C33" s="9"/>
      <c r="D33" s="9"/>
      <c r="E33" s="9"/>
      <c r="F33" s="18"/>
    </row>
    <row r="34" spans="1:7" ht="15.75" customHeight="1" x14ac:dyDescent="0.25">
      <c r="A34" s="17">
        <v>28</v>
      </c>
      <c r="B34" s="28"/>
      <c r="C34" s="9"/>
      <c r="D34" s="9"/>
      <c r="E34" s="9"/>
      <c r="F34" s="18"/>
    </row>
    <row r="35" spans="1:7" ht="15.75" customHeight="1" thickBot="1" x14ac:dyDescent="0.3">
      <c r="A35" s="21">
        <v>29</v>
      </c>
      <c r="B35" s="29"/>
      <c r="C35" s="11"/>
      <c r="D35" s="11"/>
      <c r="E35" s="11"/>
      <c r="F35" s="22"/>
    </row>
    <row r="36" spans="1:7" x14ac:dyDescent="0.25">
      <c r="A36" t="s">
        <v>219</v>
      </c>
    </row>
    <row r="37" spans="1:7" ht="15.75" x14ac:dyDescent="0.25">
      <c r="A37" s="3"/>
      <c r="B37" s="24" t="s">
        <v>66</v>
      </c>
      <c r="C37" s="1"/>
      <c r="E37" s="1"/>
      <c r="F37" s="1"/>
      <c r="G37" s="5"/>
    </row>
    <row r="38" spans="1:7" ht="15.75" thickBot="1" x14ac:dyDescent="0.3">
      <c r="A38" s="3"/>
      <c r="B38" s="2"/>
      <c r="C38" s="1"/>
      <c r="D38" s="1"/>
      <c r="E38" s="1"/>
      <c r="F38" s="1"/>
      <c r="G38" s="1"/>
    </row>
    <row r="39" spans="1:7" x14ac:dyDescent="0.25">
      <c r="A39" s="13" t="s">
        <v>2</v>
      </c>
      <c r="B39" s="14" t="s">
        <v>532</v>
      </c>
      <c r="C39" s="14" t="s">
        <v>0</v>
      </c>
      <c r="D39" s="14" t="s">
        <v>14</v>
      </c>
      <c r="E39" s="14" t="s">
        <v>15</v>
      </c>
      <c r="F39" s="16" t="s">
        <v>9</v>
      </c>
    </row>
    <row r="40" spans="1:7" ht="15.75" customHeight="1" x14ac:dyDescent="0.25">
      <c r="A40" s="38"/>
      <c r="B40" s="28"/>
      <c r="C40" s="47"/>
      <c r="D40" s="49"/>
      <c r="E40" s="25"/>
      <c r="F40" s="37"/>
    </row>
    <row r="41" spans="1:7" ht="15.75" customHeight="1" x14ac:dyDescent="0.25">
      <c r="A41" s="38"/>
      <c r="B41" s="28"/>
      <c r="C41" s="47"/>
      <c r="D41" s="49"/>
      <c r="E41" s="25"/>
      <c r="F41" s="37"/>
    </row>
    <row r="42" spans="1:7" ht="15.75" customHeight="1" x14ac:dyDescent="0.25">
      <c r="A42" s="38"/>
      <c r="B42" s="28"/>
      <c r="C42" s="47"/>
      <c r="D42" s="49"/>
      <c r="E42" s="25"/>
      <c r="F42" s="37"/>
    </row>
    <row r="43" spans="1:7" ht="15.75" customHeight="1" x14ac:dyDescent="0.25">
      <c r="A43" s="38"/>
      <c r="B43" s="28"/>
      <c r="C43" s="47"/>
      <c r="D43" s="49"/>
      <c r="E43" s="25"/>
      <c r="F43" s="37"/>
    </row>
    <row r="44" spans="1:7" ht="15.75" customHeight="1" x14ac:dyDescent="0.25">
      <c r="A44" s="38"/>
      <c r="B44" s="28"/>
      <c r="C44" s="42"/>
      <c r="D44" s="43"/>
      <c r="E44" s="25"/>
      <c r="F44" s="37"/>
    </row>
    <row r="45" spans="1:7" x14ac:dyDescent="0.25">
      <c r="A45" s="38"/>
      <c r="B45" s="28"/>
      <c r="C45" s="42"/>
      <c r="D45" s="42"/>
      <c r="E45" s="9"/>
      <c r="F45" s="37"/>
    </row>
  </sheetData>
  <mergeCells count="4">
    <mergeCell ref="A4:H4"/>
    <mergeCell ref="B15:B16"/>
    <mergeCell ref="B17:B18"/>
    <mergeCell ref="B12:B13"/>
  </mergeCells>
  <conditionalFormatting sqref="G9:G21">
    <cfRule type="expression" dxfId="7" priority="1">
      <formula>LEFT(CELL("format",C9))</formula>
    </cfRule>
  </conditionalFormatting>
  <dataValidations count="1">
    <dataValidation type="list" allowBlank="1" showInputMessage="1" showErrorMessage="1" sqref="F9:F23" xr:uid="{E1BED7FE-BDF9-429E-B09E-1EEAC982A370}">
      <formula1>"20,40,45,50"</formula1>
    </dataValidation>
  </dataValidations>
  <pageMargins left="0.31496062992125984" right="0.31496062992125984" top="0.74803149606299213" bottom="0.55118110236220474" header="0.31496062992125984" footer="0.31496062992125984"/>
  <pageSetup paperSize="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BA60-6620-4E86-85AA-0E3551ABE1F3}">
  <dimension ref="A1:J42"/>
  <sheetViews>
    <sheetView workbookViewId="0">
      <selection activeCell="G7" sqref="G7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  <col min="8" max="8" width="14.140625" bestFit="1" customWidth="1"/>
  </cols>
  <sheetData>
    <row r="1" spans="1:10" s="1" customFormat="1" ht="24.95" customHeight="1" x14ac:dyDescent="0.25">
      <c r="A1" s="3"/>
      <c r="H1" s="91">
        <f>COUNTIF(C9:C18,"&lt;&gt;")</f>
        <v>2</v>
      </c>
      <c r="I1" s="90" t="s">
        <v>386</v>
      </c>
    </row>
    <row r="2" spans="1:10" s="1" customFormat="1" ht="24.75" customHeight="1" x14ac:dyDescent="0.25">
      <c r="A2" s="3"/>
      <c r="F2" s="91">
        <f>COUNTIFS(B24:B32,"&lt;&gt;",C24:C32,"VH")</f>
        <v>0</v>
      </c>
      <c r="G2" s="90" t="s">
        <v>25</v>
      </c>
      <c r="H2" s="91">
        <f>COUNTA(C24:C32)-F2</f>
        <v>6</v>
      </c>
      <c r="I2" s="90" t="s">
        <v>386</v>
      </c>
      <c r="J2" s="101">
        <f>COUNTIF(E19:E24,"VIDE")</f>
        <v>0</v>
      </c>
    </row>
    <row r="3" spans="1:10" s="1" customFormat="1" ht="24.95" customHeight="1" x14ac:dyDescent="0.25">
      <c r="A3" s="3"/>
    </row>
    <row r="4" spans="1:10" s="1" customFormat="1" ht="24.95" customHeight="1" x14ac:dyDescent="0.25">
      <c r="A4" s="129" t="s">
        <v>10</v>
      </c>
      <c r="B4" s="129"/>
      <c r="C4" s="129"/>
      <c r="D4" s="129"/>
      <c r="E4" s="129"/>
      <c r="F4" s="129"/>
      <c r="G4" s="129"/>
      <c r="H4" s="129"/>
    </row>
    <row r="5" spans="1:10" s="1" customFormat="1" ht="24.95" customHeight="1" x14ac:dyDescent="0.25">
      <c r="A5" s="89"/>
      <c r="B5" s="89"/>
      <c r="C5" s="89"/>
      <c r="D5" s="89"/>
      <c r="E5" s="89"/>
      <c r="F5" s="89"/>
      <c r="G5" s="89"/>
      <c r="H5" s="89"/>
    </row>
    <row r="6" spans="1:10" s="1" customFormat="1" ht="24.95" customHeight="1" x14ac:dyDescent="0.25">
      <c r="A6" s="3"/>
      <c r="B6" s="24" t="s">
        <v>3</v>
      </c>
      <c r="F6" s="1" t="s">
        <v>158</v>
      </c>
      <c r="G6" s="26">
        <v>44732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13" t="s">
        <v>2</v>
      </c>
      <c r="B8" s="14" t="s">
        <v>8</v>
      </c>
      <c r="C8" s="14" t="s">
        <v>12</v>
      </c>
      <c r="D8" s="14" t="s">
        <v>0</v>
      </c>
      <c r="E8" s="14" t="s">
        <v>1</v>
      </c>
      <c r="F8" s="16" t="s">
        <v>9</v>
      </c>
    </row>
    <row r="9" spans="1:10" s="1" customFormat="1" ht="15.75" customHeight="1" x14ac:dyDescent="0.25">
      <c r="A9" s="19">
        <v>1</v>
      </c>
      <c r="B9" s="110" t="s">
        <v>433</v>
      </c>
      <c r="C9" s="110">
        <v>46194</v>
      </c>
      <c r="D9" s="76" t="s">
        <v>455</v>
      </c>
      <c r="E9" s="111" t="s">
        <v>434</v>
      </c>
      <c r="F9" s="58">
        <v>40</v>
      </c>
    </row>
    <row r="10" spans="1:10" s="1" customFormat="1" ht="15.75" customHeight="1" x14ac:dyDescent="0.25">
      <c r="A10" s="17">
        <v>2</v>
      </c>
      <c r="B10" s="107" t="s">
        <v>435</v>
      </c>
      <c r="C10" s="107">
        <v>46194</v>
      </c>
      <c r="D10" s="96" t="s">
        <v>454</v>
      </c>
      <c r="E10" s="108" t="s">
        <v>436</v>
      </c>
      <c r="F10" s="59">
        <v>40</v>
      </c>
    </row>
    <row r="11" spans="1:10" s="1" customFormat="1" ht="15.75" customHeight="1" x14ac:dyDescent="0.25">
      <c r="A11" s="17">
        <v>3</v>
      </c>
      <c r="B11" s="96"/>
      <c r="C11" s="28"/>
      <c r="D11" s="44"/>
      <c r="E11" s="43"/>
      <c r="F11" s="59"/>
    </row>
    <row r="12" spans="1:10" s="1" customFormat="1" ht="15.75" customHeight="1" x14ac:dyDescent="0.25">
      <c r="A12" s="17">
        <v>4</v>
      </c>
      <c r="B12" s="109"/>
      <c r="C12" s="28"/>
      <c r="D12" s="96"/>
      <c r="E12" s="43"/>
      <c r="F12" s="59"/>
    </row>
    <row r="13" spans="1:10" s="1" customFormat="1" ht="15.75" customHeight="1" x14ac:dyDescent="0.25">
      <c r="A13" s="17">
        <v>5</v>
      </c>
      <c r="B13" s="109"/>
      <c r="C13" s="28"/>
      <c r="D13" s="44"/>
      <c r="E13" s="42"/>
      <c r="F13" s="59"/>
    </row>
    <row r="14" spans="1:10" s="1" customFormat="1" ht="15.75" customHeight="1" x14ac:dyDescent="0.25">
      <c r="A14" s="17">
        <v>6</v>
      </c>
      <c r="B14" s="96"/>
      <c r="C14" s="28"/>
      <c r="D14" s="44"/>
      <c r="E14" s="104"/>
      <c r="F14" s="59"/>
    </row>
    <row r="15" spans="1:10" s="1" customFormat="1" ht="15.75" customHeight="1" x14ac:dyDescent="0.25">
      <c r="A15" s="17">
        <v>7</v>
      </c>
      <c r="B15" s="78"/>
      <c r="C15" s="28"/>
      <c r="D15" s="44"/>
      <c r="E15" s="42"/>
      <c r="F15" s="59"/>
    </row>
    <row r="16" spans="1:10" s="1" customFormat="1" ht="15.75" customHeight="1" x14ac:dyDescent="0.25">
      <c r="A16" s="17">
        <v>8</v>
      </c>
      <c r="B16" s="78"/>
      <c r="C16" s="28"/>
      <c r="D16" s="96"/>
      <c r="E16" s="42"/>
      <c r="F16" s="59"/>
    </row>
    <row r="17" spans="1:7" s="1" customFormat="1" ht="15.75" customHeight="1" x14ac:dyDescent="0.25">
      <c r="A17" s="17">
        <v>9</v>
      </c>
      <c r="B17" s="109"/>
      <c r="C17" s="28"/>
      <c r="D17" s="96"/>
      <c r="E17" s="103"/>
      <c r="F17" s="59"/>
    </row>
    <row r="18" spans="1:7" s="1" customFormat="1" ht="15.75" customHeight="1" x14ac:dyDescent="0.25">
      <c r="A18" s="17">
        <v>10</v>
      </c>
      <c r="B18" s="109"/>
      <c r="C18" s="28"/>
      <c r="D18" s="44"/>
      <c r="E18" s="104"/>
      <c r="F18" s="59"/>
    </row>
    <row r="19" spans="1:7" ht="16.5" thickBot="1" x14ac:dyDescent="0.3">
      <c r="A19" s="21"/>
      <c r="B19" s="80"/>
      <c r="C19" s="81"/>
      <c r="D19" s="60"/>
      <c r="E19" s="60"/>
      <c r="F19" s="61"/>
      <c r="G19" s="5"/>
    </row>
    <row r="20" spans="1:7" ht="15.75" x14ac:dyDescent="0.25">
      <c r="A20" s="3"/>
      <c r="B20" s="5"/>
      <c r="C20" s="1"/>
      <c r="D20" s="65"/>
      <c r="E20" s="65"/>
      <c r="F20" s="65"/>
      <c r="G20" s="5"/>
    </row>
    <row r="21" spans="1:7" ht="15.75" x14ac:dyDescent="0.25">
      <c r="A21" s="3"/>
      <c r="B21" s="24" t="s">
        <v>4</v>
      </c>
      <c r="G21" s="5"/>
    </row>
    <row r="22" spans="1:7" ht="15.75" thickBot="1" x14ac:dyDescent="0.3">
      <c r="A22" s="3"/>
      <c r="B22" s="2"/>
      <c r="C22" s="1"/>
      <c r="D22" s="1"/>
      <c r="E22" s="1"/>
      <c r="F22" s="1"/>
      <c r="G22" s="1"/>
    </row>
    <row r="23" spans="1:7" ht="15.75" thickBot="1" x14ac:dyDescent="0.3">
      <c r="A23" s="13" t="s">
        <v>2</v>
      </c>
      <c r="B23" s="14" t="s">
        <v>11</v>
      </c>
      <c r="C23" s="14" t="s">
        <v>6</v>
      </c>
      <c r="D23" s="14" t="s">
        <v>0</v>
      </c>
      <c r="E23" s="14" t="s">
        <v>1</v>
      </c>
      <c r="F23" s="16" t="s">
        <v>9</v>
      </c>
    </row>
    <row r="24" spans="1:7" ht="15.75" customHeight="1" x14ac:dyDescent="0.25">
      <c r="A24" s="19">
        <v>1</v>
      </c>
      <c r="B24" s="27">
        <v>21062026</v>
      </c>
      <c r="C24" s="10" t="s">
        <v>437</v>
      </c>
      <c r="D24" s="69" t="s">
        <v>161</v>
      </c>
      <c r="E24" s="69">
        <v>3840</v>
      </c>
      <c r="F24" s="20">
        <v>40</v>
      </c>
    </row>
    <row r="25" spans="1:7" ht="15.75" customHeight="1" x14ac:dyDescent="0.25">
      <c r="A25" s="17">
        <v>2</v>
      </c>
      <c r="B25" s="28">
        <v>21062026</v>
      </c>
      <c r="C25" s="9" t="s">
        <v>438</v>
      </c>
      <c r="D25" s="42" t="s">
        <v>40</v>
      </c>
      <c r="E25" s="42" t="s">
        <v>41</v>
      </c>
      <c r="F25" s="18">
        <v>20</v>
      </c>
    </row>
    <row r="26" spans="1:7" ht="15.75" customHeight="1" x14ac:dyDescent="0.25">
      <c r="A26" s="17">
        <v>3</v>
      </c>
      <c r="B26" s="28">
        <v>21062026</v>
      </c>
      <c r="C26" s="9" t="s">
        <v>438</v>
      </c>
      <c r="D26" s="42" t="s">
        <v>42</v>
      </c>
      <c r="E26" s="42" t="s">
        <v>43</v>
      </c>
      <c r="F26" s="18">
        <v>20</v>
      </c>
    </row>
    <row r="27" spans="1:7" ht="15.75" customHeight="1" x14ac:dyDescent="0.25">
      <c r="A27" s="17">
        <v>4</v>
      </c>
      <c r="B27" s="28">
        <v>21062026</v>
      </c>
      <c r="C27" s="9" t="s">
        <v>312</v>
      </c>
      <c r="D27" s="9" t="s">
        <v>262</v>
      </c>
      <c r="E27" s="9">
        <v>3835</v>
      </c>
      <c r="F27" s="18">
        <v>45</v>
      </c>
    </row>
    <row r="28" spans="1:7" ht="15.75" customHeight="1" x14ac:dyDescent="0.25">
      <c r="A28" s="17">
        <v>5</v>
      </c>
      <c r="B28" s="28">
        <v>21062026</v>
      </c>
      <c r="C28" s="9" t="s">
        <v>308</v>
      </c>
      <c r="D28" s="9" t="s">
        <v>263</v>
      </c>
      <c r="E28" s="9">
        <v>3832</v>
      </c>
      <c r="F28" s="18">
        <v>45</v>
      </c>
    </row>
    <row r="29" spans="1:7" ht="15.75" customHeight="1" x14ac:dyDescent="0.25">
      <c r="A29" s="17">
        <v>6</v>
      </c>
      <c r="B29" s="28">
        <v>21062026</v>
      </c>
      <c r="C29" s="9" t="s">
        <v>311</v>
      </c>
      <c r="D29" s="9" t="s">
        <v>264</v>
      </c>
      <c r="E29" s="9">
        <v>3836</v>
      </c>
      <c r="F29" s="18">
        <v>45</v>
      </c>
    </row>
    <row r="30" spans="1:7" ht="15.75" customHeight="1" x14ac:dyDescent="0.25">
      <c r="A30" s="17">
        <v>27</v>
      </c>
      <c r="B30" s="28"/>
      <c r="C30" s="9"/>
      <c r="D30" s="9"/>
      <c r="E30" s="9"/>
      <c r="F30" s="18"/>
    </row>
    <row r="31" spans="1:7" ht="15.75" customHeight="1" x14ac:dyDescent="0.25">
      <c r="A31" s="17">
        <v>28</v>
      </c>
      <c r="B31" s="28"/>
      <c r="C31" s="9"/>
      <c r="D31" s="9"/>
      <c r="E31" s="9"/>
      <c r="F31" s="18"/>
    </row>
    <row r="32" spans="1:7" ht="15.75" customHeight="1" thickBot="1" x14ac:dyDescent="0.3">
      <c r="A32" s="21">
        <v>29</v>
      </c>
      <c r="B32" s="29"/>
      <c r="C32" s="11"/>
      <c r="D32" s="11"/>
      <c r="E32" s="11"/>
      <c r="F32" s="22"/>
    </row>
    <row r="33" spans="1:7" x14ac:dyDescent="0.25">
      <c r="A33" t="s">
        <v>219</v>
      </c>
    </row>
    <row r="34" spans="1:7" ht="15.75" x14ac:dyDescent="0.25">
      <c r="A34" s="3"/>
      <c r="B34" s="24" t="s">
        <v>66</v>
      </c>
      <c r="C34" s="1"/>
      <c r="E34" s="1"/>
      <c r="F34" s="1"/>
    </row>
    <row r="35" spans="1:7" ht="15.75" thickBot="1" x14ac:dyDescent="0.3">
      <c r="A35" s="3"/>
      <c r="B35" s="2"/>
      <c r="C35" s="1"/>
      <c r="D35" s="1"/>
      <c r="E35" s="1"/>
      <c r="F35" s="1"/>
      <c r="G35" s="1"/>
    </row>
    <row r="36" spans="1:7" x14ac:dyDescent="0.25">
      <c r="A36" s="13" t="s">
        <v>2</v>
      </c>
      <c r="B36" s="14" t="s">
        <v>532</v>
      </c>
      <c r="C36" s="14" t="s">
        <v>14</v>
      </c>
      <c r="D36" s="14" t="s">
        <v>0</v>
      </c>
      <c r="E36" s="14" t="s">
        <v>15</v>
      </c>
      <c r="F36" s="16" t="s">
        <v>9</v>
      </c>
    </row>
    <row r="37" spans="1:7" ht="15.75" customHeight="1" x14ac:dyDescent="0.25">
      <c r="A37" s="38"/>
      <c r="B37" s="28"/>
      <c r="C37" s="47"/>
      <c r="D37" s="49"/>
      <c r="E37" s="25"/>
      <c r="F37" s="37"/>
    </row>
    <row r="38" spans="1:7" ht="15.75" customHeight="1" x14ac:dyDescent="0.25">
      <c r="A38" s="38"/>
      <c r="B38" s="28"/>
      <c r="C38" s="47"/>
      <c r="D38" s="49"/>
      <c r="E38" s="25"/>
      <c r="F38" s="37"/>
    </row>
    <row r="39" spans="1:7" ht="15.75" customHeight="1" x14ac:dyDescent="0.25">
      <c r="A39" s="38"/>
      <c r="B39" s="28"/>
      <c r="C39" s="47"/>
      <c r="D39" s="49"/>
      <c r="E39" s="25"/>
      <c r="F39" s="37"/>
    </row>
    <row r="40" spans="1:7" ht="15.75" customHeight="1" x14ac:dyDescent="0.25">
      <c r="A40" s="38"/>
      <c r="B40" s="28"/>
      <c r="C40" s="47"/>
      <c r="D40" s="49"/>
      <c r="E40" s="25"/>
      <c r="F40" s="37"/>
    </row>
    <row r="41" spans="1:7" ht="15.75" customHeight="1" x14ac:dyDescent="0.25">
      <c r="A41" s="38"/>
      <c r="B41" s="28"/>
      <c r="C41" s="42"/>
      <c r="D41" s="43"/>
      <c r="E41" s="25"/>
      <c r="F41" s="37"/>
    </row>
    <row r="42" spans="1:7" x14ac:dyDescent="0.25">
      <c r="A42" s="38"/>
      <c r="B42" s="28"/>
      <c r="C42" s="42"/>
      <c r="D42" s="42"/>
      <c r="E42" s="9"/>
      <c r="F42" s="37"/>
    </row>
  </sheetData>
  <mergeCells count="1">
    <mergeCell ref="A4:H4"/>
  </mergeCells>
  <conditionalFormatting sqref="G9:G18">
    <cfRule type="expression" dxfId="6" priority="6">
      <formula>LEFT(CELL("format",D9))</formula>
    </cfRule>
  </conditionalFormatting>
  <dataValidations count="1">
    <dataValidation type="list" allowBlank="1" showInputMessage="1" showErrorMessage="1" sqref="F9:F20" xr:uid="{414622E3-ABC9-459F-8295-C8C3A8A26ED0}">
      <formula1>"20,40,45,50"</formula1>
    </dataValidation>
  </dataValidations>
  <pageMargins left="0.31496062992125984" right="0.31496062992125984" top="0.74803149606299213" bottom="0.55118110236220474" header="0.31496062992125984" footer="0.31496062992125984"/>
  <pageSetup paperSize="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8BD7-79AB-4487-A6E2-5A4DE67D0ABF}">
  <dimension ref="A1:J42"/>
  <sheetViews>
    <sheetView workbookViewId="0">
      <selection activeCell="H6" sqref="H6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  <col min="8" max="8" width="14.140625" bestFit="1" customWidth="1"/>
  </cols>
  <sheetData>
    <row r="1" spans="1:10" s="1" customFormat="1" ht="24.95" customHeight="1" x14ac:dyDescent="0.25">
      <c r="A1" s="3"/>
      <c r="H1" s="91">
        <f>COUNTIF(C9:C18,"&lt;&gt;")</f>
        <v>0</v>
      </c>
      <c r="I1" s="90" t="s">
        <v>386</v>
      </c>
    </row>
    <row r="2" spans="1:10" s="1" customFormat="1" ht="24.75" customHeight="1" x14ac:dyDescent="0.25">
      <c r="A2" s="3"/>
      <c r="F2" s="91">
        <f>COUNTIFS(B24:B32,"&lt;&gt;",C24:C32,"VH")</f>
        <v>0</v>
      </c>
      <c r="G2" s="90" t="s">
        <v>25</v>
      </c>
      <c r="H2" s="91">
        <f>COUNTA(C24:C32)-F2</f>
        <v>0</v>
      </c>
      <c r="I2" s="90" t="s">
        <v>386</v>
      </c>
      <c r="J2" s="101">
        <f>COUNTIF(E19:E24,"VIDE")</f>
        <v>0</v>
      </c>
    </row>
    <row r="3" spans="1:10" s="1" customFormat="1" ht="24.95" customHeight="1" x14ac:dyDescent="0.25">
      <c r="A3" s="3"/>
    </row>
    <row r="4" spans="1:10" s="1" customFormat="1" ht="24.95" customHeight="1" x14ac:dyDescent="0.25">
      <c r="A4" s="129" t="s">
        <v>10</v>
      </c>
      <c r="B4" s="129"/>
      <c r="C4" s="129"/>
      <c r="D4" s="129"/>
      <c r="E4" s="129"/>
      <c r="F4" s="129"/>
      <c r="G4" s="129"/>
      <c r="H4" s="129"/>
    </row>
    <row r="5" spans="1:10" s="1" customFormat="1" ht="24.95" customHeight="1" x14ac:dyDescent="0.25">
      <c r="A5" s="89"/>
      <c r="B5" s="89"/>
      <c r="C5" s="89"/>
      <c r="D5" s="89"/>
      <c r="E5" s="89"/>
      <c r="F5" s="89"/>
      <c r="G5" s="89"/>
      <c r="H5" s="89"/>
    </row>
    <row r="6" spans="1:10" s="1" customFormat="1" ht="24.95" customHeight="1" x14ac:dyDescent="0.25">
      <c r="A6" s="3"/>
      <c r="B6" s="24" t="s">
        <v>3</v>
      </c>
      <c r="F6" s="1" t="s">
        <v>158</v>
      </c>
      <c r="G6" s="26">
        <v>44733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13" t="s">
        <v>2</v>
      </c>
      <c r="B8" s="14" t="s">
        <v>8</v>
      </c>
      <c r="C8" s="14" t="s">
        <v>12</v>
      </c>
      <c r="D8" s="14" t="s">
        <v>0</v>
      </c>
      <c r="E8" s="14" t="s">
        <v>1</v>
      </c>
      <c r="F8" s="16" t="s">
        <v>9</v>
      </c>
    </row>
    <row r="9" spans="1:10" s="1" customFormat="1" ht="15.75" customHeight="1" x14ac:dyDescent="0.25">
      <c r="A9" s="19">
        <v>1</v>
      </c>
      <c r="B9" s="110"/>
      <c r="C9" s="110"/>
      <c r="D9" s="76"/>
      <c r="E9" s="111"/>
      <c r="F9" s="58"/>
    </row>
    <row r="10" spans="1:10" s="1" customFormat="1" ht="15.75" customHeight="1" x14ac:dyDescent="0.25">
      <c r="A10" s="17">
        <v>2</v>
      </c>
      <c r="B10" s="107"/>
      <c r="C10" s="107"/>
      <c r="D10" s="96"/>
      <c r="E10" s="108"/>
      <c r="F10" s="59"/>
    </row>
    <row r="11" spans="1:10" s="1" customFormat="1" ht="15.75" customHeight="1" x14ac:dyDescent="0.25">
      <c r="A11" s="17">
        <v>3</v>
      </c>
      <c r="B11" s="96"/>
      <c r="C11" s="28"/>
      <c r="D11" s="44"/>
      <c r="E11" s="43"/>
      <c r="F11" s="59"/>
    </row>
    <row r="12" spans="1:10" s="1" customFormat="1" ht="15.75" customHeight="1" x14ac:dyDescent="0.25">
      <c r="A12" s="17">
        <v>4</v>
      </c>
      <c r="B12" s="109"/>
      <c r="C12" s="28"/>
      <c r="D12" s="96"/>
      <c r="E12" s="43"/>
      <c r="F12" s="59"/>
    </row>
    <row r="13" spans="1:10" s="1" customFormat="1" ht="15.75" customHeight="1" x14ac:dyDescent="0.25">
      <c r="A13" s="17">
        <v>5</v>
      </c>
      <c r="B13" s="109"/>
      <c r="C13" s="28"/>
      <c r="D13" s="44"/>
      <c r="E13" s="42"/>
      <c r="F13" s="59"/>
    </row>
    <row r="14" spans="1:10" s="1" customFormat="1" ht="15.75" customHeight="1" x14ac:dyDescent="0.25">
      <c r="A14" s="17">
        <v>6</v>
      </c>
      <c r="B14" s="96"/>
      <c r="C14" s="28"/>
      <c r="D14" s="44"/>
      <c r="E14" s="104"/>
      <c r="F14" s="59"/>
    </row>
    <row r="15" spans="1:10" s="1" customFormat="1" ht="15.75" customHeight="1" x14ac:dyDescent="0.25">
      <c r="A15" s="17">
        <v>7</v>
      </c>
      <c r="B15" s="78"/>
      <c r="C15" s="28"/>
      <c r="D15" s="44"/>
      <c r="E15" s="42"/>
      <c r="F15" s="59"/>
    </row>
    <row r="16" spans="1:10" s="1" customFormat="1" ht="15.75" customHeight="1" x14ac:dyDescent="0.25">
      <c r="A16" s="17">
        <v>8</v>
      </c>
      <c r="B16" s="78"/>
      <c r="C16" s="28"/>
      <c r="D16" s="96"/>
      <c r="E16" s="42"/>
      <c r="F16" s="59"/>
    </row>
    <row r="17" spans="1:7" s="1" customFormat="1" ht="15.75" customHeight="1" x14ac:dyDescent="0.25">
      <c r="A17" s="17">
        <v>9</v>
      </c>
      <c r="B17" s="109"/>
      <c r="C17" s="28"/>
      <c r="D17" s="96"/>
      <c r="E17" s="103"/>
      <c r="F17" s="59"/>
    </row>
    <row r="18" spans="1:7" s="1" customFormat="1" ht="15.75" customHeight="1" x14ac:dyDescent="0.25">
      <c r="A18" s="17">
        <v>10</v>
      </c>
      <c r="B18" s="109"/>
      <c r="C18" s="28"/>
      <c r="D18" s="44"/>
      <c r="E18" s="104"/>
      <c r="F18" s="59"/>
    </row>
    <row r="19" spans="1:7" ht="16.5" thickBot="1" x14ac:dyDescent="0.3">
      <c r="A19" s="21"/>
      <c r="B19" s="80"/>
      <c r="C19" s="81"/>
      <c r="D19" s="60"/>
      <c r="E19" s="60"/>
      <c r="F19" s="61"/>
      <c r="G19" s="5"/>
    </row>
    <row r="20" spans="1:7" ht="15.75" x14ac:dyDescent="0.25">
      <c r="A20" s="3"/>
      <c r="B20" s="5"/>
      <c r="C20" s="1"/>
      <c r="D20" s="65"/>
      <c r="E20" s="65"/>
      <c r="F20" s="65"/>
      <c r="G20" s="5"/>
    </row>
    <row r="21" spans="1:7" ht="15.75" x14ac:dyDescent="0.25">
      <c r="A21" s="3"/>
      <c r="B21" s="24" t="s">
        <v>4</v>
      </c>
      <c r="G21" s="5"/>
    </row>
    <row r="22" spans="1:7" ht="15.75" thickBot="1" x14ac:dyDescent="0.3">
      <c r="A22" s="3"/>
      <c r="B22" s="2"/>
      <c r="C22" s="1"/>
      <c r="D22" s="1"/>
      <c r="E22" s="1"/>
      <c r="F22" s="1"/>
      <c r="G22" s="1"/>
    </row>
    <row r="23" spans="1:7" ht="15.75" thickBot="1" x14ac:dyDescent="0.3">
      <c r="A23" s="13" t="s">
        <v>2</v>
      </c>
      <c r="B23" s="14" t="s">
        <v>532</v>
      </c>
      <c r="C23" s="14" t="s">
        <v>6</v>
      </c>
      <c r="D23" s="14" t="s">
        <v>0</v>
      </c>
      <c r="E23" s="14" t="s">
        <v>1</v>
      </c>
      <c r="F23" s="16" t="s">
        <v>9</v>
      </c>
    </row>
    <row r="24" spans="1:7" ht="15.75" customHeight="1" x14ac:dyDescent="0.25">
      <c r="A24" s="19"/>
      <c r="B24" s="27"/>
      <c r="C24" s="10"/>
      <c r="D24" s="69"/>
      <c r="E24" s="69"/>
      <c r="F24" s="20"/>
    </row>
    <row r="25" spans="1:7" ht="15.75" customHeight="1" x14ac:dyDescent="0.25">
      <c r="A25" s="17"/>
      <c r="B25" s="28"/>
      <c r="C25" s="9"/>
      <c r="D25" s="42"/>
      <c r="E25" s="42"/>
      <c r="F25" s="18"/>
    </row>
    <row r="26" spans="1:7" ht="15.75" customHeight="1" x14ac:dyDescent="0.25">
      <c r="A26" s="17"/>
      <c r="B26" s="28"/>
      <c r="C26" s="9"/>
      <c r="D26" s="42"/>
      <c r="E26" s="42"/>
      <c r="F26" s="18"/>
    </row>
    <row r="27" spans="1:7" ht="15.75" customHeight="1" x14ac:dyDescent="0.25">
      <c r="A27" s="17"/>
      <c r="B27" s="28"/>
      <c r="C27" s="9"/>
      <c r="D27" s="9"/>
      <c r="E27" s="9"/>
      <c r="F27" s="18"/>
    </row>
    <row r="28" spans="1:7" ht="15.75" customHeight="1" x14ac:dyDescent="0.25">
      <c r="A28" s="17"/>
      <c r="B28" s="28"/>
      <c r="C28" s="9"/>
      <c r="D28" s="9"/>
      <c r="E28" s="9"/>
      <c r="F28" s="18"/>
    </row>
    <row r="29" spans="1:7" ht="15.75" customHeight="1" x14ac:dyDescent="0.25">
      <c r="A29" s="17"/>
      <c r="B29" s="28"/>
      <c r="C29" s="9"/>
      <c r="D29" s="9"/>
      <c r="E29" s="9"/>
      <c r="F29" s="18"/>
    </row>
    <row r="30" spans="1:7" ht="15.75" customHeight="1" x14ac:dyDescent="0.25">
      <c r="A30" s="17">
        <v>27</v>
      </c>
      <c r="B30" s="28"/>
      <c r="C30" s="9"/>
      <c r="D30" s="9"/>
      <c r="E30" s="9"/>
      <c r="F30" s="18"/>
    </row>
    <row r="31" spans="1:7" ht="15.75" customHeight="1" x14ac:dyDescent="0.25">
      <c r="A31" s="17">
        <v>28</v>
      </c>
      <c r="B31" s="28"/>
      <c r="C31" s="9"/>
      <c r="D31" s="9"/>
      <c r="E31" s="9"/>
      <c r="F31" s="18"/>
    </row>
    <row r="32" spans="1:7" ht="15.75" customHeight="1" thickBot="1" x14ac:dyDescent="0.3">
      <c r="A32" s="21">
        <v>29</v>
      </c>
      <c r="B32" s="29"/>
      <c r="C32" s="11"/>
      <c r="D32" s="11"/>
      <c r="E32" s="11"/>
      <c r="F32" s="22"/>
    </row>
    <row r="33" spans="1:7" x14ac:dyDescent="0.25">
      <c r="A33" t="s">
        <v>219</v>
      </c>
    </row>
    <row r="34" spans="1:7" ht="15.75" x14ac:dyDescent="0.25">
      <c r="A34" s="3"/>
      <c r="B34" s="24" t="s">
        <v>66</v>
      </c>
      <c r="C34" s="1"/>
      <c r="E34" s="1"/>
      <c r="F34" s="1"/>
      <c r="G34" s="5"/>
    </row>
    <row r="35" spans="1:7" ht="15.75" thickBot="1" x14ac:dyDescent="0.3">
      <c r="A35" s="3"/>
      <c r="B35" s="2"/>
      <c r="C35" s="1"/>
      <c r="D35" s="1"/>
      <c r="E35" s="1"/>
      <c r="F35" s="1"/>
      <c r="G35" s="1"/>
    </row>
    <row r="36" spans="1:7" x14ac:dyDescent="0.25">
      <c r="A36" s="13" t="s">
        <v>2</v>
      </c>
      <c r="B36" s="14" t="s">
        <v>5</v>
      </c>
      <c r="C36" s="14" t="s">
        <v>0</v>
      </c>
      <c r="D36" s="14" t="s">
        <v>14</v>
      </c>
      <c r="E36" s="14" t="s">
        <v>15</v>
      </c>
      <c r="F36" s="16" t="s">
        <v>9</v>
      </c>
    </row>
    <row r="37" spans="1:7" ht="15.75" customHeight="1" x14ac:dyDescent="0.25">
      <c r="A37" s="38">
        <v>1</v>
      </c>
      <c r="B37" s="28">
        <v>22062026</v>
      </c>
      <c r="C37" s="47" t="s">
        <v>71</v>
      </c>
      <c r="D37" s="49" t="s">
        <v>72</v>
      </c>
      <c r="E37" s="25">
        <v>3865</v>
      </c>
      <c r="F37" s="37">
        <v>40</v>
      </c>
    </row>
    <row r="38" spans="1:7" ht="15.75" customHeight="1" x14ac:dyDescent="0.25">
      <c r="A38" s="38"/>
      <c r="B38" s="28"/>
      <c r="C38" s="47"/>
      <c r="D38" s="49"/>
      <c r="E38" s="25"/>
      <c r="F38" s="37"/>
    </row>
    <row r="39" spans="1:7" ht="15.75" customHeight="1" x14ac:dyDescent="0.25">
      <c r="A39" s="38"/>
      <c r="B39" s="28"/>
      <c r="C39" s="47"/>
      <c r="D39" s="49"/>
      <c r="E39" s="25"/>
      <c r="F39" s="37"/>
    </row>
    <row r="40" spans="1:7" ht="15.75" customHeight="1" x14ac:dyDescent="0.25">
      <c r="A40" s="38"/>
      <c r="B40" s="28"/>
      <c r="C40" s="47"/>
      <c r="D40" s="49"/>
      <c r="E40" s="25"/>
      <c r="F40" s="37"/>
    </row>
    <row r="41" spans="1:7" ht="15.75" customHeight="1" x14ac:dyDescent="0.25">
      <c r="A41" s="38"/>
      <c r="B41" s="28"/>
      <c r="C41" s="42"/>
      <c r="D41" s="43"/>
      <c r="E41" s="25"/>
      <c r="F41" s="37"/>
    </row>
    <row r="42" spans="1:7" x14ac:dyDescent="0.25">
      <c r="A42" s="38"/>
      <c r="B42" s="28"/>
      <c r="C42" s="42"/>
      <c r="D42" s="42"/>
      <c r="E42" s="9"/>
      <c r="F42" s="37"/>
    </row>
  </sheetData>
  <mergeCells count="1">
    <mergeCell ref="A4:H4"/>
  </mergeCells>
  <conditionalFormatting sqref="G9:G18">
    <cfRule type="expression" dxfId="5" priority="1">
      <formula>LEFT(CELL("format",D9))</formula>
    </cfRule>
  </conditionalFormatting>
  <dataValidations count="1">
    <dataValidation type="list" allowBlank="1" showInputMessage="1" showErrorMessage="1" sqref="F9:F20" xr:uid="{38E47402-CCCF-472B-B506-3A3F2B0B88B3}">
      <formula1>"20,40,45,50"</formula1>
    </dataValidation>
  </dataValidations>
  <pageMargins left="0.31496062992125984" right="0.31496062992125984" top="0.74803149606299213" bottom="0.55118110236220474" header="0.31496062992125984" footer="0.31496062992125984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D6F8-0691-4452-A8F8-D6D397EB500A}">
  <dimension ref="A1:J42"/>
  <sheetViews>
    <sheetView workbookViewId="0">
      <selection activeCell="F9" sqref="F9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  <col min="8" max="8" width="14.140625" bestFit="1" customWidth="1"/>
  </cols>
  <sheetData>
    <row r="1" spans="1:10" s="1" customFormat="1" ht="24.95" customHeight="1" x14ac:dyDescent="0.25">
      <c r="A1" s="3"/>
      <c r="H1" s="91">
        <f>COUNTIF(C9:C18,"&lt;&gt;")</f>
        <v>1</v>
      </c>
      <c r="I1" s="90" t="s">
        <v>386</v>
      </c>
    </row>
    <row r="2" spans="1:10" s="1" customFormat="1" ht="24.75" customHeight="1" x14ac:dyDescent="0.25">
      <c r="A2" s="3"/>
      <c r="F2" s="91">
        <f>COUNTIFS(B24:B32,"&lt;&gt;",C24:C32,"VH")</f>
        <v>0</v>
      </c>
      <c r="G2" s="90" t="s">
        <v>25</v>
      </c>
      <c r="H2" s="91">
        <f>COUNTA(C24:C32)-F2</f>
        <v>2</v>
      </c>
      <c r="I2" s="90" t="s">
        <v>386</v>
      </c>
      <c r="J2" s="101">
        <f>COUNTIF(E24:E29,"VIDE")</f>
        <v>0</v>
      </c>
    </row>
    <row r="3" spans="1:10" s="1" customFormat="1" ht="24.95" customHeight="1" x14ac:dyDescent="0.25">
      <c r="A3" s="3"/>
    </row>
    <row r="4" spans="1:10" s="1" customFormat="1" ht="24.95" customHeight="1" x14ac:dyDescent="0.25">
      <c r="A4" s="129" t="s">
        <v>10</v>
      </c>
      <c r="B4" s="129"/>
      <c r="C4" s="129"/>
      <c r="D4" s="129"/>
      <c r="E4" s="129"/>
      <c r="F4" s="129"/>
      <c r="G4" s="129"/>
      <c r="H4" s="129"/>
    </row>
    <row r="5" spans="1:10" s="1" customFormat="1" ht="24.95" customHeight="1" x14ac:dyDescent="0.25">
      <c r="A5" s="89"/>
      <c r="B5" s="89"/>
      <c r="C5" s="89"/>
      <c r="D5" s="89"/>
      <c r="E5" s="89"/>
      <c r="F5" s="89"/>
      <c r="G5" s="89"/>
      <c r="H5" s="89"/>
    </row>
    <row r="6" spans="1:10" s="1" customFormat="1" ht="24.95" customHeight="1" x14ac:dyDescent="0.25">
      <c r="A6" s="3"/>
      <c r="B6" s="24" t="s">
        <v>3</v>
      </c>
      <c r="F6" s="1" t="s">
        <v>158</v>
      </c>
      <c r="G6" s="26">
        <v>44734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13" t="s">
        <v>2</v>
      </c>
      <c r="B8" s="14" t="s">
        <v>8</v>
      </c>
      <c r="C8" s="14" t="s">
        <v>12</v>
      </c>
      <c r="D8" s="14" t="s">
        <v>0</v>
      </c>
      <c r="E8" s="14" t="s">
        <v>1</v>
      </c>
      <c r="F8" s="16" t="s">
        <v>9</v>
      </c>
      <c r="G8" s="16" t="s">
        <v>584</v>
      </c>
    </row>
    <row r="9" spans="1:10" s="1" customFormat="1" ht="15.75" customHeight="1" x14ac:dyDescent="0.25">
      <c r="A9" s="19">
        <v>1</v>
      </c>
      <c r="B9" s="107" t="s">
        <v>441</v>
      </c>
      <c r="C9" s="113">
        <v>46196</v>
      </c>
      <c r="D9" s="96" t="s">
        <v>446</v>
      </c>
      <c r="E9" s="112" t="s">
        <v>442</v>
      </c>
      <c r="F9" s="58" t="s">
        <v>583</v>
      </c>
      <c r="G9" s="127">
        <v>44736</v>
      </c>
    </row>
    <row r="10" spans="1:10" s="1" customFormat="1" ht="15.75" customHeight="1" x14ac:dyDescent="0.25">
      <c r="A10" s="17">
        <v>2</v>
      </c>
      <c r="B10" s="107"/>
      <c r="C10" s="107"/>
      <c r="D10" s="96"/>
      <c r="E10" s="108"/>
      <c r="F10" s="59"/>
    </row>
    <row r="11" spans="1:10" s="1" customFormat="1" ht="15.75" customHeight="1" x14ac:dyDescent="0.25">
      <c r="A11" s="17">
        <v>3</v>
      </c>
      <c r="B11" s="96"/>
      <c r="C11" s="28"/>
      <c r="D11" s="44"/>
      <c r="E11" s="43"/>
      <c r="F11" s="59"/>
    </row>
    <row r="12" spans="1:10" s="1" customFormat="1" ht="15.75" customHeight="1" x14ac:dyDescent="0.25">
      <c r="A12" s="17">
        <v>4</v>
      </c>
      <c r="B12" s="109"/>
      <c r="C12" s="28"/>
      <c r="D12" s="96"/>
      <c r="E12" s="43"/>
      <c r="F12" s="59"/>
    </row>
    <row r="13" spans="1:10" s="1" customFormat="1" ht="15.75" customHeight="1" x14ac:dyDescent="0.25">
      <c r="A13" s="17">
        <v>5</v>
      </c>
      <c r="B13" s="109"/>
      <c r="C13" s="28"/>
      <c r="D13" s="44"/>
      <c r="E13" s="42"/>
      <c r="F13" s="59"/>
    </row>
    <row r="14" spans="1:10" s="1" customFormat="1" ht="15.75" customHeight="1" x14ac:dyDescent="0.25">
      <c r="A14" s="17">
        <v>6</v>
      </c>
      <c r="B14" s="96"/>
      <c r="C14" s="28"/>
      <c r="D14" s="44"/>
      <c r="E14" s="104"/>
      <c r="F14" s="59"/>
    </row>
    <row r="15" spans="1:10" s="1" customFormat="1" ht="15.75" customHeight="1" x14ac:dyDescent="0.25">
      <c r="A15" s="17">
        <v>7</v>
      </c>
      <c r="B15" s="78"/>
      <c r="C15" s="28"/>
      <c r="D15" s="44"/>
      <c r="E15" s="42"/>
      <c r="F15" s="59"/>
    </row>
    <row r="16" spans="1:10" s="1" customFormat="1" ht="15.75" customHeight="1" x14ac:dyDescent="0.25">
      <c r="A16" s="17">
        <v>8</v>
      </c>
      <c r="B16" s="78"/>
      <c r="C16" s="28"/>
      <c r="D16" s="96"/>
      <c r="E16" s="42"/>
      <c r="F16" s="59"/>
    </row>
    <row r="17" spans="1:7" s="1" customFormat="1" ht="15.75" customHeight="1" x14ac:dyDescent="0.25">
      <c r="A17" s="17">
        <v>9</v>
      </c>
      <c r="B17" s="109"/>
      <c r="C17" s="28"/>
      <c r="D17" s="96"/>
      <c r="E17" s="103"/>
      <c r="F17" s="59"/>
    </row>
    <row r="18" spans="1:7" s="1" customFormat="1" ht="15.75" customHeight="1" x14ac:dyDescent="0.25">
      <c r="A18" s="17">
        <v>10</v>
      </c>
      <c r="B18" s="109"/>
      <c r="C18" s="28"/>
      <c r="D18" s="44"/>
      <c r="E18" s="104"/>
      <c r="F18" s="59"/>
    </row>
    <row r="19" spans="1:7" ht="16.5" thickBot="1" x14ac:dyDescent="0.3">
      <c r="A19" s="21"/>
      <c r="B19" s="80"/>
      <c r="C19" s="81"/>
      <c r="D19" s="60"/>
      <c r="E19" s="60"/>
      <c r="F19" s="61"/>
      <c r="G19" s="5"/>
    </row>
    <row r="20" spans="1:7" ht="15.75" x14ac:dyDescent="0.25">
      <c r="A20" s="3"/>
      <c r="B20" s="5"/>
      <c r="C20" s="1"/>
      <c r="D20" s="65"/>
      <c r="E20" s="65"/>
      <c r="F20" s="65"/>
      <c r="G20" s="5"/>
    </row>
    <row r="21" spans="1:7" ht="15.75" x14ac:dyDescent="0.25">
      <c r="A21" s="3"/>
      <c r="B21" s="24" t="s">
        <v>4</v>
      </c>
      <c r="G21" s="5"/>
    </row>
    <row r="22" spans="1:7" ht="15.75" thickBot="1" x14ac:dyDescent="0.3">
      <c r="A22" s="3"/>
      <c r="B22" s="2"/>
      <c r="C22" s="1"/>
      <c r="D22" s="1"/>
      <c r="E22" s="1"/>
      <c r="F22" s="1"/>
      <c r="G22" s="1"/>
    </row>
    <row r="23" spans="1:7" ht="15.75" thickBot="1" x14ac:dyDescent="0.3">
      <c r="A23" s="13" t="s">
        <v>2</v>
      </c>
      <c r="B23" s="14" t="s">
        <v>11</v>
      </c>
      <c r="C23" s="14" t="s">
        <v>6</v>
      </c>
      <c r="D23" s="14" t="s">
        <v>0</v>
      </c>
      <c r="E23" s="14" t="s">
        <v>1</v>
      </c>
      <c r="F23" s="16" t="s">
        <v>9</v>
      </c>
    </row>
    <row r="24" spans="1:7" ht="15.75" customHeight="1" x14ac:dyDescent="0.25">
      <c r="A24" s="19">
        <v>1</v>
      </c>
      <c r="B24" s="27">
        <v>23062026</v>
      </c>
      <c r="C24" s="10" t="s">
        <v>439</v>
      </c>
      <c r="D24" s="47" t="s">
        <v>149</v>
      </c>
      <c r="E24" s="42">
        <v>2729853</v>
      </c>
      <c r="F24" s="20">
        <v>40</v>
      </c>
    </row>
    <row r="25" spans="1:7" ht="15.75" customHeight="1" x14ac:dyDescent="0.25">
      <c r="A25" s="17">
        <v>2</v>
      </c>
      <c r="B25" s="28">
        <v>23062026</v>
      </c>
      <c r="C25" s="9" t="s">
        <v>440</v>
      </c>
      <c r="D25" s="47" t="s">
        <v>150</v>
      </c>
      <c r="E25" s="42">
        <v>2697175</v>
      </c>
      <c r="F25" s="18">
        <v>40</v>
      </c>
    </row>
    <row r="26" spans="1:7" ht="15.75" customHeight="1" x14ac:dyDescent="0.25">
      <c r="A26" s="17"/>
      <c r="B26" s="28"/>
      <c r="C26" s="9"/>
      <c r="D26" s="42"/>
      <c r="E26" s="42"/>
      <c r="F26" s="18"/>
    </row>
    <row r="27" spans="1:7" ht="15.75" customHeight="1" x14ac:dyDescent="0.25">
      <c r="A27" s="17"/>
      <c r="B27" s="28"/>
      <c r="C27" s="9"/>
      <c r="D27" s="9"/>
      <c r="E27" s="9"/>
      <c r="F27" s="18"/>
    </row>
    <row r="28" spans="1:7" ht="15.75" customHeight="1" x14ac:dyDescent="0.25">
      <c r="A28" s="17"/>
      <c r="B28" s="28"/>
      <c r="C28" s="9"/>
      <c r="D28" s="9"/>
      <c r="E28" s="9"/>
      <c r="F28" s="18"/>
    </row>
    <row r="29" spans="1:7" ht="15.75" customHeight="1" x14ac:dyDescent="0.25">
      <c r="A29" s="17"/>
      <c r="B29" s="28"/>
      <c r="C29" s="9"/>
      <c r="D29" s="9"/>
      <c r="E29" s="9"/>
      <c r="F29" s="18"/>
    </row>
    <row r="30" spans="1:7" ht="15.75" customHeight="1" x14ac:dyDescent="0.25">
      <c r="A30" s="17" t="s">
        <v>445</v>
      </c>
      <c r="B30" s="28"/>
      <c r="C30" s="9"/>
      <c r="D30" s="9"/>
      <c r="E30" s="9"/>
      <c r="F30" s="18"/>
    </row>
    <row r="31" spans="1:7" ht="15.75" customHeight="1" x14ac:dyDescent="0.25">
      <c r="A31" s="17"/>
      <c r="B31" s="28"/>
      <c r="C31" s="9"/>
      <c r="D31" s="9"/>
      <c r="E31" s="9"/>
      <c r="F31" s="18"/>
    </row>
    <row r="32" spans="1:7" ht="15.75" customHeight="1" thickBot="1" x14ac:dyDescent="0.3">
      <c r="A32" s="21"/>
      <c r="B32" s="29"/>
      <c r="C32" s="11"/>
      <c r="D32" s="11"/>
      <c r="E32" s="11"/>
      <c r="F32" s="22"/>
    </row>
    <row r="33" spans="1:7" x14ac:dyDescent="0.25">
      <c r="A33" t="s">
        <v>219</v>
      </c>
    </row>
    <row r="34" spans="1:7" ht="15.75" x14ac:dyDescent="0.25">
      <c r="A34" s="3"/>
      <c r="B34" s="24" t="s">
        <v>66</v>
      </c>
      <c r="C34" s="1"/>
      <c r="E34" s="1"/>
      <c r="F34" s="1"/>
      <c r="G34" s="5"/>
    </row>
    <row r="35" spans="1:7" ht="15.75" thickBot="1" x14ac:dyDescent="0.3">
      <c r="A35" s="3"/>
      <c r="B35" s="2"/>
      <c r="C35" s="1"/>
      <c r="D35" s="1"/>
      <c r="E35" s="1"/>
      <c r="F35" s="1"/>
      <c r="G35" s="1"/>
    </row>
    <row r="36" spans="1:7" x14ac:dyDescent="0.25">
      <c r="A36" s="13" t="s">
        <v>2</v>
      </c>
      <c r="B36" s="14" t="s">
        <v>532</v>
      </c>
      <c r="C36" s="14" t="s">
        <v>0</v>
      </c>
      <c r="D36" s="14" t="s">
        <v>14</v>
      </c>
      <c r="E36" s="14" t="s">
        <v>15</v>
      </c>
      <c r="F36" s="16" t="s">
        <v>9</v>
      </c>
    </row>
    <row r="37" spans="1:7" ht="15.75" customHeight="1" x14ac:dyDescent="0.25">
      <c r="A37" s="38">
        <v>1</v>
      </c>
      <c r="B37" s="28">
        <v>23062026</v>
      </c>
      <c r="C37" s="47" t="s">
        <v>443</v>
      </c>
      <c r="D37" s="49" t="s">
        <v>444</v>
      </c>
      <c r="E37" s="25">
        <v>3867</v>
      </c>
      <c r="F37" s="37">
        <v>40</v>
      </c>
    </row>
    <row r="38" spans="1:7" ht="15.75" customHeight="1" x14ac:dyDescent="0.25">
      <c r="A38" s="38"/>
      <c r="B38" s="28"/>
      <c r="C38" s="47"/>
      <c r="D38" s="49"/>
      <c r="E38" s="25"/>
      <c r="F38" s="37"/>
    </row>
    <row r="39" spans="1:7" ht="15.75" customHeight="1" x14ac:dyDescent="0.25">
      <c r="A39" s="38"/>
      <c r="B39" s="28"/>
      <c r="C39" s="47"/>
      <c r="D39" s="49"/>
      <c r="E39" s="25"/>
      <c r="F39" s="37"/>
    </row>
    <row r="40" spans="1:7" ht="15.75" customHeight="1" x14ac:dyDescent="0.25">
      <c r="A40" s="38"/>
      <c r="B40" s="28"/>
      <c r="C40" s="47"/>
      <c r="D40" s="49"/>
      <c r="E40" s="25"/>
      <c r="F40" s="37"/>
    </row>
    <row r="41" spans="1:7" ht="15.75" customHeight="1" x14ac:dyDescent="0.25">
      <c r="A41" s="38"/>
      <c r="B41" s="28"/>
      <c r="C41" s="42"/>
      <c r="D41" s="43"/>
      <c r="E41" s="25"/>
      <c r="F41" s="37"/>
    </row>
    <row r="42" spans="1:7" x14ac:dyDescent="0.25">
      <c r="A42" s="38"/>
      <c r="B42" s="28"/>
      <c r="C42" s="42"/>
      <c r="D42" s="42"/>
      <c r="E42" s="9"/>
      <c r="F42" s="37"/>
    </row>
  </sheetData>
  <mergeCells count="1">
    <mergeCell ref="A4:H4"/>
  </mergeCells>
  <conditionalFormatting sqref="G9:G18">
    <cfRule type="expression" dxfId="4" priority="7">
      <formula>LEFT(CELL("format",E9))</formula>
    </cfRule>
  </conditionalFormatting>
  <dataValidations count="2">
    <dataValidation type="list" allowBlank="1" showInputMessage="1" showErrorMessage="1" sqref="F10:F20" xr:uid="{2F93E60E-B70E-43C4-A418-1E68E915E7BA}">
      <formula1>"20,40,45,50"</formula1>
    </dataValidation>
    <dataValidation type="list" allowBlank="1" showInputMessage="1" showErrorMessage="1" sqref="F9" xr:uid="{622D1478-6516-49BA-86E7-22BE7C1773A7}">
      <formula1>"20,40,45,50,GROUPAGE"</formula1>
    </dataValidation>
  </dataValidations>
  <pageMargins left="0.31496062992125984" right="0.31496062992125984" top="0.74803149606299213" bottom="0.55118110236220474" header="0.31496062992125984" footer="0.31496062992125984"/>
  <pageSetup paperSize="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350C-82DE-4E7C-8D67-3DDC5AAD0ACA}">
  <dimension ref="A1:J42"/>
  <sheetViews>
    <sheetView workbookViewId="0">
      <selection activeCell="G7" sqref="G7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  <col min="8" max="8" width="14.140625" bestFit="1" customWidth="1"/>
  </cols>
  <sheetData>
    <row r="1" spans="1:10" s="1" customFormat="1" ht="24.95" customHeight="1" x14ac:dyDescent="0.25">
      <c r="A1" s="3"/>
      <c r="H1" s="91">
        <f>COUNTIF(C9:C16,"&lt;&gt;")</f>
        <v>0</v>
      </c>
      <c r="I1" s="90" t="s">
        <v>386</v>
      </c>
    </row>
    <row r="2" spans="1:10" s="1" customFormat="1" ht="24.75" customHeight="1" x14ac:dyDescent="0.25">
      <c r="A2" s="3"/>
      <c r="F2" s="91">
        <f>COUNTIFS(B22:B32,"&lt;&gt;",C22:C32,"VH")</f>
        <v>3</v>
      </c>
      <c r="G2" s="90" t="s">
        <v>25</v>
      </c>
      <c r="H2" s="91">
        <f>COUNTA(C22:C32)-F2</f>
        <v>8</v>
      </c>
      <c r="I2" s="90" t="s">
        <v>386</v>
      </c>
      <c r="J2" s="101">
        <f>COUNTIF(E22:E27,"VIDE")</f>
        <v>0</v>
      </c>
    </row>
    <row r="3" spans="1:10" s="1" customFormat="1" ht="24.95" customHeight="1" x14ac:dyDescent="0.25">
      <c r="A3" s="3"/>
    </row>
    <row r="4" spans="1:10" s="1" customFormat="1" ht="24.95" customHeight="1" x14ac:dyDescent="0.25">
      <c r="A4" s="129" t="s">
        <v>10</v>
      </c>
      <c r="B4" s="129"/>
      <c r="C4" s="129"/>
      <c r="D4" s="129"/>
      <c r="E4" s="129"/>
      <c r="F4" s="129"/>
      <c r="G4" s="129"/>
      <c r="H4" s="129"/>
    </row>
    <row r="5" spans="1:10" s="1" customFormat="1" ht="24.95" customHeight="1" x14ac:dyDescent="0.25">
      <c r="A5" s="89"/>
      <c r="B5" s="89"/>
      <c r="C5" s="89"/>
      <c r="D5" s="89"/>
      <c r="E5" s="89"/>
      <c r="F5" s="89"/>
      <c r="G5" s="89"/>
      <c r="H5" s="89"/>
    </row>
    <row r="6" spans="1:10" s="1" customFormat="1" ht="24.95" customHeight="1" x14ac:dyDescent="0.25">
      <c r="A6" s="3"/>
      <c r="B6" s="24" t="s">
        <v>3</v>
      </c>
      <c r="F6" s="1" t="s">
        <v>158</v>
      </c>
      <c r="G6" s="26">
        <v>44735</v>
      </c>
    </row>
    <row r="7" spans="1:10" s="1" customFormat="1" thickBot="1" x14ac:dyDescent="0.3">
      <c r="A7" s="3"/>
      <c r="B7" s="2"/>
      <c r="G7" s="1">
        <v>3</v>
      </c>
    </row>
    <row r="8" spans="1:10" s="1" customFormat="1" ht="15.75" customHeight="1" thickBot="1" x14ac:dyDescent="0.3">
      <c r="A8" s="13" t="s">
        <v>2</v>
      </c>
      <c r="B8" s="14" t="s">
        <v>8</v>
      </c>
      <c r="C8" s="14" t="s">
        <v>12</v>
      </c>
      <c r="D8" s="14" t="s">
        <v>0</v>
      </c>
      <c r="E8" s="14" t="s">
        <v>1</v>
      </c>
      <c r="F8" s="16" t="s">
        <v>9</v>
      </c>
    </row>
    <row r="9" spans="1:10" s="1" customFormat="1" ht="15.75" customHeight="1" x14ac:dyDescent="0.25">
      <c r="A9" s="19">
        <v>1</v>
      </c>
      <c r="B9" s="107"/>
      <c r="C9" s="113"/>
      <c r="D9" s="96"/>
      <c r="E9" s="112"/>
      <c r="F9" s="58"/>
    </row>
    <row r="10" spans="1:10" s="1" customFormat="1" ht="15.75" customHeight="1" x14ac:dyDescent="0.25">
      <c r="A10" s="17">
        <v>2</v>
      </c>
      <c r="B10" s="107"/>
      <c r="C10" s="107"/>
      <c r="D10" s="96"/>
      <c r="E10" s="108"/>
      <c r="F10" s="59"/>
    </row>
    <row r="11" spans="1:10" s="1" customFormat="1" ht="15.75" customHeight="1" x14ac:dyDescent="0.25">
      <c r="A11" s="17">
        <v>3</v>
      </c>
      <c r="B11" s="96"/>
      <c r="C11" s="28"/>
      <c r="D11" s="44"/>
      <c r="E11" s="43"/>
      <c r="F11" s="59"/>
    </row>
    <row r="12" spans="1:10" s="1" customFormat="1" ht="15.75" customHeight="1" x14ac:dyDescent="0.25">
      <c r="A12" s="17">
        <v>4</v>
      </c>
      <c r="B12" s="109"/>
      <c r="C12" s="28"/>
      <c r="D12" s="96"/>
      <c r="E12" s="43"/>
      <c r="F12" s="59"/>
    </row>
    <row r="13" spans="1:10" s="1" customFormat="1" ht="15.75" customHeight="1" x14ac:dyDescent="0.25">
      <c r="A13" s="17">
        <v>5</v>
      </c>
      <c r="B13" s="109"/>
      <c r="C13" s="28"/>
      <c r="D13" s="44"/>
      <c r="E13" s="42"/>
      <c r="F13" s="59"/>
    </row>
    <row r="14" spans="1:10" s="1" customFormat="1" ht="15.75" customHeight="1" x14ac:dyDescent="0.25">
      <c r="A14" s="17">
        <v>6</v>
      </c>
      <c r="B14" s="96"/>
      <c r="C14" s="28"/>
      <c r="D14" s="44"/>
      <c r="E14" s="104"/>
      <c r="F14" s="59"/>
    </row>
    <row r="15" spans="1:10" s="1" customFormat="1" ht="15.75" customHeight="1" x14ac:dyDescent="0.25">
      <c r="A15" s="17">
        <v>7</v>
      </c>
      <c r="B15" s="78"/>
      <c r="C15" s="28"/>
      <c r="D15" s="44"/>
      <c r="E15" s="42"/>
      <c r="F15" s="59"/>
    </row>
    <row r="16" spans="1:10" s="1" customFormat="1" ht="15.75" customHeight="1" x14ac:dyDescent="0.25">
      <c r="A16" s="17">
        <v>8</v>
      </c>
      <c r="B16" s="78"/>
      <c r="C16" s="28"/>
      <c r="D16" s="96"/>
      <c r="E16" s="42"/>
      <c r="F16" s="59"/>
    </row>
    <row r="17" spans="1:7" ht="16.5" thickBot="1" x14ac:dyDescent="0.3">
      <c r="A17" s="21"/>
      <c r="B17" s="80"/>
      <c r="C17" s="81"/>
      <c r="D17" s="60"/>
      <c r="E17" s="60"/>
      <c r="F17" s="61"/>
      <c r="G17" s="5"/>
    </row>
    <row r="18" spans="1:7" ht="15.75" x14ac:dyDescent="0.25">
      <c r="A18" s="3"/>
      <c r="B18" s="5"/>
      <c r="C18" s="1"/>
      <c r="D18" s="65"/>
      <c r="E18" s="65"/>
      <c r="F18" s="65"/>
      <c r="G18" s="5"/>
    </row>
    <row r="19" spans="1:7" ht="15.75" x14ac:dyDescent="0.25">
      <c r="A19" s="3"/>
      <c r="B19" s="24" t="s">
        <v>4</v>
      </c>
      <c r="G19" s="5"/>
    </row>
    <row r="20" spans="1:7" ht="15.75" thickBot="1" x14ac:dyDescent="0.3">
      <c r="A20" s="3"/>
      <c r="B20" s="2"/>
      <c r="C20" s="1"/>
      <c r="D20" s="1"/>
      <c r="E20" s="1"/>
      <c r="F20" s="1"/>
      <c r="G20" s="1"/>
    </row>
    <row r="21" spans="1:7" ht="15.75" thickBot="1" x14ac:dyDescent="0.3">
      <c r="A21" s="13" t="s">
        <v>2</v>
      </c>
      <c r="B21" s="14" t="s">
        <v>11</v>
      </c>
      <c r="C21" s="14" t="s">
        <v>6</v>
      </c>
      <c r="D21" s="14" t="s">
        <v>0</v>
      </c>
      <c r="E21" s="14" t="s">
        <v>1</v>
      </c>
      <c r="F21" s="16" t="s">
        <v>9</v>
      </c>
    </row>
    <row r="22" spans="1:7" ht="15.75" customHeight="1" x14ac:dyDescent="0.25">
      <c r="A22" s="19">
        <v>1</v>
      </c>
      <c r="B22" s="27">
        <v>24062026</v>
      </c>
      <c r="C22" s="10" t="s">
        <v>456</v>
      </c>
      <c r="D22" s="56" t="s">
        <v>71</v>
      </c>
      <c r="E22" s="56">
        <v>3865</v>
      </c>
      <c r="F22" s="20">
        <v>40</v>
      </c>
    </row>
    <row r="23" spans="1:7" ht="15.75" customHeight="1" x14ac:dyDescent="0.25">
      <c r="A23" s="17">
        <v>2</v>
      </c>
      <c r="B23" s="28">
        <v>24062026</v>
      </c>
      <c r="C23" s="9" t="s">
        <v>463</v>
      </c>
      <c r="D23" s="42" t="s">
        <v>165</v>
      </c>
      <c r="E23" s="25">
        <v>3875</v>
      </c>
      <c r="F23" s="18">
        <v>40</v>
      </c>
    </row>
    <row r="24" spans="1:7" ht="15.75" customHeight="1" x14ac:dyDescent="0.25">
      <c r="A24" s="17">
        <v>3</v>
      </c>
      <c r="B24" s="28">
        <v>24062026</v>
      </c>
      <c r="C24" s="9" t="s">
        <v>464</v>
      </c>
      <c r="D24" s="42" t="s">
        <v>461</v>
      </c>
      <c r="E24" s="9">
        <v>3874</v>
      </c>
      <c r="F24" s="18">
        <v>40</v>
      </c>
    </row>
    <row r="25" spans="1:7" ht="15.75" customHeight="1" x14ac:dyDescent="0.25">
      <c r="A25" s="17">
        <v>4</v>
      </c>
      <c r="B25" s="28">
        <v>24062026</v>
      </c>
      <c r="C25" s="9" t="s">
        <v>465</v>
      </c>
      <c r="D25" s="42" t="s">
        <v>168</v>
      </c>
      <c r="E25" s="9">
        <v>3873</v>
      </c>
      <c r="F25" s="18">
        <v>40</v>
      </c>
    </row>
    <row r="26" spans="1:7" ht="15.75" customHeight="1" x14ac:dyDescent="0.25">
      <c r="A26" s="17">
        <v>5</v>
      </c>
      <c r="B26" s="28">
        <v>24062026</v>
      </c>
      <c r="C26" s="9" t="s">
        <v>466</v>
      </c>
      <c r="D26" s="42" t="s">
        <v>462</v>
      </c>
      <c r="E26" s="9">
        <v>3876</v>
      </c>
      <c r="F26" s="18">
        <v>40</v>
      </c>
    </row>
    <row r="27" spans="1:7" ht="15.75" customHeight="1" x14ac:dyDescent="0.25">
      <c r="A27" s="17">
        <v>6</v>
      </c>
      <c r="B27" s="28">
        <v>24062026</v>
      </c>
      <c r="C27" s="9" t="s">
        <v>467</v>
      </c>
      <c r="D27" s="42" t="s">
        <v>172</v>
      </c>
      <c r="E27" s="9">
        <v>3872</v>
      </c>
      <c r="F27" s="18">
        <v>40</v>
      </c>
    </row>
    <row r="28" spans="1:7" ht="15.75" customHeight="1" x14ac:dyDescent="0.25">
      <c r="A28" s="17">
        <v>7</v>
      </c>
      <c r="B28" s="28">
        <v>24062026</v>
      </c>
      <c r="C28" s="9" t="s">
        <v>468</v>
      </c>
      <c r="D28" s="42" t="s">
        <v>174</v>
      </c>
      <c r="E28" s="9">
        <v>3877</v>
      </c>
      <c r="F28" s="18">
        <v>40</v>
      </c>
    </row>
    <row r="29" spans="1:7" ht="15.75" customHeight="1" x14ac:dyDescent="0.25">
      <c r="A29" s="17">
        <v>8</v>
      </c>
      <c r="B29" s="28">
        <v>24062026</v>
      </c>
      <c r="C29" s="9" t="s">
        <v>469</v>
      </c>
      <c r="D29" s="42" t="s">
        <v>176</v>
      </c>
      <c r="E29" s="9">
        <v>3871</v>
      </c>
      <c r="F29" s="18">
        <v>40</v>
      </c>
    </row>
    <row r="30" spans="1:7" ht="15.75" customHeight="1" x14ac:dyDescent="0.25">
      <c r="A30" s="30"/>
      <c r="B30" s="28">
        <v>24062026</v>
      </c>
      <c r="C30" s="31" t="s">
        <v>25</v>
      </c>
      <c r="D30" s="45" t="s">
        <v>470</v>
      </c>
      <c r="E30" s="31" t="s">
        <v>590</v>
      </c>
      <c r="F30" s="32"/>
    </row>
    <row r="31" spans="1:7" ht="15.75" customHeight="1" x14ac:dyDescent="0.25">
      <c r="A31" s="30"/>
      <c r="B31" s="28">
        <v>24062026</v>
      </c>
      <c r="C31" s="31" t="s">
        <v>25</v>
      </c>
      <c r="D31" s="45" t="s">
        <v>471</v>
      </c>
      <c r="E31" s="31" t="s">
        <v>591</v>
      </c>
      <c r="F31" s="32"/>
    </row>
    <row r="32" spans="1:7" ht="15.75" customHeight="1" thickBot="1" x14ac:dyDescent="0.3">
      <c r="A32" s="21"/>
      <c r="B32" s="28">
        <v>24062026</v>
      </c>
      <c r="C32" s="11" t="s">
        <v>25</v>
      </c>
      <c r="D32" s="11" t="s">
        <v>472</v>
      </c>
      <c r="E32" s="11" t="s">
        <v>591</v>
      </c>
      <c r="F32" s="22"/>
    </row>
    <row r="33" spans="1:7" x14ac:dyDescent="0.25">
      <c r="A33" t="s">
        <v>219</v>
      </c>
    </row>
    <row r="34" spans="1:7" ht="15.75" x14ac:dyDescent="0.25">
      <c r="A34" s="3"/>
      <c r="B34" s="24" t="s">
        <v>66</v>
      </c>
      <c r="C34" s="1"/>
      <c r="E34" s="1"/>
      <c r="F34" s="1"/>
      <c r="G34" s="5"/>
    </row>
    <row r="35" spans="1:7" ht="15.75" thickBot="1" x14ac:dyDescent="0.3">
      <c r="A35" s="3"/>
      <c r="B35" s="2"/>
      <c r="C35" s="1"/>
      <c r="D35" s="1"/>
      <c r="E35" s="1"/>
      <c r="F35" s="1"/>
      <c r="G35" s="1"/>
    </row>
    <row r="36" spans="1:7" x14ac:dyDescent="0.25">
      <c r="A36" s="13" t="s">
        <v>2</v>
      </c>
      <c r="B36" s="14" t="s">
        <v>532</v>
      </c>
      <c r="C36" s="14" t="s">
        <v>0</v>
      </c>
      <c r="D36" s="14" t="s">
        <v>14</v>
      </c>
      <c r="E36" s="14" t="s">
        <v>15</v>
      </c>
      <c r="F36" s="16" t="s">
        <v>9</v>
      </c>
    </row>
    <row r="37" spans="1:7" ht="15.75" customHeight="1" x14ac:dyDescent="0.25">
      <c r="A37" s="38">
        <v>1</v>
      </c>
      <c r="B37" s="28">
        <v>24062026</v>
      </c>
      <c r="C37" s="47" t="s">
        <v>457</v>
      </c>
      <c r="D37" s="49" t="s">
        <v>458</v>
      </c>
      <c r="E37" s="25">
        <v>3870</v>
      </c>
      <c r="F37" s="37"/>
    </row>
    <row r="38" spans="1:7" ht="15.75" customHeight="1" x14ac:dyDescent="0.25">
      <c r="A38" s="38">
        <v>2</v>
      </c>
      <c r="B38" s="28">
        <v>24062026</v>
      </c>
      <c r="C38" s="47" t="s">
        <v>459</v>
      </c>
      <c r="D38" s="49" t="s">
        <v>460</v>
      </c>
      <c r="E38" s="25">
        <v>3868</v>
      </c>
      <c r="F38" s="37"/>
    </row>
    <row r="39" spans="1:7" ht="15.75" customHeight="1" x14ac:dyDescent="0.25">
      <c r="A39" s="38">
        <v>3</v>
      </c>
      <c r="B39" s="28">
        <v>24062026</v>
      </c>
      <c r="C39" s="47" t="s">
        <v>137</v>
      </c>
      <c r="D39" s="49" t="s">
        <v>138</v>
      </c>
      <c r="E39" s="25">
        <v>3869</v>
      </c>
      <c r="F39" s="37"/>
    </row>
    <row r="40" spans="1:7" ht="15.75" customHeight="1" x14ac:dyDescent="0.25">
      <c r="A40" s="38"/>
      <c r="B40" s="28"/>
      <c r="C40" s="47"/>
      <c r="D40" s="49"/>
      <c r="E40" s="25"/>
      <c r="F40" s="37"/>
    </row>
    <row r="41" spans="1:7" ht="15.75" customHeight="1" x14ac:dyDescent="0.25">
      <c r="A41" s="38"/>
      <c r="B41" s="28"/>
      <c r="C41" s="42"/>
      <c r="D41" s="43"/>
      <c r="E41" s="25"/>
      <c r="F41" s="37"/>
    </row>
    <row r="42" spans="1:7" x14ac:dyDescent="0.25">
      <c r="A42" s="38"/>
      <c r="B42" s="28"/>
      <c r="C42" s="42"/>
      <c r="D42" s="42"/>
      <c r="E42" s="9"/>
      <c r="F42" s="37"/>
    </row>
  </sheetData>
  <mergeCells count="1">
    <mergeCell ref="A4:H4"/>
  </mergeCells>
  <conditionalFormatting sqref="G9:G16">
    <cfRule type="expression" dxfId="3" priority="1">
      <formula>LEFT(CELL("format",E9))</formula>
    </cfRule>
  </conditionalFormatting>
  <dataValidations count="1">
    <dataValidation type="list" allowBlank="1" showInputMessage="1" showErrorMessage="1" sqref="F9:F18" xr:uid="{86BA3115-93C5-4AA1-B4C8-6D3A524CAD15}">
      <formula1>"20,40,45,50"</formula1>
    </dataValidation>
  </dataValidations>
  <pageMargins left="0.31496062992125984" right="0.31496062992125984" top="0.35433070866141736" bottom="0.35433070866141736" header="0.31496062992125984" footer="0.31496062992125984"/>
  <pageSetup paperSize="9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85EF-4DCD-4BC5-8893-7773F3EA525A}">
  <dimension ref="A1:J44"/>
  <sheetViews>
    <sheetView workbookViewId="0">
      <selection activeCell="G7" sqref="G7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  <col min="8" max="8" width="14.140625" bestFit="1" customWidth="1"/>
  </cols>
  <sheetData>
    <row r="1" spans="1:10" s="1" customFormat="1" ht="24.95" customHeight="1" x14ac:dyDescent="0.25">
      <c r="A1" s="3"/>
      <c r="H1" s="91">
        <f>COUNTIF(C9:C18,"&lt;&gt;")</f>
        <v>3</v>
      </c>
      <c r="I1" s="90" t="s">
        <v>386</v>
      </c>
    </row>
    <row r="2" spans="1:10" s="1" customFormat="1" ht="24.75" customHeight="1" x14ac:dyDescent="0.25">
      <c r="A2" s="3"/>
      <c r="F2" s="91">
        <f>COUNTIFS(B24:B34,"&lt;&gt;",C24:C34,"VH")</f>
        <v>0</v>
      </c>
      <c r="G2" s="90" t="s">
        <v>25</v>
      </c>
      <c r="H2" s="91">
        <f>COUNTA(C24:C34)-F2</f>
        <v>1</v>
      </c>
      <c r="I2" s="90" t="s">
        <v>386</v>
      </c>
      <c r="J2" s="101">
        <f>COUNTIF(E24:E29,"VIDE")</f>
        <v>0</v>
      </c>
    </row>
    <row r="3" spans="1:10" s="1" customFormat="1" ht="24.95" customHeight="1" x14ac:dyDescent="0.25">
      <c r="A3" s="3"/>
    </row>
    <row r="4" spans="1:10" s="1" customFormat="1" ht="24.95" customHeight="1" x14ac:dyDescent="0.25">
      <c r="A4" s="129" t="s">
        <v>10</v>
      </c>
      <c r="B4" s="129"/>
      <c r="C4" s="129"/>
      <c r="D4" s="129"/>
      <c r="E4" s="129"/>
      <c r="F4" s="129"/>
      <c r="G4" s="129"/>
      <c r="H4" s="129"/>
    </row>
    <row r="5" spans="1:10" s="1" customFormat="1" ht="24.95" customHeight="1" x14ac:dyDescent="0.25">
      <c r="A5" s="89"/>
      <c r="B5" s="89"/>
      <c r="C5" s="89"/>
      <c r="D5" s="89"/>
      <c r="E5" s="89"/>
      <c r="F5" s="89"/>
      <c r="G5" s="89"/>
      <c r="H5" s="89"/>
    </row>
    <row r="6" spans="1:10" s="1" customFormat="1" ht="24.95" customHeight="1" x14ac:dyDescent="0.25">
      <c r="A6" s="3"/>
      <c r="B6" s="24" t="s">
        <v>3</v>
      </c>
      <c r="F6" s="1" t="s">
        <v>158</v>
      </c>
      <c r="G6" s="26">
        <v>44739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13" t="s">
        <v>2</v>
      </c>
      <c r="B8" s="14" t="s">
        <v>8</v>
      </c>
      <c r="C8" s="14" t="s">
        <v>12</v>
      </c>
      <c r="D8" s="14" t="s">
        <v>0</v>
      </c>
      <c r="E8" s="14" t="s">
        <v>1</v>
      </c>
      <c r="F8" s="16" t="s">
        <v>9</v>
      </c>
    </row>
    <row r="9" spans="1:10" s="1" customFormat="1" ht="15.75" customHeight="1" x14ac:dyDescent="0.25">
      <c r="A9" s="19">
        <v>1</v>
      </c>
      <c r="B9" s="130" t="s">
        <v>473</v>
      </c>
      <c r="C9" s="27">
        <v>28062026</v>
      </c>
      <c r="D9" s="76" t="s">
        <v>474</v>
      </c>
      <c r="E9" s="111" t="s">
        <v>475</v>
      </c>
      <c r="F9" s="115">
        <v>40</v>
      </c>
    </row>
    <row r="10" spans="1:10" s="1" customFormat="1" ht="15.75" customHeight="1" x14ac:dyDescent="0.25">
      <c r="A10" s="17">
        <v>2</v>
      </c>
      <c r="B10" s="131"/>
      <c r="C10" s="28">
        <v>28062026</v>
      </c>
      <c r="D10" s="96" t="s">
        <v>476</v>
      </c>
      <c r="E10" s="108" t="s">
        <v>477</v>
      </c>
      <c r="F10" s="116">
        <v>40</v>
      </c>
    </row>
    <row r="11" spans="1:10" s="1" customFormat="1" ht="15.75" customHeight="1" x14ac:dyDescent="0.25">
      <c r="A11" s="17">
        <v>3</v>
      </c>
      <c r="B11" s="41" t="s">
        <v>478</v>
      </c>
      <c r="C11" s="28">
        <v>28062026</v>
      </c>
      <c r="D11" s="44" t="s">
        <v>479</v>
      </c>
      <c r="E11" s="43">
        <v>2103860</v>
      </c>
      <c r="F11" s="116">
        <v>40</v>
      </c>
    </row>
    <row r="12" spans="1:10" s="1" customFormat="1" ht="15.75" customHeight="1" x14ac:dyDescent="0.25">
      <c r="A12" s="17">
        <v>4</v>
      </c>
      <c r="B12" s="109"/>
      <c r="C12" s="28"/>
      <c r="D12" s="96"/>
      <c r="E12" s="43"/>
      <c r="F12" s="59"/>
    </row>
    <row r="13" spans="1:10" s="1" customFormat="1" ht="15.75" customHeight="1" x14ac:dyDescent="0.25">
      <c r="A13" s="17"/>
      <c r="B13" s="109"/>
      <c r="C13" s="28"/>
      <c r="D13" s="44"/>
      <c r="E13" s="42"/>
      <c r="F13" s="59"/>
    </row>
    <row r="14" spans="1:10" s="1" customFormat="1" ht="15.75" customHeight="1" x14ac:dyDescent="0.25">
      <c r="A14" s="17"/>
      <c r="B14" s="96"/>
      <c r="C14" s="28"/>
      <c r="D14" s="44"/>
      <c r="E14" s="104"/>
      <c r="F14" s="59"/>
    </row>
    <row r="15" spans="1:10" s="1" customFormat="1" ht="15.75" customHeight="1" x14ac:dyDescent="0.25">
      <c r="A15" s="17"/>
      <c r="B15" s="78"/>
      <c r="C15" s="28"/>
      <c r="D15" s="44"/>
      <c r="E15" s="42"/>
      <c r="F15" s="59"/>
    </row>
    <row r="16" spans="1:10" s="1" customFormat="1" ht="15.75" customHeight="1" x14ac:dyDescent="0.25">
      <c r="A16" s="17"/>
      <c r="B16" s="78"/>
      <c r="C16" s="28"/>
      <c r="D16" s="96"/>
      <c r="E16" s="42"/>
      <c r="F16" s="59"/>
    </row>
    <row r="17" spans="1:7" s="1" customFormat="1" ht="15.75" customHeight="1" x14ac:dyDescent="0.25">
      <c r="A17" s="17"/>
      <c r="B17" s="109"/>
      <c r="C17" s="28"/>
      <c r="D17" s="96"/>
      <c r="E17" s="103"/>
      <c r="F17" s="59"/>
    </row>
    <row r="18" spans="1:7" s="1" customFormat="1" ht="15.75" customHeight="1" x14ac:dyDescent="0.25">
      <c r="A18" s="17"/>
      <c r="B18" s="109"/>
      <c r="C18" s="28"/>
      <c r="D18" s="44"/>
      <c r="E18" s="104"/>
      <c r="F18" s="59"/>
    </row>
    <row r="19" spans="1:7" ht="16.5" thickBot="1" x14ac:dyDescent="0.3">
      <c r="A19" s="21"/>
      <c r="B19" s="80"/>
      <c r="C19" s="81"/>
      <c r="D19" s="60"/>
      <c r="E19" s="60"/>
      <c r="F19" s="61"/>
      <c r="G19" s="5"/>
    </row>
    <row r="20" spans="1:7" ht="15.75" x14ac:dyDescent="0.25">
      <c r="A20" s="3"/>
      <c r="B20" s="5"/>
      <c r="C20" s="1"/>
      <c r="D20" s="65"/>
      <c r="E20" s="65"/>
      <c r="F20" s="65"/>
      <c r="G20" s="5"/>
    </row>
    <row r="21" spans="1:7" ht="15.75" x14ac:dyDescent="0.25">
      <c r="A21" s="3"/>
      <c r="B21" s="24" t="s">
        <v>4</v>
      </c>
      <c r="G21" s="5"/>
    </row>
    <row r="22" spans="1:7" ht="15.75" thickBot="1" x14ac:dyDescent="0.3">
      <c r="A22" s="3"/>
      <c r="B22" s="2"/>
      <c r="C22" s="1"/>
      <c r="D22" s="1"/>
      <c r="E22" s="1"/>
      <c r="F22" s="1"/>
      <c r="G22" s="1"/>
    </row>
    <row r="23" spans="1:7" ht="15.75" thickBot="1" x14ac:dyDescent="0.3">
      <c r="A23" s="13" t="s">
        <v>2</v>
      </c>
      <c r="B23" s="14" t="s">
        <v>11</v>
      </c>
      <c r="C23" s="14" t="s">
        <v>6</v>
      </c>
      <c r="D23" s="14" t="s">
        <v>0</v>
      </c>
      <c r="E23" s="14" t="s">
        <v>1</v>
      </c>
      <c r="F23" s="16" t="s">
        <v>9</v>
      </c>
    </row>
    <row r="24" spans="1:7" ht="15.75" customHeight="1" x14ac:dyDescent="0.25">
      <c r="A24" s="19">
        <v>1</v>
      </c>
      <c r="B24" s="27">
        <v>28062026</v>
      </c>
      <c r="C24" s="10" t="s">
        <v>481</v>
      </c>
      <c r="D24" s="56" t="s">
        <v>129</v>
      </c>
      <c r="E24" s="56">
        <v>3866</v>
      </c>
      <c r="F24" s="20">
        <v>40</v>
      </c>
    </row>
    <row r="25" spans="1:7" ht="15.75" customHeight="1" x14ac:dyDescent="0.25">
      <c r="A25" s="17">
        <v>2</v>
      </c>
      <c r="B25" s="28"/>
      <c r="C25" s="9"/>
      <c r="D25" s="42"/>
      <c r="E25" s="9"/>
      <c r="F25" s="18"/>
    </row>
    <row r="26" spans="1:7" ht="15.75" customHeight="1" x14ac:dyDescent="0.25">
      <c r="A26" s="17">
        <v>3</v>
      </c>
      <c r="B26" s="28"/>
      <c r="C26" s="9"/>
      <c r="D26" s="42"/>
      <c r="E26" s="9"/>
      <c r="F26" s="18"/>
    </row>
    <row r="27" spans="1:7" ht="15.75" customHeight="1" x14ac:dyDescent="0.25">
      <c r="A27" s="17">
        <v>4</v>
      </c>
      <c r="B27" s="28"/>
      <c r="C27" s="9"/>
      <c r="D27" s="42"/>
      <c r="E27" s="9"/>
      <c r="F27" s="18"/>
    </row>
    <row r="28" spans="1:7" ht="15.75" customHeight="1" x14ac:dyDescent="0.25">
      <c r="A28" s="17">
        <v>5</v>
      </c>
      <c r="B28" s="28"/>
      <c r="C28" s="9"/>
      <c r="D28" s="42"/>
      <c r="E28" s="9"/>
      <c r="F28" s="18"/>
    </row>
    <row r="29" spans="1:7" ht="15.75" customHeight="1" x14ac:dyDescent="0.25">
      <c r="A29" s="17">
        <v>6</v>
      </c>
      <c r="B29" s="28"/>
      <c r="C29" s="9"/>
      <c r="D29" s="42"/>
      <c r="E29" s="9"/>
      <c r="F29" s="18"/>
    </row>
    <row r="30" spans="1:7" ht="15.75" customHeight="1" x14ac:dyDescent="0.25">
      <c r="A30" s="17">
        <v>7</v>
      </c>
      <c r="B30" s="28"/>
      <c r="C30" s="9"/>
      <c r="D30" s="42"/>
      <c r="E30" s="9"/>
      <c r="F30" s="18"/>
    </row>
    <row r="31" spans="1:7" ht="15.75" customHeight="1" x14ac:dyDescent="0.25">
      <c r="A31" s="17">
        <v>8</v>
      </c>
      <c r="B31" s="28"/>
      <c r="C31" s="9"/>
      <c r="D31" s="42"/>
      <c r="E31" s="9"/>
      <c r="F31" s="18"/>
    </row>
    <row r="32" spans="1:7" ht="15.75" customHeight="1" x14ac:dyDescent="0.25">
      <c r="A32" s="17"/>
      <c r="B32" s="28"/>
      <c r="C32" s="9"/>
      <c r="D32" s="42"/>
      <c r="E32" s="9"/>
      <c r="F32" s="18"/>
    </row>
    <row r="33" spans="1:7" ht="15.75" customHeight="1" x14ac:dyDescent="0.25">
      <c r="A33" s="17"/>
      <c r="B33" s="28"/>
      <c r="C33" s="9"/>
      <c r="D33" s="42"/>
      <c r="E33" s="9"/>
      <c r="F33" s="18"/>
    </row>
    <row r="34" spans="1:7" ht="15.75" customHeight="1" thickBot="1" x14ac:dyDescent="0.3">
      <c r="A34" s="21"/>
      <c r="B34" s="29"/>
      <c r="C34" s="11"/>
      <c r="D34" s="11"/>
      <c r="E34" s="11"/>
      <c r="F34" s="22"/>
    </row>
    <row r="35" spans="1:7" x14ac:dyDescent="0.25">
      <c r="A35" t="s">
        <v>219</v>
      </c>
    </row>
    <row r="36" spans="1:7" ht="15.75" x14ac:dyDescent="0.25">
      <c r="A36" s="3"/>
      <c r="B36" s="24" t="s">
        <v>66</v>
      </c>
      <c r="C36" s="1"/>
      <c r="E36" s="1"/>
      <c r="F36" s="1"/>
      <c r="G36" s="5"/>
    </row>
    <row r="37" spans="1:7" ht="15.75" thickBot="1" x14ac:dyDescent="0.3">
      <c r="A37" s="3"/>
      <c r="B37" s="2"/>
      <c r="C37" s="1"/>
      <c r="D37" s="1"/>
      <c r="E37" s="1"/>
      <c r="F37" s="1"/>
      <c r="G37" s="1"/>
    </row>
    <row r="38" spans="1:7" ht="15.75" thickBot="1" x14ac:dyDescent="0.3">
      <c r="A38" s="13" t="s">
        <v>2</v>
      </c>
      <c r="B38" s="14" t="s">
        <v>532</v>
      </c>
      <c r="C38" s="14" t="s">
        <v>0</v>
      </c>
      <c r="D38" s="14" t="s">
        <v>14</v>
      </c>
      <c r="E38" s="14" t="s">
        <v>15</v>
      </c>
      <c r="F38" s="16" t="s">
        <v>9</v>
      </c>
    </row>
    <row r="39" spans="1:7" ht="15.75" customHeight="1" x14ac:dyDescent="0.25">
      <c r="A39" s="19">
        <v>1</v>
      </c>
      <c r="B39" s="27">
        <v>28062026</v>
      </c>
      <c r="C39" s="56" t="s">
        <v>480</v>
      </c>
      <c r="D39" s="117">
        <v>1021713</v>
      </c>
      <c r="E39" s="10">
        <v>3882</v>
      </c>
      <c r="F39" s="20"/>
    </row>
    <row r="40" spans="1:7" ht="15.75" customHeight="1" x14ac:dyDescent="0.25">
      <c r="A40" s="17">
        <v>2</v>
      </c>
      <c r="B40" s="28">
        <v>28062026</v>
      </c>
      <c r="C40" s="42" t="s">
        <v>587</v>
      </c>
      <c r="D40" s="49">
        <v>1021714</v>
      </c>
      <c r="E40" s="9">
        <v>3881</v>
      </c>
      <c r="F40" s="18"/>
    </row>
    <row r="41" spans="1:7" ht="15.75" customHeight="1" x14ac:dyDescent="0.25">
      <c r="A41" s="17">
        <v>3</v>
      </c>
      <c r="B41" s="28"/>
      <c r="C41" s="42"/>
      <c r="D41" s="49"/>
      <c r="E41" s="9"/>
      <c r="F41" s="18"/>
    </row>
    <row r="42" spans="1:7" ht="15.75" customHeight="1" x14ac:dyDescent="0.25">
      <c r="A42" s="17"/>
      <c r="B42" s="28"/>
      <c r="C42" s="42"/>
      <c r="D42" s="49"/>
      <c r="E42" s="9"/>
      <c r="F42" s="18"/>
    </row>
    <row r="43" spans="1:7" ht="15.75" customHeight="1" x14ac:dyDescent="0.25">
      <c r="A43" s="17"/>
      <c r="B43" s="28"/>
      <c r="C43" s="42"/>
      <c r="D43" s="43"/>
      <c r="E43" s="9"/>
      <c r="F43" s="18"/>
    </row>
    <row r="44" spans="1:7" ht="15.75" thickBot="1" x14ac:dyDescent="0.3">
      <c r="A44" s="21"/>
      <c r="B44" s="29"/>
      <c r="C44" s="60"/>
      <c r="D44" s="60"/>
      <c r="E44" s="11"/>
      <c r="F44" s="22"/>
    </row>
  </sheetData>
  <mergeCells count="2">
    <mergeCell ref="A4:H4"/>
    <mergeCell ref="B9:B10"/>
  </mergeCells>
  <conditionalFormatting sqref="G9:G18">
    <cfRule type="expression" dxfId="2" priority="8">
      <formula>LEFT(CELL("format",D9))</formula>
    </cfRule>
  </conditionalFormatting>
  <dataValidations count="1">
    <dataValidation type="list" allowBlank="1" showInputMessage="1" showErrorMessage="1" sqref="F12:F20" xr:uid="{E9F2E67B-9027-4B19-8EB8-F162AC6CA3BE}">
      <formula1>"20,40,45,50"</formula1>
    </dataValidation>
  </dataValidations>
  <pageMargins left="0.31496062992125984" right="0.31496062992125984" top="0.35433070866141736" bottom="0.35433070866141736" header="0.31496062992125984" footer="0.31496062992125984"/>
  <pageSetup paperSize="9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761C-7F3B-4D3E-862F-D1E4C3AFE0A6}">
  <dimension ref="A1:J46"/>
  <sheetViews>
    <sheetView workbookViewId="0">
      <selection activeCell="L29" sqref="L29"/>
    </sheetView>
  </sheetViews>
  <sheetFormatPr baseColWidth="10" defaultRowHeight="15" x14ac:dyDescent="0.25"/>
  <cols>
    <col min="1" max="1" width="3.140625" bestFit="1" customWidth="1"/>
    <col min="2" max="2" width="14.85546875" bestFit="1" customWidth="1"/>
    <col min="3" max="3" width="18.57031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  <col min="8" max="8" width="14.140625" bestFit="1" customWidth="1"/>
  </cols>
  <sheetData>
    <row r="1" spans="1:10" s="1" customFormat="1" ht="24.95" customHeight="1" x14ac:dyDescent="0.25">
      <c r="A1" s="3"/>
      <c r="H1" s="91">
        <f>COUNTIF(C9:C22,"&lt;&gt;")</f>
        <v>14</v>
      </c>
      <c r="I1" s="90" t="s">
        <v>386</v>
      </c>
    </row>
    <row r="2" spans="1:10" s="1" customFormat="1" ht="24.75" customHeight="1" x14ac:dyDescent="0.25">
      <c r="A2" s="3"/>
      <c r="F2" s="91">
        <f>COUNTIFS(B28:B38,"&lt;&gt;",C28:C38,"VH")</f>
        <v>0</v>
      </c>
      <c r="G2" s="90" t="s">
        <v>25</v>
      </c>
      <c r="H2" s="91">
        <f>COUNTA(C28:C38)-F2</f>
        <v>10</v>
      </c>
      <c r="I2" s="90" t="s">
        <v>386</v>
      </c>
      <c r="J2" s="101">
        <f>COUNTIF(E28:E33,"VIDE")</f>
        <v>0</v>
      </c>
    </row>
    <row r="3" spans="1:10" s="1" customFormat="1" ht="24.95" customHeight="1" x14ac:dyDescent="0.25">
      <c r="A3" s="3"/>
    </row>
    <row r="4" spans="1:10" s="1" customFormat="1" ht="24.95" customHeight="1" x14ac:dyDescent="0.25">
      <c r="A4" s="129" t="s">
        <v>10</v>
      </c>
      <c r="B4" s="129"/>
      <c r="C4" s="129"/>
      <c r="D4" s="129"/>
      <c r="E4" s="129"/>
      <c r="F4" s="129"/>
      <c r="G4" s="129"/>
      <c r="H4" s="129"/>
    </row>
    <row r="5" spans="1:10" s="1" customFormat="1" ht="24.95" customHeight="1" x14ac:dyDescent="0.25">
      <c r="A5" s="89"/>
      <c r="B5" s="89"/>
      <c r="C5" s="89"/>
      <c r="D5" s="89"/>
      <c r="E5" s="89"/>
      <c r="F5" s="89"/>
      <c r="G5" s="89"/>
      <c r="H5" s="89"/>
    </row>
    <row r="6" spans="1:10" s="1" customFormat="1" ht="24.95" customHeight="1" x14ac:dyDescent="0.25">
      <c r="A6" s="3"/>
      <c r="B6" s="24" t="s">
        <v>3</v>
      </c>
      <c r="F6" s="1" t="s">
        <v>158</v>
      </c>
      <c r="G6" s="26">
        <v>44740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13" t="s">
        <v>2</v>
      </c>
      <c r="B8" s="14" t="s">
        <v>8</v>
      </c>
      <c r="C8" s="14" t="s">
        <v>12</v>
      </c>
      <c r="D8" s="14" t="s">
        <v>0</v>
      </c>
      <c r="E8" s="14" t="s">
        <v>1</v>
      </c>
      <c r="F8" s="16" t="s">
        <v>9</v>
      </c>
      <c r="G8" s="16" t="s">
        <v>584</v>
      </c>
    </row>
    <row r="9" spans="1:10" s="1" customFormat="1" ht="15.75" customHeight="1" x14ac:dyDescent="0.25">
      <c r="A9" s="19">
        <v>1</v>
      </c>
      <c r="B9" s="110" t="s">
        <v>517</v>
      </c>
      <c r="C9" s="125">
        <v>29062026</v>
      </c>
      <c r="D9" s="76" t="s">
        <v>486</v>
      </c>
      <c r="E9" s="111" t="s">
        <v>487</v>
      </c>
      <c r="F9" s="115">
        <v>40</v>
      </c>
    </row>
    <row r="10" spans="1:10" s="1" customFormat="1" ht="15.75" customHeight="1" x14ac:dyDescent="0.25">
      <c r="A10" s="17">
        <v>2</v>
      </c>
      <c r="B10" s="131" t="s">
        <v>518</v>
      </c>
      <c r="C10" s="126">
        <v>29062026</v>
      </c>
      <c r="D10" s="96" t="s">
        <v>488</v>
      </c>
      <c r="E10" s="108" t="s">
        <v>489</v>
      </c>
      <c r="F10" s="116">
        <v>40</v>
      </c>
    </row>
    <row r="11" spans="1:10" s="1" customFormat="1" ht="15.75" customHeight="1" x14ac:dyDescent="0.25">
      <c r="A11" s="17">
        <v>3</v>
      </c>
      <c r="B11" s="131"/>
      <c r="C11" s="126">
        <v>29062026</v>
      </c>
      <c r="D11" s="44" t="s">
        <v>490</v>
      </c>
      <c r="E11" s="43" t="s">
        <v>491</v>
      </c>
      <c r="F11" s="116">
        <v>40</v>
      </c>
    </row>
    <row r="12" spans="1:10" s="1" customFormat="1" ht="15.75" customHeight="1" x14ac:dyDescent="0.25">
      <c r="A12" s="17">
        <v>4</v>
      </c>
      <c r="B12" s="131"/>
      <c r="C12" s="126">
        <v>29062026</v>
      </c>
      <c r="D12" s="96" t="s">
        <v>492</v>
      </c>
      <c r="E12" s="43" t="s">
        <v>493</v>
      </c>
      <c r="F12" s="59">
        <v>40</v>
      </c>
    </row>
    <row r="13" spans="1:10" s="1" customFormat="1" ht="15.75" customHeight="1" x14ac:dyDescent="0.25">
      <c r="A13" s="17">
        <v>5</v>
      </c>
      <c r="B13" s="107" t="s">
        <v>519</v>
      </c>
      <c r="C13" s="126">
        <v>29062026</v>
      </c>
      <c r="D13" s="44" t="s">
        <v>494</v>
      </c>
      <c r="E13" s="42" t="s">
        <v>495</v>
      </c>
      <c r="F13" s="59">
        <v>40</v>
      </c>
    </row>
    <row r="14" spans="1:10" s="1" customFormat="1" ht="15.75" customHeight="1" x14ac:dyDescent="0.25">
      <c r="A14" s="17">
        <v>6</v>
      </c>
      <c r="B14" s="44" t="s">
        <v>514</v>
      </c>
      <c r="C14" s="126">
        <v>29062026</v>
      </c>
      <c r="D14" s="74" t="s">
        <v>496</v>
      </c>
      <c r="E14" s="74" t="s">
        <v>497</v>
      </c>
      <c r="F14" s="59" t="s">
        <v>583</v>
      </c>
      <c r="G14" s="128">
        <v>44749</v>
      </c>
    </row>
    <row r="15" spans="1:10" s="1" customFormat="1" ht="15.75" customHeight="1" x14ac:dyDescent="0.25">
      <c r="A15" s="17">
        <v>7</v>
      </c>
      <c r="B15" s="44" t="s">
        <v>515</v>
      </c>
      <c r="C15" s="126">
        <v>29062026</v>
      </c>
      <c r="D15" s="74" t="s">
        <v>498</v>
      </c>
      <c r="E15" s="74" t="s">
        <v>499</v>
      </c>
      <c r="F15" s="59" t="s">
        <v>583</v>
      </c>
      <c r="G15" s="128">
        <v>44749</v>
      </c>
    </row>
    <row r="16" spans="1:10" s="1" customFormat="1" ht="15.75" customHeight="1" x14ac:dyDescent="0.25">
      <c r="A16" s="17">
        <v>8</v>
      </c>
      <c r="B16" s="138" t="s">
        <v>516</v>
      </c>
      <c r="C16" s="126">
        <v>29062026</v>
      </c>
      <c r="D16" s="74" t="s">
        <v>500</v>
      </c>
      <c r="E16" s="74" t="s">
        <v>501</v>
      </c>
      <c r="F16" s="59">
        <v>40</v>
      </c>
    </row>
    <row r="17" spans="1:7" s="1" customFormat="1" ht="15.75" customHeight="1" x14ac:dyDescent="0.25">
      <c r="A17" s="17">
        <v>9</v>
      </c>
      <c r="B17" s="138"/>
      <c r="C17" s="126">
        <v>29062026</v>
      </c>
      <c r="D17" s="74" t="s">
        <v>502</v>
      </c>
      <c r="E17" s="74" t="s">
        <v>503</v>
      </c>
      <c r="F17" s="59">
        <v>40</v>
      </c>
    </row>
    <row r="18" spans="1:7" s="1" customFormat="1" ht="15.75" customHeight="1" x14ac:dyDescent="0.25">
      <c r="A18" s="17">
        <v>10</v>
      </c>
      <c r="B18" s="138"/>
      <c r="C18" s="126">
        <v>29062026</v>
      </c>
      <c r="D18" s="74" t="s">
        <v>504</v>
      </c>
      <c r="E18" s="74" t="s">
        <v>505</v>
      </c>
      <c r="F18" s="59">
        <v>40</v>
      </c>
    </row>
    <row r="19" spans="1:7" ht="15.75" x14ac:dyDescent="0.25">
      <c r="A19" s="17">
        <v>11</v>
      </c>
      <c r="B19" s="138"/>
      <c r="C19" s="126">
        <v>29062026</v>
      </c>
      <c r="D19" s="74" t="s">
        <v>506</v>
      </c>
      <c r="E19" s="74" t="s">
        <v>507</v>
      </c>
      <c r="F19" s="59">
        <v>40</v>
      </c>
      <c r="G19" s="5"/>
    </row>
    <row r="20" spans="1:7" ht="15.75" x14ac:dyDescent="0.25">
      <c r="A20" s="17">
        <v>12</v>
      </c>
      <c r="B20" s="138"/>
      <c r="C20" s="126">
        <v>29062026</v>
      </c>
      <c r="D20" s="74" t="s">
        <v>508</v>
      </c>
      <c r="E20" s="74" t="s">
        <v>509</v>
      </c>
      <c r="F20" s="59">
        <v>40</v>
      </c>
      <c r="G20" s="5"/>
    </row>
    <row r="21" spans="1:7" ht="15.75" x14ac:dyDescent="0.25">
      <c r="A21" s="17">
        <v>13</v>
      </c>
      <c r="B21" s="138"/>
      <c r="C21" s="126">
        <v>29062026</v>
      </c>
      <c r="D21" s="74" t="s">
        <v>510</v>
      </c>
      <c r="E21" s="74" t="s">
        <v>511</v>
      </c>
      <c r="F21" s="59">
        <v>40</v>
      </c>
      <c r="G21" s="5"/>
    </row>
    <row r="22" spans="1:7" ht="15.75" x14ac:dyDescent="0.25">
      <c r="A22" s="17">
        <v>14</v>
      </c>
      <c r="B22" s="138"/>
      <c r="C22" s="126">
        <v>29062026</v>
      </c>
      <c r="D22" s="74" t="s">
        <v>512</v>
      </c>
      <c r="E22" s="74" t="s">
        <v>513</v>
      </c>
      <c r="F22" s="59">
        <v>40</v>
      </c>
      <c r="G22" s="5"/>
    </row>
    <row r="23" spans="1:7" ht="16.5" thickBot="1" x14ac:dyDescent="0.3">
      <c r="A23" s="21"/>
      <c r="B23" s="80"/>
      <c r="C23" s="81"/>
      <c r="D23" s="118"/>
      <c r="E23" s="118"/>
      <c r="F23" s="61"/>
      <c r="G23" s="5"/>
    </row>
    <row r="24" spans="1:7" ht="15.75" x14ac:dyDescent="0.25">
      <c r="A24" s="3"/>
      <c r="B24" s="5"/>
      <c r="C24" s="1"/>
      <c r="D24" s="119"/>
      <c r="E24" s="119"/>
      <c r="F24" s="65"/>
      <c r="G24" s="5"/>
    </row>
    <row r="25" spans="1:7" ht="15.75" x14ac:dyDescent="0.25">
      <c r="A25" s="3"/>
      <c r="B25" s="24" t="s">
        <v>4</v>
      </c>
      <c r="G25" s="5"/>
    </row>
    <row r="26" spans="1:7" ht="15.75" thickBot="1" x14ac:dyDescent="0.3">
      <c r="A26" s="3"/>
      <c r="B26" s="2"/>
      <c r="C26" s="1"/>
      <c r="G26" s="1"/>
    </row>
    <row r="27" spans="1:7" ht="15.75" thickBot="1" x14ac:dyDescent="0.3">
      <c r="A27" s="13" t="s">
        <v>2</v>
      </c>
      <c r="B27" s="14" t="s">
        <v>11</v>
      </c>
      <c r="C27" s="14" t="s">
        <v>6</v>
      </c>
      <c r="D27" s="14" t="s">
        <v>0</v>
      </c>
      <c r="E27" s="14" t="s">
        <v>1</v>
      </c>
      <c r="F27" s="16" t="s">
        <v>9</v>
      </c>
    </row>
    <row r="28" spans="1:7" ht="15.75" customHeight="1" x14ac:dyDescent="0.25">
      <c r="A28" s="120">
        <v>1</v>
      </c>
      <c r="B28" s="68">
        <v>29062026</v>
      </c>
      <c r="C28" s="56" t="s">
        <v>520</v>
      </c>
      <c r="D28" s="56" t="s">
        <v>116</v>
      </c>
      <c r="E28" s="56" t="s">
        <v>117</v>
      </c>
      <c r="F28" s="58">
        <v>40</v>
      </c>
    </row>
    <row r="29" spans="1:7" ht="15.75" customHeight="1" x14ac:dyDescent="0.25">
      <c r="A29" s="121">
        <v>2</v>
      </c>
      <c r="B29" s="70">
        <v>29062026</v>
      </c>
      <c r="C29" s="42" t="s">
        <v>521</v>
      </c>
      <c r="D29" s="42" t="s">
        <v>118</v>
      </c>
      <c r="E29" s="42" t="s">
        <v>119</v>
      </c>
      <c r="F29" s="59">
        <v>40</v>
      </c>
    </row>
    <row r="30" spans="1:7" ht="15.75" customHeight="1" x14ac:dyDescent="0.25">
      <c r="A30" s="121">
        <v>3</v>
      </c>
      <c r="B30" s="70">
        <v>29062026</v>
      </c>
      <c r="C30" s="42" t="s">
        <v>522</v>
      </c>
      <c r="D30" s="42" t="s">
        <v>120</v>
      </c>
      <c r="E30" s="42" t="s">
        <v>121</v>
      </c>
      <c r="F30" s="59">
        <v>20</v>
      </c>
    </row>
    <row r="31" spans="1:7" ht="15.75" customHeight="1" x14ac:dyDescent="0.25">
      <c r="A31" s="121">
        <v>4</v>
      </c>
      <c r="B31" s="70">
        <v>29062026</v>
      </c>
      <c r="C31" s="42" t="s">
        <v>523</v>
      </c>
      <c r="D31" s="42" t="s">
        <v>122</v>
      </c>
      <c r="E31" s="42" t="s">
        <v>123</v>
      </c>
      <c r="F31" s="59">
        <v>40</v>
      </c>
    </row>
    <row r="32" spans="1:7" ht="15.75" customHeight="1" x14ac:dyDescent="0.25">
      <c r="A32" s="121">
        <v>5</v>
      </c>
      <c r="B32" s="70">
        <v>29062026</v>
      </c>
      <c r="C32" s="42" t="s">
        <v>526</v>
      </c>
      <c r="D32" s="42" t="s">
        <v>143</v>
      </c>
      <c r="E32" s="42" t="s">
        <v>144</v>
      </c>
      <c r="F32" s="59"/>
    </row>
    <row r="33" spans="1:7" ht="15.75" customHeight="1" x14ac:dyDescent="0.25">
      <c r="A33" s="121">
        <v>6</v>
      </c>
      <c r="B33" s="70">
        <v>29062026</v>
      </c>
      <c r="C33" s="42" t="s">
        <v>527</v>
      </c>
      <c r="D33" s="42" t="s">
        <v>145</v>
      </c>
      <c r="E33" s="42" t="s">
        <v>144</v>
      </c>
      <c r="F33" s="59"/>
    </row>
    <row r="34" spans="1:7" ht="15.75" customHeight="1" x14ac:dyDescent="0.25">
      <c r="A34" s="121">
        <v>7</v>
      </c>
      <c r="B34" s="70">
        <v>29062026</v>
      </c>
      <c r="C34" s="42" t="s">
        <v>528</v>
      </c>
      <c r="D34" s="42" t="s">
        <v>146</v>
      </c>
      <c r="E34" s="42" t="s">
        <v>144</v>
      </c>
      <c r="F34" s="59"/>
    </row>
    <row r="35" spans="1:7" ht="15.75" customHeight="1" x14ac:dyDescent="0.25">
      <c r="A35" s="121">
        <v>8</v>
      </c>
      <c r="B35" s="70">
        <v>29062026</v>
      </c>
      <c r="C35" s="42" t="s">
        <v>529</v>
      </c>
      <c r="D35" s="42" t="s">
        <v>147</v>
      </c>
      <c r="E35" s="42" t="s">
        <v>144</v>
      </c>
      <c r="F35" s="59"/>
    </row>
    <row r="36" spans="1:7" ht="15.75" customHeight="1" x14ac:dyDescent="0.25">
      <c r="A36" s="121">
        <v>9</v>
      </c>
      <c r="B36" s="70">
        <v>29062026</v>
      </c>
      <c r="C36" s="42" t="s">
        <v>530</v>
      </c>
      <c r="D36" s="42" t="s">
        <v>531</v>
      </c>
      <c r="E36" s="42">
        <v>3870</v>
      </c>
      <c r="F36" s="59">
        <v>20</v>
      </c>
    </row>
    <row r="37" spans="1:7" ht="15.75" customHeight="1" x14ac:dyDescent="0.25">
      <c r="A37" s="121"/>
      <c r="B37" s="70">
        <v>29062026</v>
      </c>
      <c r="C37" s="42" t="s">
        <v>280</v>
      </c>
      <c r="D37" s="42" t="s">
        <v>459</v>
      </c>
      <c r="E37" s="42">
        <v>3868</v>
      </c>
      <c r="F37" s="59">
        <v>40</v>
      </c>
    </row>
    <row r="38" spans="1:7" ht="15.75" customHeight="1" thickBot="1" x14ac:dyDescent="0.3">
      <c r="A38" s="21"/>
      <c r="B38" s="29"/>
      <c r="C38" s="11"/>
      <c r="D38" s="11"/>
      <c r="E38" s="11"/>
      <c r="F38" s="22"/>
    </row>
    <row r="39" spans="1:7" x14ac:dyDescent="0.25">
      <c r="A39" t="s">
        <v>219</v>
      </c>
    </row>
    <row r="40" spans="1:7" ht="15.75" x14ac:dyDescent="0.25">
      <c r="A40" s="3"/>
      <c r="B40" s="24" t="s">
        <v>66</v>
      </c>
      <c r="C40" s="1"/>
      <c r="E40" s="1"/>
      <c r="F40" s="1"/>
      <c r="G40" s="5"/>
    </row>
    <row r="41" spans="1:7" ht="15.75" thickBot="1" x14ac:dyDescent="0.3">
      <c r="A41" s="3"/>
      <c r="B41" s="2"/>
      <c r="C41" s="1"/>
      <c r="D41" s="1"/>
      <c r="E41" s="1"/>
      <c r="F41" s="1"/>
      <c r="G41" s="1"/>
    </row>
    <row r="42" spans="1:7" ht="15.75" thickBot="1" x14ac:dyDescent="0.3">
      <c r="A42" s="13" t="s">
        <v>2</v>
      </c>
      <c r="B42" s="14" t="s">
        <v>532</v>
      </c>
      <c r="C42" s="14" t="s">
        <v>0</v>
      </c>
      <c r="D42" s="14" t="s">
        <v>14</v>
      </c>
      <c r="E42" s="14" t="s">
        <v>15</v>
      </c>
      <c r="F42" s="16" t="s">
        <v>9</v>
      </c>
    </row>
    <row r="43" spans="1:7" ht="15.75" customHeight="1" x14ac:dyDescent="0.25">
      <c r="A43" s="19">
        <v>1</v>
      </c>
      <c r="B43" s="27">
        <v>29062026</v>
      </c>
      <c r="C43" s="56" t="s">
        <v>525</v>
      </c>
      <c r="D43" s="117" t="s">
        <v>524</v>
      </c>
      <c r="E43" s="10">
        <v>3883</v>
      </c>
      <c r="F43" s="20">
        <v>40</v>
      </c>
    </row>
    <row r="44" spans="1:7" ht="15.75" customHeight="1" x14ac:dyDescent="0.25">
      <c r="A44" s="17"/>
      <c r="B44" s="28"/>
      <c r="C44" s="42"/>
      <c r="D44" s="49"/>
      <c r="E44" s="9"/>
      <c r="F44" s="18"/>
    </row>
    <row r="45" spans="1:7" ht="15.75" customHeight="1" x14ac:dyDescent="0.25">
      <c r="A45" s="17"/>
      <c r="B45" s="28"/>
      <c r="C45" s="42"/>
      <c r="D45" s="49"/>
      <c r="E45" s="9"/>
      <c r="F45" s="18"/>
    </row>
    <row r="46" spans="1:7" ht="15.75" thickBot="1" x14ac:dyDescent="0.3">
      <c r="A46" s="21"/>
      <c r="B46" s="29"/>
      <c r="C46" s="60"/>
      <c r="D46" s="60"/>
      <c r="E46" s="11"/>
      <c r="F46" s="22"/>
    </row>
  </sheetData>
  <mergeCells count="3">
    <mergeCell ref="A4:H4"/>
    <mergeCell ref="B16:B22"/>
    <mergeCell ref="B10:B12"/>
  </mergeCells>
  <conditionalFormatting sqref="G9:G18">
    <cfRule type="expression" dxfId="1" priority="1">
      <formula>LEFT(CELL("format",D9))</formula>
    </cfRule>
  </conditionalFormatting>
  <dataValidations count="2">
    <dataValidation type="list" allowBlank="1" showInputMessage="1" showErrorMessage="1" sqref="F12:F13 F16:F24" xr:uid="{18E11431-23AA-459A-BDAA-A948492712AB}">
      <formula1>"20,40,45,50"</formula1>
    </dataValidation>
    <dataValidation type="list" allowBlank="1" showInputMessage="1" showErrorMessage="1" sqref="F14:F15" xr:uid="{703860BB-5BAF-461B-802E-E83522056037}">
      <formula1>"20,40,45,50,GROUPAGE"</formula1>
    </dataValidation>
  </dataValidations>
  <pageMargins left="0.31496062992125984" right="0.31496062992125984" top="0.35433070866141736" bottom="0.35433070866141736" header="0.31496062992125984" footer="0.31496062992125984"/>
  <pageSetup paperSize="9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FC73-CF47-4794-9434-1A915532DC45}">
  <dimension ref="A1:J43"/>
  <sheetViews>
    <sheetView workbookViewId="0">
      <selection activeCell="I9" sqref="I9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  <col min="8" max="8" width="14.140625" bestFit="1" customWidth="1"/>
  </cols>
  <sheetData>
    <row r="1" spans="1:10" s="1" customFormat="1" ht="24.95" customHeight="1" x14ac:dyDescent="0.25">
      <c r="A1" s="3"/>
      <c r="H1" s="91">
        <f>COUNTIF(C9:C16,"&lt;&gt;")</f>
        <v>0</v>
      </c>
      <c r="I1" s="90" t="s">
        <v>386</v>
      </c>
    </row>
    <row r="2" spans="1:10" s="1" customFormat="1" ht="24.75" customHeight="1" x14ac:dyDescent="0.25">
      <c r="A2" s="3"/>
      <c r="F2" s="91">
        <f>COUNTIFS(B22:B32,"&lt;&gt;",C22:C32,"VH")</f>
        <v>0</v>
      </c>
      <c r="G2" s="90" t="s">
        <v>25</v>
      </c>
      <c r="H2" s="91">
        <f>COUNTA(C22:C32)-F2</f>
        <v>2</v>
      </c>
      <c r="I2" s="90" t="s">
        <v>386</v>
      </c>
      <c r="J2" s="101">
        <f>COUNTIF(E22:E27,"VIDE")</f>
        <v>0</v>
      </c>
    </row>
    <row r="3" spans="1:10" s="1" customFormat="1" ht="24.95" customHeight="1" x14ac:dyDescent="0.25">
      <c r="A3" s="3"/>
    </row>
    <row r="4" spans="1:10" s="1" customFormat="1" ht="24.95" customHeight="1" x14ac:dyDescent="0.25">
      <c r="A4" s="129" t="s">
        <v>10</v>
      </c>
      <c r="B4" s="129"/>
      <c r="C4" s="129"/>
      <c r="D4" s="129"/>
      <c r="E4" s="129"/>
      <c r="F4" s="129"/>
      <c r="G4" s="129"/>
      <c r="H4" s="129"/>
    </row>
    <row r="5" spans="1:10" s="1" customFormat="1" ht="24.95" customHeight="1" x14ac:dyDescent="0.25">
      <c r="A5" s="89"/>
      <c r="B5" s="89"/>
      <c r="C5" s="89"/>
      <c r="D5" s="89"/>
      <c r="E5" s="89"/>
      <c r="F5" s="89"/>
      <c r="G5" s="89"/>
      <c r="H5" s="89"/>
    </row>
    <row r="6" spans="1:10" s="1" customFormat="1" ht="24.95" customHeight="1" x14ac:dyDescent="0.25">
      <c r="A6" s="3"/>
      <c r="B6" s="24" t="s">
        <v>3</v>
      </c>
      <c r="F6" s="1" t="s">
        <v>158</v>
      </c>
      <c r="G6" s="26">
        <v>44741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13" t="s">
        <v>2</v>
      </c>
      <c r="B8" s="14" t="s">
        <v>8</v>
      </c>
      <c r="C8" s="14" t="s">
        <v>12</v>
      </c>
      <c r="D8" s="14" t="s">
        <v>0</v>
      </c>
      <c r="E8" s="14" t="s">
        <v>1</v>
      </c>
      <c r="F8" s="16" t="s">
        <v>9</v>
      </c>
    </row>
    <row r="9" spans="1:10" s="1" customFormat="1" ht="15.75" customHeight="1" x14ac:dyDescent="0.25">
      <c r="A9" s="19">
        <v>1</v>
      </c>
      <c r="B9" s="130"/>
      <c r="C9" s="27"/>
      <c r="D9" s="76"/>
      <c r="E9" s="111"/>
      <c r="F9" s="115"/>
    </row>
    <row r="10" spans="1:10" s="1" customFormat="1" ht="15.75" customHeight="1" x14ac:dyDescent="0.25">
      <c r="A10" s="17">
        <v>2</v>
      </c>
      <c r="B10" s="131"/>
      <c r="C10" s="28"/>
      <c r="D10" s="96"/>
      <c r="E10" s="108"/>
      <c r="F10" s="116"/>
    </row>
    <row r="11" spans="1:10" s="1" customFormat="1" ht="15.75" customHeight="1" x14ac:dyDescent="0.25">
      <c r="A11" s="17">
        <v>3</v>
      </c>
      <c r="B11" s="41"/>
      <c r="C11" s="28"/>
      <c r="D11" s="44"/>
      <c r="E11" s="43"/>
      <c r="F11" s="116"/>
    </row>
    <row r="12" spans="1:10" s="1" customFormat="1" ht="15.75" customHeight="1" x14ac:dyDescent="0.25">
      <c r="A12" s="17">
        <v>4</v>
      </c>
      <c r="B12" s="109"/>
      <c r="C12" s="28"/>
      <c r="D12" s="96"/>
      <c r="E12" s="43"/>
      <c r="F12" s="59"/>
    </row>
    <row r="13" spans="1:10" s="1" customFormat="1" ht="15.75" customHeight="1" x14ac:dyDescent="0.25">
      <c r="A13" s="17"/>
      <c r="B13" s="109"/>
      <c r="C13" s="28"/>
      <c r="D13" s="44"/>
      <c r="E13" s="42"/>
      <c r="F13" s="59"/>
    </row>
    <row r="14" spans="1:10" s="1" customFormat="1" ht="15.75" customHeight="1" x14ac:dyDescent="0.25">
      <c r="A14" s="17"/>
      <c r="B14" s="96"/>
      <c r="C14" s="28"/>
      <c r="D14" s="44"/>
      <c r="E14" s="104"/>
      <c r="F14" s="59"/>
    </row>
    <row r="15" spans="1:10" s="1" customFormat="1" ht="15.75" customHeight="1" x14ac:dyDescent="0.25">
      <c r="A15" s="17"/>
      <c r="B15" s="109"/>
      <c r="C15" s="28"/>
      <c r="D15" s="96"/>
      <c r="E15" s="103"/>
      <c r="F15" s="59"/>
    </row>
    <row r="16" spans="1:10" s="1" customFormat="1" ht="15.75" customHeight="1" x14ac:dyDescent="0.25">
      <c r="A16" s="17"/>
      <c r="B16" s="109"/>
      <c r="C16" s="28"/>
      <c r="D16" s="44"/>
      <c r="E16" s="104"/>
      <c r="F16" s="59"/>
    </row>
    <row r="17" spans="1:7" ht="16.5" thickBot="1" x14ac:dyDescent="0.3">
      <c r="A17" s="21"/>
      <c r="B17" s="80"/>
      <c r="C17" s="81"/>
      <c r="D17" s="60"/>
      <c r="E17" s="60"/>
      <c r="F17" s="61"/>
      <c r="G17" s="5"/>
    </row>
    <row r="18" spans="1:7" ht="15.75" x14ac:dyDescent="0.25">
      <c r="A18" s="3"/>
      <c r="B18" s="5"/>
      <c r="C18" s="1"/>
      <c r="D18" s="65"/>
      <c r="E18" s="65"/>
      <c r="F18" s="65"/>
      <c r="G18" s="5"/>
    </row>
    <row r="19" spans="1:7" ht="15.75" x14ac:dyDescent="0.25">
      <c r="A19" s="3"/>
      <c r="B19" s="24" t="s">
        <v>4</v>
      </c>
      <c r="G19" s="5"/>
    </row>
    <row r="20" spans="1:7" ht="15.75" thickBot="1" x14ac:dyDescent="0.3">
      <c r="A20" s="3"/>
      <c r="B20" s="2"/>
      <c r="C20" s="1"/>
      <c r="D20" s="1"/>
      <c r="E20" s="1"/>
      <c r="F20" s="1"/>
      <c r="G20" s="1"/>
    </row>
    <row r="21" spans="1:7" ht="15.75" thickBot="1" x14ac:dyDescent="0.3">
      <c r="A21" s="13" t="s">
        <v>2</v>
      </c>
      <c r="B21" s="14" t="s">
        <v>11</v>
      </c>
      <c r="C21" s="14" t="s">
        <v>6</v>
      </c>
      <c r="D21" s="14" t="s">
        <v>0</v>
      </c>
      <c r="E21" s="14" t="s">
        <v>1</v>
      </c>
      <c r="F21" s="16" t="s">
        <v>9</v>
      </c>
    </row>
    <row r="22" spans="1:7" ht="15.75" customHeight="1" x14ac:dyDescent="0.25">
      <c r="A22" s="19">
        <v>1</v>
      </c>
      <c r="B22" s="27">
        <v>30062026</v>
      </c>
      <c r="C22" s="10" t="s">
        <v>541</v>
      </c>
      <c r="D22" s="9" t="s">
        <v>537</v>
      </c>
      <c r="E22" s="9" t="s">
        <v>538</v>
      </c>
      <c r="F22" s="20"/>
    </row>
    <row r="23" spans="1:7" ht="15.75" customHeight="1" x14ac:dyDescent="0.25">
      <c r="A23" s="17">
        <v>2</v>
      </c>
      <c r="B23" s="28">
        <v>30062026</v>
      </c>
      <c r="C23" s="9" t="s">
        <v>481</v>
      </c>
      <c r="D23" s="9" t="s">
        <v>539</v>
      </c>
      <c r="E23" s="9" t="s">
        <v>540</v>
      </c>
      <c r="F23" s="18"/>
    </row>
    <row r="24" spans="1:7" ht="15.75" customHeight="1" x14ac:dyDescent="0.25">
      <c r="A24" s="17">
        <v>3</v>
      </c>
      <c r="B24" s="28"/>
      <c r="C24" s="9"/>
      <c r="D24" s="42"/>
      <c r="E24" s="9"/>
      <c r="F24" s="18"/>
    </row>
    <row r="25" spans="1:7" ht="15.75" customHeight="1" x14ac:dyDescent="0.25">
      <c r="A25" s="17">
        <v>4</v>
      </c>
      <c r="B25" s="28"/>
      <c r="C25" s="9"/>
      <c r="D25" s="42"/>
      <c r="E25" s="9"/>
      <c r="F25" s="18"/>
    </row>
    <row r="26" spans="1:7" ht="15.75" customHeight="1" x14ac:dyDescent="0.25">
      <c r="A26" s="17">
        <v>5</v>
      </c>
      <c r="B26" s="28"/>
      <c r="C26" s="9"/>
      <c r="D26" s="42"/>
      <c r="E26" s="9"/>
      <c r="F26" s="18"/>
    </row>
    <row r="27" spans="1:7" ht="15.75" customHeight="1" x14ac:dyDescent="0.25">
      <c r="A27" s="17">
        <v>6</v>
      </c>
      <c r="B27" s="28"/>
      <c r="C27" s="9"/>
      <c r="D27" s="42"/>
      <c r="E27" s="9"/>
      <c r="F27" s="18"/>
    </row>
    <row r="28" spans="1:7" ht="15.75" customHeight="1" x14ac:dyDescent="0.25">
      <c r="A28" s="17">
        <v>7</v>
      </c>
      <c r="B28" s="28"/>
      <c r="C28" s="9"/>
      <c r="D28" s="42"/>
      <c r="E28" s="9"/>
      <c r="F28" s="18"/>
    </row>
    <row r="29" spans="1:7" ht="15.75" customHeight="1" x14ac:dyDescent="0.25">
      <c r="A29" s="17">
        <v>8</v>
      </c>
      <c r="B29" s="28"/>
      <c r="C29" s="9"/>
      <c r="D29" s="42"/>
      <c r="E29" s="9"/>
      <c r="F29" s="18"/>
    </row>
    <row r="30" spans="1:7" ht="15.75" customHeight="1" x14ac:dyDescent="0.25">
      <c r="A30" s="17"/>
      <c r="B30" s="28"/>
      <c r="C30" s="9"/>
      <c r="D30" s="42"/>
      <c r="E30" s="9"/>
      <c r="F30" s="18"/>
    </row>
    <row r="31" spans="1:7" ht="15.75" customHeight="1" x14ac:dyDescent="0.25">
      <c r="A31" s="17"/>
      <c r="B31" s="28"/>
      <c r="C31" s="9"/>
      <c r="D31" s="42"/>
      <c r="E31" s="9"/>
      <c r="F31" s="18"/>
    </row>
    <row r="32" spans="1:7" ht="15.75" customHeight="1" thickBot="1" x14ac:dyDescent="0.3">
      <c r="A32" s="21"/>
      <c r="B32" s="29"/>
      <c r="C32" s="11"/>
      <c r="D32" s="11"/>
      <c r="E32" s="11"/>
      <c r="F32" s="22"/>
    </row>
    <row r="33" spans="1:7" x14ac:dyDescent="0.25">
      <c r="A33" t="s">
        <v>219</v>
      </c>
    </row>
    <row r="34" spans="1:7" ht="15.75" x14ac:dyDescent="0.25">
      <c r="A34" s="3"/>
      <c r="B34" s="24" t="s">
        <v>66</v>
      </c>
      <c r="C34" s="1"/>
      <c r="E34" s="1"/>
      <c r="F34" s="1"/>
      <c r="G34" s="5"/>
    </row>
    <row r="35" spans="1:7" ht="15.75" thickBot="1" x14ac:dyDescent="0.3">
      <c r="A35" s="3"/>
      <c r="B35" s="2"/>
      <c r="C35" s="1"/>
      <c r="D35" s="1"/>
      <c r="E35" s="1"/>
      <c r="F35" s="1"/>
      <c r="G35" s="1"/>
    </row>
    <row r="36" spans="1:7" ht="15.75" thickBot="1" x14ac:dyDescent="0.3">
      <c r="A36" s="13" t="s">
        <v>2</v>
      </c>
      <c r="B36" s="14" t="s">
        <v>582</v>
      </c>
      <c r="C36" s="14" t="s">
        <v>0</v>
      </c>
      <c r="D36" s="14" t="s">
        <v>14</v>
      </c>
      <c r="E36" s="14" t="s">
        <v>15</v>
      </c>
      <c r="F36" s="16" t="s">
        <v>9</v>
      </c>
    </row>
    <row r="37" spans="1:7" ht="15.75" customHeight="1" x14ac:dyDescent="0.25">
      <c r="A37" s="19">
        <v>1</v>
      </c>
      <c r="B37" s="27">
        <v>30062026</v>
      </c>
      <c r="C37" s="56" t="s">
        <v>533</v>
      </c>
      <c r="D37" s="117">
        <v>89828</v>
      </c>
      <c r="E37" s="10">
        <v>3885</v>
      </c>
      <c r="F37" s="20"/>
    </row>
    <row r="38" spans="1:7" ht="15.75" customHeight="1" x14ac:dyDescent="0.25">
      <c r="A38" s="17">
        <v>2</v>
      </c>
      <c r="B38" s="28">
        <v>30062026</v>
      </c>
      <c r="C38" s="42" t="s">
        <v>534</v>
      </c>
      <c r="D38" s="49">
        <v>3402422</v>
      </c>
      <c r="E38" s="9">
        <v>3887</v>
      </c>
      <c r="F38" s="18"/>
    </row>
    <row r="39" spans="1:7" ht="15.75" customHeight="1" x14ac:dyDescent="0.25">
      <c r="A39" s="17">
        <v>3</v>
      </c>
      <c r="B39" s="28">
        <v>30062026</v>
      </c>
      <c r="C39" s="42" t="s">
        <v>452</v>
      </c>
      <c r="D39" s="49" t="s">
        <v>331</v>
      </c>
      <c r="E39" s="9">
        <v>3884</v>
      </c>
      <c r="F39" s="18"/>
    </row>
    <row r="40" spans="1:7" ht="15.75" customHeight="1" x14ac:dyDescent="0.25">
      <c r="A40" s="17">
        <v>4</v>
      </c>
      <c r="B40" s="28">
        <v>30062026</v>
      </c>
      <c r="C40" s="42" t="s">
        <v>535</v>
      </c>
      <c r="D40" s="49" t="s">
        <v>536</v>
      </c>
      <c r="E40" s="9">
        <v>3886</v>
      </c>
      <c r="F40" s="18"/>
    </row>
    <row r="41" spans="1:7" ht="15.75" customHeight="1" x14ac:dyDescent="0.25">
      <c r="A41" s="17">
        <v>5</v>
      </c>
      <c r="B41" s="28">
        <v>30062026</v>
      </c>
      <c r="C41" s="42" t="s">
        <v>443</v>
      </c>
      <c r="D41" s="49">
        <v>3867</v>
      </c>
      <c r="E41" s="9">
        <v>3889</v>
      </c>
      <c r="F41" s="18"/>
    </row>
    <row r="42" spans="1:7" ht="15.75" customHeight="1" x14ac:dyDescent="0.25">
      <c r="A42" s="17">
        <v>6</v>
      </c>
      <c r="B42" s="28">
        <v>30062026</v>
      </c>
      <c r="C42" s="42" t="s">
        <v>542</v>
      </c>
      <c r="D42" s="43" t="s">
        <v>543</v>
      </c>
      <c r="E42" s="9">
        <v>3888</v>
      </c>
      <c r="F42" s="18"/>
    </row>
    <row r="43" spans="1:7" ht="15.75" thickBot="1" x14ac:dyDescent="0.3">
      <c r="A43" s="21"/>
      <c r="B43" s="29"/>
      <c r="C43" s="60"/>
      <c r="D43" s="60"/>
      <c r="E43" s="11"/>
      <c r="F43" s="22"/>
    </row>
  </sheetData>
  <mergeCells count="2">
    <mergeCell ref="A4:H4"/>
    <mergeCell ref="B9:B10"/>
  </mergeCells>
  <conditionalFormatting sqref="G9:G16">
    <cfRule type="expression" dxfId="0" priority="1">
      <formula>LEFT(CELL("format",D9))</formula>
    </cfRule>
  </conditionalFormatting>
  <dataValidations count="1">
    <dataValidation type="list" allowBlank="1" showInputMessage="1" showErrorMessage="1" sqref="F12:F18" xr:uid="{EAD73476-B117-4784-BFBA-5E1BAD6CA695}">
      <formula1>"20,40,45,50"</formula1>
    </dataValidation>
  </dataValidations>
  <pageMargins left="0.31496062992125984" right="0.11811023622047245" top="0.35433070866141736" bottom="0.35433070866141736" header="0.31496062992125984" footer="0.31496062992125984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DASHBOARD</vt:lpstr>
      <vt:lpstr>01-06</vt:lpstr>
      <vt:lpstr>02-06</vt:lpstr>
      <vt:lpstr>03-06</vt:lpstr>
      <vt:lpstr>04-06</vt:lpstr>
      <vt:lpstr>07-06</vt:lpstr>
      <vt:lpstr>08-06</vt:lpstr>
      <vt:lpstr>09-06</vt:lpstr>
      <vt:lpstr>10-06</vt:lpstr>
      <vt:lpstr>11-06</vt:lpstr>
      <vt:lpstr>14-06</vt:lpstr>
      <vt:lpstr>15-06</vt:lpstr>
      <vt:lpstr>17-06</vt:lpstr>
      <vt:lpstr>18-06</vt:lpstr>
      <vt:lpstr>21-06</vt:lpstr>
      <vt:lpstr>22-06</vt:lpstr>
      <vt:lpstr>23-06</vt:lpstr>
      <vt:lpstr>24-06</vt:lpstr>
      <vt:lpstr>28-06</vt:lpstr>
      <vt:lpstr>29-06</vt:lpstr>
      <vt:lpstr>30-06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lastPrinted>2026-07-14T07:27:08Z</cp:lastPrinted>
  <dcterms:created xsi:type="dcterms:W3CDTF">2026-05-20T08:01:40Z</dcterms:created>
  <dcterms:modified xsi:type="dcterms:W3CDTF">2026-08-23T14:07:12Z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11e74b9f1a7a46ab95637574b16a62a8</vt:lpwstr>
  </property>
</Properties>
</file>