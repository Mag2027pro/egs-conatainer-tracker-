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ab0b5a2ed962cae/Documents/Samir/"/>
    </mc:Choice>
  </mc:AlternateContent>
  <xr:revisionPtr revIDLastSave="3" documentId="13_ncr:1_{4B4D1583-660A-4815-8FDE-C2567EA3B323}" xr6:coauthVersionLast="47" xr6:coauthVersionMax="47" xr10:uidLastSave="{05C7E578-1FED-44D4-9545-51D4CE70F04A}"/>
  <bookViews>
    <workbookView xWindow="-120" yWindow="-120" windowWidth="29040" windowHeight="15720" tabRatio="547" xr2:uid="{A18A3B28-6AD6-4212-865A-5BA1C5CD781C}"/>
  </bookViews>
  <sheets>
    <sheet name="DASHBOARD" sheetId="1" r:id="rId1"/>
    <sheet name="01-10" sheetId="2" r:id="rId2"/>
    <sheet name="04-10" sheetId="3" r:id="rId3"/>
    <sheet name="05-10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" i="1" l="1"/>
  <c r="B4" i="1"/>
  <c r="D4" i="1"/>
  <c r="J2" i="4"/>
  <c r="F2" i="4"/>
  <c r="H2" i="4" s="1"/>
  <c r="H1" i="4"/>
  <c r="L2" i="3"/>
  <c r="H2" i="3"/>
  <c r="J2" i="3" s="1"/>
  <c r="C3" i="1" s="1"/>
  <c r="J1" i="3"/>
  <c r="B3" i="1" s="1"/>
  <c r="J2" i="2"/>
  <c r="F2" i="2"/>
  <c r="H2" i="2" s="1"/>
  <c r="C2" i="1" s="1"/>
  <c r="H1" i="2"/>
  <c r="B2" i="1" s="1"/>
  <c r="D2" i="1" s="1"/>
  <c r="C24" i="1" l="1"/>
  <c r="D3" i="1"/>
  <c r="D24" i="1" s="1"/>
  <c r="B24" i="1"/>
</calcChain>
</file>

<file path=xl/sharedStrings.xml><?xml version="1.0" encoding="utf-8"?>
<sst xmlns="http://schemas.openxmlformats.org/spreadsheetml/2006/main" count="128" uniqueCount="62">
  <si>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</si>
  <si>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</si>
  <si>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</si>
  <si>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</si>
  <si>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</si>
  <si>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</si>
  <si>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</si>
  <si>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</si>
  <si>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</si>
  <si>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</si>
  <si>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</si>
  <si>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</si>
  <si>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</si>
  <si>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</si>
  <si>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</si>
  <si>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</si>
  <si>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SORTIE</t>
  </si>
  <si>
    <t>Date S</t>
  </si>
  <si>
    <t>IMM</t>
  </si>
  <si>
    <t>VISITE</t>
  </si>
  <si>
    <t>Date V</t>
  </si>
  <si>
    <t>AN° Scellé</t>
  </si>
  <si>
    <t>NO° Scellé</t>
  </si>
  <si>
    <t>ECMU814116 /8</t>
  </si>
  <si>
    <t>J0695804</t>
  </si>
  <si>
    <t>PONU804908 /6</t>
  </si>
  <si>
    <t>TLLU805438 /1</t>
  </si>
  <si>
    <t>HMMU433444 /9</t>
  </si>
  <si>
    <t>SEGU585325 /8</t>
  </si>
  <si>
    <t>26H0108168</t>
  </si>
  <si>
    <t>26H0108169</t>
  </si>
  <si>
    <t>00373-517-31</t>
  </si>
  <si>
    <t>ECMU809447 /2</t>
  </si>
  <si>
    <t>MSCU632217 /1</t>
  </si>
  <si>
    <t>FJ28615512</t>
  </si>
  <si>
    <t>20</t>
  </si>
  <si>
    <t>MSMU672588 /1</t>
  </si>
  <si>
    <t>FX48439012</t>
  </si>
  <si>
    <t>40</t>
  </si>
  <si>
    <t>MSMU723245 /2</t>
  </si>
  <si>
    <t>FX48439190</t>
  </si>
  <si>
    <t>SEKU180289 /5</t>
  </si>
  <si>
    <t>FX48675347</t>
  </si>
  <si>
    <t>SEKU180293 /5</t>
  </si>
  <si>
    <t>FX48675348</t>
  </si>
  <si>
    <t>0171ICS0101</t>
  </si>
  <si>
    <t>0171ICS0106</t>
  </si>
  <si>
    <t>0171ICS0015</t>
  </si>
  <si>
    <t>CAAU640372 /2</t>
  </si>
  <si>
    <t>FFAU501814 /0</t>
  </si>
  <si>
    <t>00380-506-31</t>
  </si>
  <si>
    <t>00217-507-31</t>
  </si>
  <si>
    <t>ARKU150130 /6</t>
  </si>
  <si>
    <t>1441385</t>
  </si>
  <si>
    <t>00141-525-31</t>
  </si>
  <si>
    <t>HASU492916 /6</t>
  </si>
  <si>
    <t>HASU5156746 /8</t>
  </si>
  <si>
    <t>MRSU698006 /4</t>
  </si>
  <si>
    <t>CAIU634538 /3</t>
  </si>
  <si>
    <t>J1803692</t>
  </si>
  <si>
    <t>00582-510-31</t>
  </si>
  <si>
    <t>001766-508-31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</si>
</sst>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15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000000"/>
      <name val="Segoe UI"/>
      <family val="2"/>
    </font>
    <font>
      <sz val="10"/>
      <color rgb="FF334155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6" fillId="6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/>
    </xf>
    <xf numFmtId="0" fontId="6" fillId="0" borderId="0" xfId="0" applyFont="1" applyAlignment="1">
      <alignment vertical="center"/>
    </xf>
    <xf numFmtId="14" fontId="9" fillId="0" borderId="0" xfId="0" applyNumberFormat="1" applyFont="1" applyAlignment="1">
      <alignment horizontal="center" vertical="center"/>
    </xf>
    <xf numFmtId="0" fontId="10" fillId="0" borderId="0" xfId="0" applyFont="1"/>
    <xf numFmtId="0" fontId="7" fillId="8" borderId="2" xfId="0" applyFont="1" applyFill="1" applyBorder="1" applyAlignment="1">
      <alignment horizontal="center" vertical="center" wrapText="1"/>
    </xf>
    <xf numFmtId="0" fontId="7" fillId="8" borderId="3" xfId="0" applyFont="1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5" fontId="11" fillId="0" borderId="5" xfId="0" applyNumberFormat="1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14" fontId="13" fillId="0" borderId="5" xfId="0" applyNumberFormat="1" applyFont="1" applyBorder="1" applyAlignment="1">
      <alignment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11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 vertical="center" wrapText="1"/>
    </xf>
    <xf numFmtId="0" fontId="0" fillId="0" borderId="5" xfId="0" applyBorder="1"/>
    <xf numFmtId="0" fontId="11" fillId="0" borderId="0" xfId="0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11" fillId="0" borderId="5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14" fontId="13" fillId="0" borderId="5" xfId="0" applyNumberFormat="1" applyFont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114297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1113887-0B1F-4EA7-BE9B-FAED5B7DF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133347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3BCA99A-AAF0-44F7-96D6-622ACC177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143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152397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888A717-941B-42BF-A098-CE87885688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5333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4E8F3-6789-4A30-A0C0-D561ABF2356F}">
  <dimension ref="A1:F24"/>
  <sheetViews>
    <sheetView tabSelected="1" workbookViewId="0">
      <selection activeCell="C5" sqref="C5"/>
    </sheetView>
  </sheetViews>
  <sheetFormatPr baseColWidth="10" defaultColWidth="9.140625" defaultRowHeight="15" x14ac:dyDescent="0.25"/>
  <cols>
    <col min="1" max="1" width="37.42578125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46296</v>
      </c>
      <c r="B2" s="3">
        <f>'01-10'!H1</f>
        <v>0</v>
      </c>
      <c r="C2" s="3">
        <f>'01-10'!H2</f>
        <v>1</v>
      </c>
      <c r="D2" s="4">
        <f>B2+C2</f>
        <v>1</v>
      </c>
      <c r="F2" s="3"/>
    </row>
    <row r="3" spans="1:6" ht="16.5" x14ac:dyDescent="0.25">
      <c r="A3" s="2">
        <v>46299</v>
      </c>
      <c r="B3" s="3">
        <f>'04-10'!J1</f>
        <v>5</v>
      </c>
      <c r="C3" s="3">
        <f>'04-10'!J2</f>
        <v>3</v>
      </c>
      <c r="D3" s="4">
        <f>B3+C3</f>
        <v>8</v>
      </c>
      <c r="F3" s="3"/>
    </row>
    <row r="4" spans="1:6" ht="16.5" x14ac:dyDescent="0.25">
      <c r="A4" s="2">
        <v>46300</v>
      </c>
      <c r="B4" s="3">
        <f>'05-10'!H1</f>
        <v>0</v>
      </c>
      <c r="C4" s="3">
        <f>'05-10'!H2</f>
        <v>2</v>
      </c>
      <c r="D4" s="4">
        <f>B4+C4</f>
        <v>2</v>
      </c>
      <c r="F4" s="3"/>
    </row>
    <row r="5" spans="1:6" ht="16.5" x14ac:dyDescent="0.25">
      <c r="A5" s="2">
        <v>46301</v>
      </c>
      <c r="B5" s="3"/>
      <c r="C5" s="3"/>
      <c r="D5" s="4"/>
      <c r="F5" s="3"/>
    </row>
    <row r="6" spans="1:6" ht="16.5" x14ac:dyDescent="0.25">
      <c r="A6" s="2">
        <v>46302</v>
      </c>
      <c r="B6" s="3"/>
      <c r="C6" s="3"/>
      <c r="D6" s="4"/>
      <c r="F6" s="3"/>
    </row>
    <row r="7" spans="1:6" ht="16.5" x14ac:dyDescent="0.25">
      <c r="A7" s="2">
        <v>46303</v>
      </c>
      <c r="B7" s="3"/>
      <c r="C7" s="3"/>
      <c r="D7" s="4"/>
      <c r="F7" s="3"/>
    </row>
    <row r="8" spans="1:6" ht="16.5" x14ac:dyDescent="0.25">
      <c r="A8" s="2"/>
      <c r="B8" s="3"/>
      <c r="C8" s="3"/>
      <c r="D8" s="4"/>
      <c r="F8" s="3"/>
    </row>
    <row r="9" spans="1:6" ht="16.5" x14ac:dyDescent="0.25">
      <c r="A9" s="2"/>
      <c r="B9" s="3"/>
      <c r="C9" s="3"/>
      <c r="D9" s="4"/>
      <c r="F9" s="3"/>
    </row>
    <row r="10" spans="1:6" ht="16.5" x14ac:dyDescent="0.25">
      <c r="A10" s="2"/>
      <c r="B10" s="3"/>
      <c r="C10" s="3"/>
      <c r="D10" s="4"/>
      <c r="F10" s="3"/>
    </row>
    <row r="11" spans="1:6" ht="16.5" x14ac:dyDescent="0.25">
      <c r="A11" s="2"/>
      <c r="B11" s="3"/>
      <c r="C11" s="3"/>
      <c r="D11" s="4"/>
      <c r="F11" s="3"/>
    </row>
    <row r="12" spans="1:6" ht="16.5" x14ac:dyDescent="0.25">
      <c r="A12" s="2"/>
      <c r="B12" s="3"/>
      <c r="C12" s="3"/>
      <c r="D12" s="4"/>
      <c r="F12" s="3"/>
    </row>
    <row r="13" spans="1:6" ht="16.5" x14ac:dyDescent="0.25">
      <c r="A13" s="2"/>
      <c r="B13" s="3"/>
      <c r="C13" s="3"/>
      <c r="D13" s="4"/>
      <c r="F13" s="3"/>
    </row>
    <row r="14" spans="1:6" ht="16.5" x14ac:dyDescent="0.25">
      <c r="A14" s="2"/>
      <c r="B14" s="3"/>
      <c r="C14" s="3"/>
      <c r="D14" s="4"/>
      <c r="F14" s="3"/>
    </row>
    <row r="15" spans="1:6" ht="16.5" x14ac:dyDescent="0.25">
      <c r="A15" s="2"/>
      <c r="B15" s="3"/>
      <c r="C15" s="3"/>
      <c r="D15" s="4"/>
      <c r="F15" s="3"/>
    </row>
    <row r="16" spans="1:6" ht="16.5" x14ac:dyDescent="0.25">
      <c r="A16" s="2"/>
      <c r="B16" s="3"/>
      <c r="C16" s="3"/>
      <c r="D16" s="4"/>
      <c r="F16" s="3"/>
    </row>
    <row r="17" spans="1:6" ht="16.5" x14ac:dyDescent="0.25">
      <c r="A17" s="2"/>
      <c r="B17" s="3"/>
      <c r="C17" s="3"/>
      <c r="D17" s="4"/>
      <c r="F17" s="3"/>
    </row>
    <row r="18" spans="1:6" ht="16.5" x14ac:dyDescent="0.25">
      <c r="A18" s="2"/>
      <c r="B18" s="3"/>
      <c r="C18" s="3"/>
      <c r="D18" s="4"/>
      <c r="F18" s="3"/>
    </row>
    <row r="19" spans="1:6" ht="16.5" x14ac:dyDescent="0.25">
      <c r="A19" s="2"/>
      <c r="B19" s="3"/>
      <c r="C19" s="3"/>
      <c r="D19" s="4"/>
      <c r="F19" s="3"/>
    </row>
    <row r="20" spans="1:6" ht="16.5" x14ac:dyDescent="0.25">
      <c r="A20" s="2"/>
      <c r="B20" s="3"/>
      <c r="C20" s="3"/>
      <c r="D20" s="4"/>
      <c r="F20" s="3"/>
    </row>
    <row r="21" spans="1:6" ht="16.5" x14ac:dyDescent="0.25">
      <c r="A21" s="2"/>
      <c r="B21" s="3"/>
      <c r="C21" s="3"/>
      <c r="D21" s="4"/>
      <c r="F21" s="3"/>
    </row>
    <row r="22" spans="1:6" ht="16.5" x14ac:dyDescent="0.25">
      <c r="A22" s="2"/>
      <c r="B22" s="3"/>
      <c r="C22" s="3"/>
      <c r="D22" s="4"/>
      <c r="F22" s="3"/>
    </row>
    <row r="23" spans="1:6" ht="16.5" x14ac:dyDescent="0.25">
      <c r="A23" s="2"/>
      <c r="B23" s="3"/>
      <c r="C23" s="3"/>
      <c r="D23" s="4"/>
      <c r="F23" s="3"/>
    </row>
    <row r="24" spans="1:6" ht="16.5" x14ac:dyDescent="0.25">
      <c r="A24" s="1" t="s">
        <v>5</v>
      </c>
      <c r="B24" s="5">
        <f>SUM(B2:B23)</f>
        <v>5</v>
      </c>
      <c r="C24" s="5">
        <f>SUM(C2:C23)</f>
        <v>6</v>
      </c>
      <c r="D24" s="5">
        <f>SUM(D2:D19)</f>
        <v>11</v>
      </c>
      <c r="E24" s="5"/>
      <c r="F24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27B32-66FD-4821-B5A5-DCC3BF3FE01D}">
  <dimension ref="A1:M42"/>
  <sheetViews>
    <sheetView topLeftCell="A14" workbookViewId="0">
      <selection activeCell="E38" activeCellId="1" sqref="C38:C39 E38:E39"/>
    </sheetView>
  </sheetViews>
  <sheetFormatPr baseColWidth="10" defaultRowHeight="15" x14ac:dyDescent="0.25"/>
  <cols>
    <col min="1" max="1" width="3.140625" style="23" bestFit="1" customWidth="1"/>
    <col min="2" max="2" width="15.570312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0" width="11.42578125" style="23"/>
    <col min="11" max="11" width="14.7109375" style="23" bestFit="1" customWidth="1"/>
    <col min="12" max="16384" width="11.42578125" style="23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1</v>
      </c>
      <c r="I2" s="9" t="s">
        <v>6</v>
      </c>
      <c r="J2" s="10">
        <f>COUNTIF(E20:E29,"VIDE")</f>
        <v>0</v>
      </c>
    </row>
    <row r="3" spans="1:10" s="7" customFormat="1" ht="25.5" x14ac:dyDescent="0.25">
      <c r="A3" s="50" t="s">
        <v>8</v>
      </c>
      <c r="B3" s="50"/>
      <c r="C3" s="50"/>
      <c r="D3" s="50"/>
      <c r="E3" s="50"/>
      <c r="F3" s="50"/>
      <c r="G3" s="50"/>
      <c r="H3" s="5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46296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8"/>
      <c r="C8" s="19"/>
      <c r="D8" s="20"/>
      <c r="E8" s="20"/>
      <c r="F8" s="21"/>
      <c r="G8" s="22"/>
    </row>
    <row r="9" spans="1:10" ht="15.75" x14ac:dyDescent="0.25">
      <c r="A9" s="17">
        <v>2</v>
      </c>
      <c r="B9" s="24"/>
      <c r="C9" s="19"/>
      <c r="D9" s="25"/>
      <c r="E9" s="26"/>
      <c r="F9" s="26"/>
      <c r="G9" s="22"/>
    </row>
    <row r="10" spans="1:10" ht="15.75" x14ac:dyDescent="0.25">
      <c r="A10" s="17">
        <v>3</v>
      </c>
      <c r="B10" s="24"/>
      <c r="C10" s="19"/>
      <c r="D10" s="26"/>
      <c r="E10" s="26"/>
      <c r="F10" s="26"/>
      <c r="G10" s="22"/>
    </row>
    <row r="11" spans="1:10" ht="15.75" x14ac:dyDescent="0.25">
      <c r="A11" s="17">
        <v>4</v>
      </c>
      <c r="B11" s="24"/>
      <c r="C11" s="19"/>
      <c r="D11" s="26"/>
      <c r="E11" s="26"/>
      <c r="F11" s="26"/>
      <c r="G11" s="22"/>
    </row>
    <row r="12" spans="1:10" ht="15.75" x14ac:dyDescent="0.25">
      <c r="A12" s="17">
        <v>5</v>
      </c>
      <c r="B12" s="24"/>
      <c r="C12" s="19"/>
      <c r="D12" s="26"/>
      <c r="E12" s="27"/>
      <c r="F12" s="26"/>
      <c r="G12" s="22"/>
    </row>
    <row r="13" spans="1:10" ht="15.75" x14ac:dyDescent="0.25">
      <c r="A13" s="17">
        <v>6</v>
      </c>
      <c r="B13" s="24"/>
      <c r="C13" s="19"/>
      <c r="D13" s="26"/>
      <c r="E13" s="27"/>
      <c r="F13" s="26"/>
      <c r="G13" s="22"/>
    </row>
    <row r="14" spans="1:10" ht="15.75" x14ac:dyDescent="0.25">
      <c r="A14" s="17">
        <v>7</v>
      </c>
      <c r="B14" s="24"/>
      <c r="C14" s="19"/>
      <c r="D14" s="26"/>
      <c r="E14" s="27"/>
      <c r="F14" s="26"/>
      <c r="G14" s="22"/>
    </row>
    <row r="15" spans="1:10" ht="15.75" x14ac:dyDescent="0.25">
      <c r="A15" s="17">
        <v>8</v>
      </c>
      <c r="B15" s="24"/>
      <c r="C15" s="19"/>
      <c r="D15" s="28"/>
      <c r="E15" s="27"/>
      <c r="F15" s="26"/>
      <c r="G15" s="22"/>
    </row>
    <row r="16" spans="1:10" ht="15.75" x14ac:dyDescent="0.25">
      <c r="A16" s="6"/>
      <c r="B16" s="22"/>
      <c r="C16" s="7"/>
      <c r="D16" s="29"/>
      <c r="E16" s="29"/>
      <c r="F16" s="29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30">
        <v>1</v>
      </c>
      <c r="B20" s="19">
        <v>1102026</v>
      </c>
      <c r="C20" s="31" t="s">
        <v>31</v>
      </c>
      <c r="D20" s="32" t="s">
        <v>32</v>
      </c>
      <c r="E20" s="33">
        <v>3611</v>
      </c>
      <c r="F20" s="33">
        <v>45</v>
      </c>
    </row>
    <row r="21" spans="1:13" ht="15.75" customHeight="1" x14ac:dyDescent="0.25">
      <c r="A21" s="30">
        <v>2</v>
      </c>
      <c r="B21" s="19"/>
      <c r="C21" s="31"/>
      <c r="D21" s="34"/>
      <c r="E21" s="34"/>
      <c r="F21" s="30"/>
      <c r="I21" s="35"/>
      <c r="J21" s="35"/>
      <c r="K21" s="35"/>
      <c r="L21" s="35"/>
      <c r="M21" s="35"/>
    </row>
    <row r="22" spans="1:13" ht="15.75" customHeight="1" x14ac:dyDescent="0.25">
      <c r="A22" s="30">
        <v>3</v>
      </c>
      <c r="B22" s="19"/>
      <c r="C22" s="31"/>
      <c r="D22" s="34"/>
      <c r="E22" s="34"/>
      <c r="F22" s="31"/>
      <c r="I22" s="35"/>
      <c r="J22" s="35"/>
      <c r="K22" s="35"/>
      <c r="L22" s="35"/>
      <c r="M22" s="35"/>
    </row>
    <row r="23" spans="1:13" ht="15.75" customHeight="1" x14ac:dyDescent="0.25">
      <c r="A23" s="30">
        <v>4</v>
      </c>
      <c r="B23" s="19"/>
      <c r="C23" s="31"/>
      <c r="D23" s="34"/>
      <c r="E23" s="34"/>
      <c r="F23" s="31"/>
      <c r="I23" s="35"/>
      <c r="J23" s="35"/>
      <c r="K23" s="35"/>
      <c r="L23" s="35"/>
      <c r="M23" s="35"/>
    </row>
    <row r="24" spans="1:13" ht="15.75" customHeight="1" x14ac:dyDescent="0.25">
      <c r="A24" s="30">
        <v>5</v>
      </c>
      <c r="B24" s="19"/>
      <c r="C24" s="31"/>
      <c r="D24" s="34"/>
      <c r="E24" s="34"/>
      <c r="F24" s="31"/>
      <c r="I24" s="35"/>
      <c r="J24" s="35"/>
      <c r="K24" s="35"/>
      <c r="L24" s="35"/>
      <c r="M24" s="35"/>
    </row>
    <row r="25" spans="1:13" ht="15.75" customHeight="1" x14ac:dyDescent="0.25">
      <c r="A25" s="30">
        <v>6</v>
      </c>
      <c r="B25" s="19"/>
      <c r="C25" s="31"/>
      <c r="D25" s="34"/>
      <c r="E25" s="34"/>
      <c r="F25" s="31"/>
      <c r="I25" s="35"/>
      <c r="J25" s="35"/>
      <c r="K25" s="35"/>
      <c r="L25" s="35"/>
      <c r="M25" s="35"/>
    </row>
    <row r="26" spans="1:13" ht="15.75" customHeight="1" x14ac:dyDescent="0.25">
      <c r="A26" s="30">
        <v>7</v>
      </c>
      <c r="B26" s="19"/>
      <c r="C26" s="31"/>
      <c r="D26" s="30"/>
      <c r="E26" s="34"/>
      <c r="F26" s="31"/>
      <c r="I26" s="35"/>
      <c r="J26" s="35"/>
      <c r="K26" s="35"/>
      <c r="L26" s="35"/>
      <c r="M26" s="35"/>
    </row>
    <row r="27" spans="1:13" x14ac:dyDescent="0.25">
      <c r="A27" s="30">
        <v>8</v>
      </c>
      <c r="B27" s="19"/>
      <c r="C27" s="31"/>
      <c r="D27" s="36"/>
      <c r="E27" s="34"/>
      <c r="F27" s="31"/>
    </row>
    <row r="28" spans="1:13" x14ac:dyDescent="0.25">
      <c r="A28" s="30">
        <v>9</v>
      </c>
      <c r="B28" s="19"/>
      <c r="C28" s="31"/>
      <c r="D28" s="32"/>
      <c r="E28" s="34"/>
      <c r="F28" s="31"/>
    </row>
    <row r="29" spans="1:13" x14ac:dyDescent="0.25">
      <c r="A29" s="30">
        <v>10</v>
      </c>
      <c r="B29" s="19"/>
      <c r="C29" s="37"/>
      <c r="D29" s="36"/>
      <c r="E29" s="34"/>
      <c r="F29" s="30"/>
    </row>
    <row r="30" spans="1:13" ht="15.75" customHeight="1" x14ac:dyDescent="0.25">
      <c r="A30" s="30">
        <v>11</v>
      </c>
      <c r="B30" s="19"/>
      <c r="C30" s="37"/>
      <c r="D30" s="38"/>
      <c r="E30" s="34"/>
      <c r="F30" s="30"/>
    </row>
    <row r="31" spans="1:13" ht="15.75" customHeight="1" x14ac:dyDescent="0.25">
      <c r="A31" s="39"/>
      <c r="B31" s="40"/>
      <c r="C31" s="41"/>
      <c r="D31"/>
      <c r="E31" s="42"/>
      <c r="F31" s="39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30">
        <v>1</v>
      </c>
      <c r="B35" s="19">
        <v>1102026</v>
      </c>
      <c r="C35" s="36" t="s">
        <v>23</v>
      </c>
      <c r="D35" s="32" t="s">
        <v>24</v>
      </c>
      <c r="E35" s="43">
        <v>3614</v>
      </c>
      <c r="F35" s="43">
        <v>45</v>
      </c>
    </row>
    <row r="36" spans="1:6" ht="15.75" customHeight="1" x14ac:dyDescent="0.25">
      <c r="A36" s="30">
        <v>2</v>
      </c>
      <c r="B36" s="19">
        <v>1102026</v>
      </c>
      <c r="C36" s="32" t="s">
        <v>25</v>
      </c>
      <c r="D36" s="33"/>
      <c r="E36" s="43">
        <v>3615</v>
      </c>
      <c r="F36" s="43">
        <v>40</v>
      </c>
    </row>
    <row r="37" spans="1:6" ht="15.75" customHeight="1" x14ac:dyDescent="0.25">
      <c r="A37" s="30">
        <v>3</v>
      </c>
      <c r="B37" s="19">
        <v>1102026</v>
      </c>
      <c r="C37" s="36" t="s">
        <v>26</v>
      </c>
      <c r="D37" s="33"/>
      <c r="E37" s="43">
        <v>3616</v>
      </c>
      <c r="F37" s="43">
        <v>40</v>
      </c>
    </row>
    <row r="38" spans="1:6" ht="15.75" customHeight="1" x14ac:dyDescent="0.25">
      <c r="A38" s="30">
        <v>4</v>
      </c>
      <c r="B38" s="19">
        <v>1102026</v>
      </c>
      <c r="C38" s="36" t="s">
        <v>27</v>
      </c>
      <c r="D38" s="36" t="s">
        <v>29</v>
      </c>
      <c r="E38" s="43">
        <v>3617</v>
      </c>
      <c r="F38" s="43">
        <v>40</v>
      </c>
    </row>
    <row r="39" spans="1:6" ht="15.75" customHeight="1" x14ac:dyDescent="0.25">
      <c r="A39" s="30">
        <v>5</v>
      </c>
      <c r="B39" s="19">
        <v>1102026</v>
      </c>
      <c r="C39" s="36" t="s">
        <v>28</v>
      </c>
      <c r="D39" s="36" t="s">
        <v>30</v>
      </c>
      <c r="E39" s="43">
        <v>3618</v>
      </c>
      <c r="F39" s="43">
        <v>40</v>
      </c>
    </row>
    <row r="40" spans="1:6" x14ac:dyDescent="0.25">
      <c r="A40" s="44">
        <v>6</v>
      </c>
      <c r="B40" s="19"/>
      <c r="C40" s="30"/>
      <c r="D40" s="45"/>
      <c r="E40" s="33"/>
      <c r="F40" s="33"/>
    </row>
    <row r="41" spans="1:6" x14ac:dyDescent="0.25">
      <c r="A41" s="44">
        <v>7</v>
      </c>
      <c r="B41" s="19"/>
      <c r="C41" s="33"/>
      <c r="D41" s="30"/>
      <c r="E41" s="33"/>
      <c r="F41" s="30"/>
    </row>
    <row r="42" spans="1:6" x14ac:dyDescent="0.25">
      <c r="F42" s="46"/>
    </row>
  </sheetData>
  <mergeCells count="1">
    <mergeCell ref="A3:H3"/>
  </mergeCells>
  <dataValidations count="2">
    <dataValidation type="list" allowBlank="1" showInputMessage="1" showErrorMessage="1" sqref="F8:F15" xr:uid="{E4792156-D329-4B1D-9561-18D927C5909F}">
      <formula1>"20,40,45,50"</formula1>
      <formula2>0</formula2>
    </dataValidation>
    <dataValidation type="list" allowBlank="1" showInputMessage="1" showErrorMessage="1" sqref="F41 F16" xr:uid="{E580AEA6-B8E2-400E-9C98-01310A5A125D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F543D-4975-46C5-B25F-16F918CE2918}">
  <dimension ref="A1:M42"/>
  <sheetViews>
    <sheetView workbookViewId="0">
      <selection activeCell="H1" sqref="H1:L2"/>
    </sheetView>
  </sheetViews>
  <sheetFormatPr baseColWidth="10" defaultRowHeight="15" x14ac:dyDescent="0.25"/>
  <cols>
    <col min="1" max="1" width="3.140625" style="23" bestFit="1" customWidth="1"/>
    <col min="2" max="2" width="15.570312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0" width="11.42578125" style="23"/>
    <col min="11" max="11" width="14.7109375" style="23" bestFit="1" customWidth="1"/>
    <col min="12" max="16384" width="11.42578125" style="23"/>
  </cols>
  <sheetData>
    <row r="1" spans="1:12" s="7" customFormat="1" ht="15.75" x14ac:dyDescent="0.25">
      <c r="A1" s="6"/>
      <c r="J1" s="8">
        <f>COUNTIF(C8:C15,"&lt;&gt;")</f>
        <v>5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50" t="s">
        <v>8</v>
      </c>
      <c r="B3" s="50"/>
      <c r="C3" s="50"/>
      <c r="D3" s="50"/>
      <c r="E3" s="50"/>
      <c r="F3" s="50"/>
      <c r="G3" s="50"/>
      <c r="H3" s="50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46299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30" t="s">
        <v>45</v>
      </c>
      <c r="C8" s="19">
        <v>4102026</v>
      </c>
      <c r="D8" s="28" t="s">
        <v>33</v>
      </c>
      <c r="E8" s="28" t="s">
        <v>34</v>
      </c>
      <c r="F8" s="26" t="s">
        <v>35</v>
      </c>
      <c r="G8" s="22"/>
    </row>
    <row r="9" spans="1:12" ht="15.75" x14ac:dyDescent="0.25">
      <c r="A9" s="17">
        <v>2</v>
      </c>
      <c r="B9" s="48" t="s">
        <v>46</v>
      </c>
      <c r="C9" s="19">
        <v>4102026</v>
      </c>
      <c r="D9" s="26" t="s">
        <v>36</v>
      </c>
      <c r="E9" s="26" t="s">
        <v>37</v>
      </c>
      <c r="F9" s="26" t="s">
        <v>38</v>
      </c>
      <c r="G9" s="22"/>
    </row>
    <row r="10" spans="1:12" ht="15.75" x14ac:dyDescent="0.25">
      <c r="A10" s="17">
        <v>3</v>
      </c>
      <c r="B10" s="48" t="s">
        <v>46</v>
      </c>
      <c r="C10" s="19">
        <v>4102026</v>
      </c>
      <c r="D10" s="26" t="s">
        <v>39</v>
      </c>
      <c r="E10" s="26" t="s">
        <v>40</v>
      </c>
      <c r="F10" s="26" t="s">
        <v>38</v>
      </c>
      <c r="G10" s="22"/>
    </row>
    <row r="11" spans="1:12" ht="15.75" x14ac:dyDescent="0.25">
      <c r="A11" s="17">
        <v>4</v>
      </c>
      <c r="B11" s="48" t="s">
        <v>47</v>
      </c>
      <c r="C11" s="19">
        <v>4102026</v>
      </c>
      <c r="D11" s="26" t="s">
        <v>41</v>
      </c>
      <c r="E11" s="26" t="s">
        <v>42</v>
      </c>
      <c r="F11" s="26" t="s">
        <v>35</v>
      </c>
      <c r="G11" s="22"/>
    </row>
    <row r="12" spans="1:12" ht="15.75" x14ac:dyDescent="0.25">
      <c r="A12" s="17">
        <v>5</v>
      </c>
      <c r="B12" s="48" t="s">
        <v>47</v>
      </c>
      <c r="C12" s="19">
        <v>4102026</v>
      </c>
      <c r="D12" s="26" t="s">
        <v>43</v>
      </c>
      <c r="E12" s="27" t="s">
        <v>44</v>
      </c>
      <c r="F12" s="26" t="s">
        <v>35</v>
      </c>
      <c r="G12" s="22"/>
    </row>
    <row r="13" spans="1:12" ht="15.75" x14ac:dyDescent="0.25">
      <c r="A13" s="17">
        <v>6</v>
      </c>
      <c r="B13" s="47"/>
      <c r="C13" s="19"/>
      <c r="D13" s="26"/>
      <c r="E13" s="27"/>
      <c r="F13" s="26"/>
      <c r="G13" s="22"/>
    </row>
    <row r="14" spans="1:12" ht="15.75" x14ac:dyDescent="0.25">
      <c r="A14" s="17">
        <v>7</v>
      </c>
      <c r="B14" s="24"/>
      <c r="C14" s="19"/>
      <c r="D14" s="26"/>
      <c r="E14" s="27"/>
      <c r="F14" s="26"/>
      <c r="G14" s="22"/>
    </row>
    <row r="15" spans="1:12" ht="15.75" x14ac:dyDescent="0.25">
      <c r="A15" s="17">
        <v>8</v>
      </c>
      <c r="B15" s="24"/>
      <c r="C15" s="19"/>
      <c r="D15" s="28"/>
      <c r="E15" s="27"/>
      <c r="F15" s="26"/>
      <c r="G15" s="22"/>
    </row>
    <row r="16" spans="1:12" ht="15.75" x14ac:dyDescent="0.25">
      <c r="A16" s="6"/>
      <c r="B16" s="22"/>
      <c r="C16" s="7"/>
      <c r="D16" s="29"/>
      <c r="E16" s="29"/>
      <c r="F16" s="29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30">
        <v>1</v>
      </c>
      <c r="B20" s="19">
        <v>4102026</v>
      </c>
      <c r="C20" s="31" t="s">
        <v>51</v>
      </c>
      <c r="D20" s="32" t="s">
        <v>48</v>
      </c>
      <c r="E20" s="33">
        <v>3666</v>
      </c>
      <c r="F20" s="33">
        <v>40</v>
      </c>
    </row>
    <row r="21" spans="1:13" ht="15.75" customHeight="1" x14ac:dyDescent="0.25">
      <c r="A21" s="30">
        <v>2</v>
      </c>
      <c r="B21" s="19">
        <v>4102026</v>
      </c>
      <c r="C21" s="31" t="s">
        <v>50</v>
      </c>
      <c r="D21" s="36" t="s">
        <v>49</v>
      </c>
      <c r="E21" s="49">
        <v>3669</v>
      </c>
      <c r="F21" s="33">
        <v>40</v>
      </c>
      <c r="I21" s="35"/>
      <c r="J21" s="35"/>
      <c r="K21" s="35"/>
      <c r="L21" s="35"/>
      <c r="M21" s="35"/>
    </row>
    <row r="22" spans="1:13" ht="15.75" customHeight="1" x14ac:dyDescent="0.25">
      <c r="A22" s="30">
        <v>3</v>
      </c>
      <c r="B22" s="19">
        <v>4102026</v>
      </c>
      <c r="C22" s="31" t="s">
        <v>54</v>
      </c>
      <c r="D22" s="28" t="s">
        <v>52</v>
      </c>
      <c r="E22" s="28" t="s">
        <v>53</v>
      </c>
      <c r="F22" s="26">
        <v>20</v>
      </c>
      <c r="I22" s="35"/>
      <c r="J22" s="35"/>
      <c r="K22" s="35"/>
      <c r="L22" s="35"/>
      <c r="M22" s="35"/>
    </row>
    <row r="23" spans="1:13" ht="15.75" customHeight="1" x14ac:dyDescent="0.25">
      <c r="A23" s="30">
        <v>4</v>
      </c>
      <c r="B23" s="19"/>
      <c r="C23" s="31"/>
      <c r="D23" s="34"/>
      <c r="E23" s="34"/>
      <c r="F23" s="31"/>
      <c r="I23" s="35"/>
      <c r="J23" s="35"/>
      <c r="K23" s="35"/>
      <c r="L23" s="35"/>
      <c r="M23" s="35"/>
    </row>
    <row r="24" spans="1:13" ht="15.75" customHeight="1" x14ac:dyDescent="0.25">
      <c r="A24" s="30">
        <v>5</v>
      </c>
      <c r="B24" s="19"/>
      <c r="C24" s="31"/>
      <c r="D24" s="34"/>
      <c r="E24" s="34"/>
      <c r="F24" s="31"/>
      <c r="I24" s="35"/>
      <c r="J24" s="35"/>
      <c r="K24" s="35"/>
      <c r="L24" s="35"/>
      <c r="M24" s="35"/>
    </row>
    <row r="25" spans="1:13" ht="15.75" customHeight="1" x14ac:dyDescent="0.25">
      <c r="A25" s="30">
        <v>6</v>
      </c>
      <c r="B25" s="19"/>
      <c r="C25" s="31"/>
      <c r="D25" s="34"/>
      <c r="E25" s="34"/>
      <c r="F25" s="31"/>
      <c r="I25" s="35"/>
      <c r="J25" s="35"/>
      <c r="K25" s="35"/>
      <c r="L25" s="35"/>
      <c r="M25" s="35"/>
    </row>
    <row r="26" spans="1:13" ht="15.75" customHeight="1" x14ac:dyDescent="0.25">
      <c r="A26" s="30">
        <v>7</v>
      </c>
      <c r="B26" s="19"/>
      <c r="C26" s="31"/>
      <c r="D26" s="30"/>
      <c r="E26" s="34"/>
      <c r="F26" s="31"/>
      <c r="I26" s="35"/>
      <c r="J26" s="35"/>
      <c r="K26" s="35"/>
      <c r="L26" s="35"/>
      <c r="M26" s="35"/>
    </row>
    <row r="27" spans="1:13" x14ac:dyDescent="0.25">
      <c r="A27" s="30">
        <v>8</v>
      </c>
      <c r="B27" s="19"/>
      <c r="C27" s="31"/>
      <c r="D27" s="36"/>
      <c r="E27" s="34"/>
      <c r="F27" s="31"/>
    </row>
    <row r="28" spans="1:13" x14ac:dyDescent="0.25">
      <c r="A28" s="30">
        <v>9</v>
      </c>
      <c r="B28" s="19"/>
      <c r="C28" s="31"/>
      <c r="D28" s="32"/>
      <c r="E28" s="34"/>
      <c r="F28" s="31"/>
    </row>
    <row r="29" spans="1:13" x14ac:dyDescent="0.25">
      <c r="A29" s="30">
        <v>10</v>
      </c>
      <c r="B29" s="19"/>
      <c r="C29" s="37"/>
      <c r="D29" s="36"/>
      <c r="E29" s="34"/>
      <c r="F29" s="30"/>
    </row>
    <row r="30" spans="1:13" ht="15.75" customHeight="1" x14ac:dyDescent="0.25">
      <c r="A30" s="30">
        <v>11</v>
      </c>
      <c r="B30" s="19"/>
      <c r="C30" s="37"/>
      <c r="D30" s="38"/>
      <c r="E30" s="34"/>
      <c r="F30" s="30"/>
    </row>
    <row r="31" spans="1:13" ht="15.75" customHeight="1" x14ac:dyDescent="0.25">
      <c r="A31" s="39"/>
      <c r="B31" s="40"/>
      <c r="C31" s="41"/>
      <c r="D31"/>
      <c r="E31" s="42"/>
      <c r="F31" s="39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30">
        <v>1</v>
      </c>
      <c r="B35" s="19"/>
      <c r="C35" s="36"/>
      <c r="D35" s="32"/>
      <c r="E35" s="43"/>
      <c r="F35" s="43"/>
    </row>
    <row r="36" spans="1:6" ht="15.75" customHeight="1" x14ac:dyDescent="0.25">
      <c r="A36" s="30">
        <v>2</v>
      </c>
      <c r="B36" s="19"/>
      <c r="C36" s="32"/>
      <c r="D36" s="33"/>
      <c r="E36" s="43"/>
      <c r="F36" s="43"/>
    </row>
    <row r="37" spans="1:6" ht="15.75" customHeight="1" x14ac:dyDescent="0.25">
      <c r="A37" s="30">
        <v>3</v>
      </c>
      <c r="B37" s="19"/>
      <c r="C37" s="36"/>
      <c r="D37" s="33"/>
      <c r="E37" s="43"/>
      <c r="F37" s="43"/>
    </row>
    <row r="38" spans="1:6" ht="15.75" customHeight="1" x14ac:dyDescent="0.25">
      <c r="A38" s="30">
        <v>4</v>
      </c>
      <c r="B38" s="19"/>
      <c r="C38" s="36"/>
      <c r="D38" s="36"/>
      <c r="E38" s="43"/>
      <c r="F38" s="43"/>
    </row>
    <row r="39" spans="1:6" ht="15.75" customHeight="1" x14ac:dyDescent="0.25">
      <c r="A39" s="30">
        <v>5</v>
      </c>
      <c r="B39" s="19"/>
      <c r="C39" s="36"/>
      <c r="D39" s="36"/>
      <c r="E39" s="43"/>
      <c r="F39" s="43"/>
    </row>
    <row r="40" spans="1:6" x14ac:dyDescent="0.25">
      <c r="A40" s="33">
        <v>6</v>
      </c>
      <c r="B40" s="19"/>
      <c r="C40" s="30"/>
      <c r="D40" s="45"/>
      <c r="E40" s="33"/>
      <c r="F40" s="33"/>
    </row>
    <row r="41" spans="1:6" x14ac:dyDescent="0.25">
      <c r="A41" s="33">
        <v>7</v>
      </c>
      <c r="B41" s="19"/>
      <c r="C41" s="33"/>
      <c r="D41" s="30"/>
      <c r="E41" s="33"/>
      <c r="F41" s="30"/>
    </row>
    <row r="42" spans="1:6" x14ac:dyDescent="0.25">
      <c r="F42" s="46"/>
    </row>
  </sheetData>
  <mergeCells count="1">
    <mergeCell ref="A3:H3"/>
  </mergeCells>
  <dataValidations count="2">
    <dataValidation type="list" allowBlank="1" showInputMessage="1" showErrorMessage="1" sqref="F41 F16" xr:uid="{2C47AF88-9A31-4D84-B329-10A92F3AA1C7}">
      <formula1>"20,40,45,50"</formula1>
    </dataValidation>
    <dataValidation type="list" allowBlank="1" showInputMessage="1" showErrorMessage="1" sqref="F8:F15 F21:F22" xr:uid="{06CE73C6-C0D9-4337-9429-05602BB111C3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CDFBC-7B67-49C8-BC1D-EC76810F57FF}">
  <dimension ref="A1:M42"/>
  <sheetViews>
    <sheetView topLeftCell="A12" workbookViewId="0">
      <selection activeCell="H40" sqref="H40"/>
    </sheetView>
  </sheetViews>
  <sheetFormatPr baseColWidth="10" defaultRowHeight="15" x14ac:dyDescent="0.25"/>
  <cols>
    <col min="1" max="1" width="3.140625" style="23" bestFit="1" customWidth="1"/>
    <col min="2" max="2" width="15.5703125" style="23" bestFit="1" customWidth="1"/>
    <col min="3" max="3" width="19.28515625" style="23" customWidth="1"/>
    <col min="4" max="4" width="19.140625" style="23" customWidth="1"/>
    <col min="5" max="5" width="14.28515625" style="23" customWidth="1"/>
    <col min="6" max="6" width="13.85546875" style="23" bestFit="1" customWidth="1"/>
    <col min="7" max="7" width="12.140625" style="23" bestFit="1" customWidth="1"/>
    <col min="8" max="10" width="11.42578125" style="23"/>
    <col min="11" max="11" width="14.7109375" style="23" bestFit="1" customWidth="1"/>
    <col min="12" max="16384" width="11.42578125" style="23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0</v>
      </c>
    </row>
    <row r="3" spans="1:10" s="7" customFormat="1" ht="25.5" x14ac:dyDescent="0.25">
      <c r="A3" s="50" t="s">
        <v>8</v>
      </c>
      <c r="B3" s="50"/>
      <c r="C3" s="50"/>
      <c r="D3" s="50"/>
      <c r="E3" s="50"/>
      <c r="F3" s="50"/>
      <c r="G3" s="50"/>
      <c r="H3" s="50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46300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30"/>
      <c r="C8" s="19"/>
      <c r="D8" s="28"/>
      <c r="E8" s="28"/>
      <c r="F8" s="26"/>
      <c r="G8" s="22"/>
    </row>
    <row r="9" spans="1:10" ht="15.75" x14ac:dyDescent="0.25">
      <c r="A9" s="17">
        <v>2</v>
      </c>
      <c r="B9" s="48"/>
      <c r="C9" s="19"/>
      <c r="D9" s="26"/>
      <c r="E9" s="26"/>
      <c r="F9" s="26"/>
      <c r="G9" s="22"/>
    </row>
    <row r="10" spans="1:10" ht="15.75" x14ac:dyDescent="0.25">
      <c r="A10" s="17">
        <v>3</v>
      </c>
      <c r="B10" s="48"/>
      <c r="C10" s="19"/>
      <c r="D10" s="26"/>
      <c r="E10" s="26"/>
      <c r="F10" s="26"/>
      <c r="G10" s="22"/>
    </row>
    <row r="11" spans="1:10" ht="15.75" x14ac:dyDescent="0.25">
      <c r="A11" s="17">
        <v>4</v>
      </c>
      <c r="B11" s="48"/>
      <c r="C11" s="19"/>
      <c r="D11" s="26"/>
      <c r="E11" s="26"/>
      <c r="F11" s="26"/>
      <c r="G11" s="22"/>
    </row>
    <row r="12" spans="1:10" ht="15.75" x14ac:dyDescent="0.25">
      <c r="A12" s="17">
        <v>5</v>
      </c>
      <c r="B12" s="48"/>
      <c r="C12" s="19"/>
      <c r="D12" s="26"/>
      <c r="E12" s="27"/>
      <c r="F12" s="26"/>
      <c r="G12" s="22"/>
    </row>
    <row r="13" spans="1:10" ht="15.75" x14ac:dyDescent="0.25">
      <c r="A13" s="17">
        <v>6</v>
      </c>
      <c r="B13" s="47"/>
      <c r="C13" s="19"/>
      <c r="D13" s="26"/>
      <c r="E13" s="27"/>
      <c r="F13" s="26"/>
      <c r="G13" s="22"/>
    </row>
    <row r="14" spans="1:10" ht="15.75" x14ac:dyDescent="0.25">
      <c r="A14" s="17">
        <v>7</v>
      </c>
      <c r="B14" s="24"/>
      <c r="C14" s="19"/>
      <c r="D14" s="26"/>
      <c r="E14" s="27"/>
      <c r="F14" s="26"/>
      <c r="G14" s="22"/>
    </row>
    <row r="15" spans="1:10" ht="15.75" x14ac:dyDescent="0.25">
      <c r="A15" s="17">
        <v>8</v>
      </c>
      <c r="B15" s="24"/>
      <c r="C15" s="19"/>
      <c r="D15" s="28"/>
      <c r="E15" s="27"/>
      <c r="F15" s="26"/>
      <c r="G15" s="22"/>
    </row>
    <row r="16" spans="1:10" ht="15.75" x14ac:dyDescent="0.25">
      <c r="A16" s="6"/>
      <c r="B16" s="22"/>
      <c r="C16" s="7"/>
      <c r="D16" s="29"/>
      <c r="E16" s="29"/>
      <c r="F16" s="29"/>
      <c r="G16" s="7"/>
    </row>
    <row r="17" spans="1:13" ht="15.75" x14ac:dyDescent="0.25">
      <c r="A17" s="6"/>
      <c r="B17" s="11" t="s">
        <v>16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17</v>
      </c>
      <c r="C19" s="15" t="s">
        <v>18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30">
        <v>1</v>
      </c>
      <c r="B20" s="19">
        <v>5102026</v>
      </c>
      <c r="C20" s="31" t="s">
        <v>61</v>
      </c>
      <c r="D20" s="36" t="s">
        <v>27</v>
      </c>
      <c r="E20" s="43">
        <v>3617</v>
      </c>
      <c r="F20" s="33">
        <v>40</v>
      </c>
    </row>
    <row r="21" spans="1:13" ht="15.75" customHeight="1" x14ac:dyDescent="0.25">
      <c r="A21" s="30">
        <v>2</v>
      </c>
      <c r="B21" s="19">
        <v>5102026</v>
      </c>
      <c r="C21" s="31" t="s">
        <v>60</v>
      </c>
      <c r="D21" s="36" t="s">
        <v>28</v>
      </c>
      <c r="E21" s="43">
        <v>3618</v>
      </c>
      <c r="F21" s="33">
        <v>40</v>
      </c>
      <c r="I21" s="35"/>
      <c r="J21" s="35"/>
      <c r="K21" s="35"/>
      <c r="L21" s="35"/>
      <c r="M21" s="35"/>
    </row>
    <row r="22" spans="1:13" ht="15.75" customHeight="1" x14ac:dyDescent="0.25">
      <c r="A22" s="30">
        <v>3</v>
      </c>
      <c r="B22" s="19"/>
      <c r="C22" s="31"/>
      <c r="D22" s="34"/>
      <c r="E22" s="34"/>
      <c r="F22" s="31"/>
      <c r="I22" s="35"/>
      <c r="J22" s="35"/>
      <c r="K22" s="35"/>
      <c r="L22" s="35"/>
      <c r="M22" s="35"/>
    </row>
    <row r="23" spans="1:13" ht="15.75" customHeight="1" x14ac:dyDescent="0.25">
      <c r="A23" s="30">
        <v>4</v>
      </c>
      <c r="B23" s="19"/>
      <c r="C23" s="31"/>
      <c r="D23" s="34"/>
      <c r="E23" s="34"/>
      <c r="F23" s="31"/>
      <c r="I23" s="35"/>
      <c r="J23" s="35"/>
      <c r="K23" s="35"/>
      <c r="L23" s="35"/>
      <c r="M23" s="35"/>
    </row>
    <row r="24" spans="1:13" ht="15.75" customHeight="1" x14ac:dyDescent="0.25">
      <c r="A24" s="30">
        <v>5</v>
      </c>
      <c r="B24" s="19"/>
      <c r="C24" s="31"/>
      <c r="D24" s="34"/>
      <c r="E24" s="34"/>
      <c r="F24" s="31"/>
      <c r="I24" s="35"/>
      <c r="J24" s="35"/>
      <c r="K24" s="35"/>
      <c r="L24" s="35"/>
      <c r="M24" s="35"/>
    </row>
    <row r="25" spans="1:13" ht="15.75" customHeight="1" x14ac:dyDescent="0.25">
      <c r="A25" s="30">
        <v>6</v>
      </c>
      <c r="B25" s="19"/>
      <c r="C25" s="31"/>
      <c r="D25" s="34"/>
      <c r="E25" s="34"/>
      <c r="F25" s="31"/>
      <c r="I25" s="35"/>
      <c r="J25" s="35"/>
      <c r="K25" s="35"/>
      <c r="L25" s="35"/>
      <c r="M25" s="35"/>
    </row>
    <row r="26" spans="1:13" ht="15.75" customHeight="1" x14ac:dyDescent="0.25">
      <c r="A26" s="30">
        <v>7</v>
      </c>
      <c r="B26" s="19"/>
      <c r="C26" s="31"/>
      <c r="D26" s="30"/>
      <c r="E26" s="34"/>
      <c r="F26" s="31"/>
      <c r="I26" s="35"/>
      <c r="J26" s="35"/>
      <c r="K26" s="35"/>
      <c r="L26" s="35"/>
      <c r="M26" s="35"/>
    </row>
    <row r="27" spans="1:13" x14ac:dyDescent="0.25">
      <c r="A27" s="30">
        <v>8</v>
      </c>
      <c r="B27" s="19"/>
      <c r="C27" s="31"/>
      <c r="D27" s="36"/>
      <c r="E27" s="34"/>
      <c r="F27" s="31"/>
    </row>
    <row r="28" spans="1:13" x14ac:dyDescent="0.25">
      <c r="A28" s="30">
        <v>9</v>
      </c>
      <c r="B28" s="19"/>
      <c r="C28" s="31"/>
      <c r="D28" s="32"/>
      <c r="E28" s="34"/>
      <c r="F28" s="31"/>
    </row>
    <row r="29" spans="1:13" x14ac:dyDescent="0.25">
      <c r="A29" s="30">
        <v>10</v>
      </c>
      <c r="B29" s="19"/>
      <c r="C29" s="37"/>
      <c r="D29" s="36"/>
      <c r="E29" s="34"/>
      <c r="F29" s="30"/>
    </row>
    <row r="30" spans="1:13" ht="15.75" customHeight="1" x14ac:dyDescent="0.25">
      <c r="A30" s="30">
        <v>11</v>
      </c>
      <c r="B30" s="19"/>
      <c r="C30" s="37"/>
      <c r="D30" s="38"/>
      <c r="E30" s="34"/>
      <c r="F30" s="30"/>
    </row>
    <row r="31" spans="1:13" ht="15.75" customHeight="1" x14ac:dyDescent="0.25">
      <c r="A31" s="39"/>
      <c r="B31" s="40"/>
      <c r="C31" s="41"/>
      <c r="D31"/>
      <c r="E31" s="42"/>
      <c r="F31" s="39"/>
    </row>
    <row r="32" spans="1:13" ht="15.75" x14ac:dyDescent="0.25">
      <c r="A32" s="6"/>
      <c r="B32" s="11" t="s">
        <v>19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20</v>
      </c>
      <c r="C34" s="15" t="s">
        <v>13</v>
      </c>
      <c r="D34" s="15" t="s">
        <v>21</v>
      </c>
      <c r="E34" s="15" t="s">
        <v>22</v>
      </c>
      <c r="F34" s="16" t="s">
        <v>15</v>
      </c>
    </row>
    <row r="35" spans="1:6" ht="15.75" customHeight="1" x14ac:dyDescent="0.25">
      <c r="A35" s="30">
        <v>1</v>
      </c>
      <c r="B35" s="19">
        <v>5102026</v>
      </c>
      <c r="C35" s="36" t="s">
        <v>55</v>
      </c>
      <c r="D35" s="33">
        <v>3715</v>
      </c>
      <c r="E35" s="43">
        <v>3621</v>
      </c>
      <c r="F35" s="43">
        <v>40</v>
      </c>
    </row>
    <row r="36" spans="1:6" ht="15.75" customHeight="1" x14ac:dyDescent="0.25">
      <c r="A36" s="30">
        <v>2</v>
      </c>
      <c r="B36" s="19">
        <v>5102026</v>
      </c>
      <c r="C36" s="36" t="s">
        <v>56</v>
      </c>
      <c r="D36" s="33">
        <v>3713</v>
      </c>
      <c r="E36" s="43">
        <v>3622</v>
      </c>
      <c r="F36" s="43">
        <v>40</v>
      </c>
    </row>
    <row r="37" spans="1:6" ht="15.75" customHeight="1" x14ac:dyDescent="0.25">
      <c r="A37" s="30">
        <v>3</v>
      </c>
      <c r="B37" s="19">
        <v>5102026</v>
      </c>
      <c r="C37" s="36" t="s">
        <v>57</v>
      </c>
      <c r="D37" s="33">
        <v>3716</v>
      </c>
      <c r="E37" s="43">
        <v>3623</v>
      </c>
      <c r="F37" s="43">
        <v>40</v>
      </c>
    </row>
    <row r="38" spans="1:6" ht="15.75" customHeight="1" x14ac:dyDescent="0.25">
      <c r="A38" s="30">
        <v>4</v>
      </c>
      <c r="B38" s="19">
        <v>5102026</v>
      </c>
      <c r="C38" s="28" t="s">
        <v>58</v>
      </c>
      <c r="D38" s="28" t="s">
        <v>59</v>
      </c>
      <c r="E38" s="33">
        <v>3620</v>
      </c>
      <c r="F38" s="26" t="s">
        <v>35</v>
      </c>
    </row>
    <row r="39" spans="1:6" ht="15.75" customHeight="1" x14ac:dyDescent="0.25">
      <c r="A39" s="30">
        <v>5</v>
      </c>
      <c r="B39" s="19"/>
      <c r="C39" s="36"/>
      <c r="D39" s="36"/>
      <c r="E39" s="43"/>
      <c r="F39" s="43"/>
    </row>
    <row r="40" spans="1:6" x14ac:dyDescent="0.25">
      <c r="A40" s="33">
        <v>6</v>
      </c>
      <c r="B40" s="19"/>
      <c r="C40" s="30"/>
      <c r="D40" s="45"/>
      <c r="E40" s="33"/>
      <c r="F40" s="33"/>
    </row>
    <row r="41" spans="1:6" x14ac:dyDescent="0.25">
      <c r="A41" s="33">
        <v>7</v>
      </c>
      <c r="B41" s="19"/>
      <c r="C41" s="33"/>
      <c r="D41" s="30"/>
      <c r="E41" s="33"/>
      <c r="F41" s="30"/>
    </row>
    <row r="42" spans="1:6" x14ac:dyDescent="0.25">
      <c r="F42" s="46"/>
    </row>
  </sheetData>
  <mergeCells count="1">
    <mergeCell ref="A3:H3"/>
  </mergeCells>
  <dataValidations count="2">
    <dataValidation type="list" allowBlank="1" showInputMessage="1" showErrorMessage="1" sqref="F8:F15 F21 F38" xr:uid="{B1D50973-C163-457B-B6A0-81FD3FC3B9BA}">
      <formula1>"20,40,45,50"</formula1>
      <formula2>0</formula2>
    </dataValidation>
    <dataValidation type="list" allowBlank="1" showInputMessage="1" showErrorMessage="1" sqref="F41 F16" xr:uid="{D73474D1-92DB-478B-93C4-9DC05452680F}">
      <formula1>"20,40,45,50"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DASHBOARD</vt:lpstr>
      <vt:lpstr>01-10</vt:lpstr>
      <vt:lpstr>04-10</vt:lpstr>
      <vt:lpstr>05-10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Haddad</dc:creator>
  <cp:lastModifiedBy>Samir Haddad</cp:lastModifiedBy>
  <cp:lastPrinted>2026-10-04T15:11:39Z</cp:lastPrinted>
  <dcterms:created xsi:type="dcterms:W3CDTF">2026-10-01T08:28:30Z</dcterms:created>
  <dcterms:modified xsi:type="dcterms:W3CDTF">2026-10-05T14:11:31Z</dcterms:modified>
</cp:coreProperties>
</file>