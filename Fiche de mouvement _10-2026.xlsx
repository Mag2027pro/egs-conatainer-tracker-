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4B4D1583-660A-4815-8FDE-C2567EA3B323}" xr6:coauthVersionLast="47" xr6:coauthVersionMax="47" xr10:uidLastSave="{00000000-0000-0000-0000-000000000000}"/>
  <bookViews>
    <workbookView xWindow="-120" yWindow="-120" windowWidth="29040" windowHeight="15720" tabRatio="547" activeTab="1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4" l="1"/>
  <c r="F2" i="4"/>
  <c r="H2" i="4" s="1"/>
  <c r="H1" i="4"/>
  <c r="L2" i="3"/>
  <c r="H2" i="3"/>
  <c r="J2" i="3" s="1"/>
  <c r="C3" i="1" s="1"/>
  <c r="J1" i="3"/>
  <c r="B3" i="1" s="1"/>
  <c r="J2" i="2"/>
  <c r="F2" i="2"/>
  <c r="H2" i="2" s="1"/>
  <c r="C2" i="1" s="1"/>
  <c r="H1" i="2"/>
  <c r="B2" i="1" s="1"/>
  <c r="D2" i="1" s="1"/>
  <c r="C24" i="1" l="1"/>
  <c r="D3" i="1"/>
  <c r="D24" i="1" s="1"/>
  <c r="B24" i="1"/>
</calcChain>
</file>

<file path=xl/sharedStrings.xml><?xml version="1.0" encoding="utf-8"?>
<sst xmlns="http://schemas.openxmlformats.org/spreadsheetml/2006/main" count="128" uniqueCount="62">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</sst>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dimension ref="A1:F24"/>
  <sheetViews>
    <sheetView workbookViewId="0">
      <selection activeCell="D4" sqref="D4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>B2+C2</f>
        <v>1</v>
      </c>
      <c r="F2" s="3"/>
    </row>
    <row r="3" spans="1:6" ht="16.5" x14ac:dyDescent="0.25">
      <c r="A3" s="2">
        <v>46299</v>
      </c>
      <c r="B3" s="3">
        <f>'04-10'!J1</f>
        <v>5</v>
      </c>
      <c r="C3" s="3">
        <f>'04-10'!J2</f>
        <v>3</v>
      </c>
      <c r="D3" s="4">
        <f>B3+C3</f>
        <v>8</v>
      </c>
      <c r="F3" s="3"/>
    </row>
    <row r="4" spans="1:6" ht="16.5" x14ac:dyDescent="0.25">
      <c r="A4" s="2">
        <v>46300</v>
      </c>
      <c r="B4" s="3"/>
      <c r="C4" s="3"/>
      <c r="D4" s="4"/>
      <c r="F4" s="3"/>
    </row>
    <row r="5" spans="1:6" ht="16.5" x14ac:dyDescent="0.25">
      <c r="A5" s="2">
        <v>46301</v>
      </c>
      <c r="B5" s="3"/>
      <c r="C5" s="3"/>
      <c r="D5" s="4"/>
      <c r="F5" s="3"/>
    </row>
    <row r="6" spans="1:6" ht="16.5" x14ac:dyDescent="0.25">
      <c r="A6" s="2">
        <v>46302</v>
      </c>
      <c r="B6" s="3"/>
      <c r="C6" s="3"/>
      <c r="D6" s="4"/>
      <c r="F6" s="3"/>
    </row>
    <row r="7" spans="1:6" ht="16.5" x14ac:dyDescent="0.25">
      <c r="A7" s="2">
        <v>46303</v>
      </c>
      <c r="B7" s="3"/>
      <c r="C7" s="3"/>
      <c r="D7" s="4"/>
      <c r="F7" s="3"/>
    </row>
    <row r="8" spans="1:6" ht="16.5" x14ac:dyDescent="0.25">
      <c r="A8" s="2"/>
      <c r="B8" s="3"/>
      <c r="C8" s="3"/>
      <c r="D8" s="4"/>
      <c r="F8" s="3"/>
    </row>
    <row r="9" spans="1:6" ht="16.5" x14ac:dyDescent="0.25">
      <c r="A9" s="2"/>
      <c r="B9" s="3"/>
      <c r="C9" s="3"/>
      <c r="D9" s="4"/>
      <c r="F9" s="3"/>
    </row>
    <row r="10" spans="1:6" ht="16.5" x14ac:dyDescent="0.25">
      <c r="A10" s="2"/>
      <c r="B10" s="3"/>
      <c r="C10" s="3"/>
      <c r="D10" s="4"/>
      <c r="F10" s="3"/>
    </row>
    <row r="11" spans="1:6" ht="16.5" x14ac:dyDescent="0.25">
      <c r="A11" s="2"/>
      <c r="B11" s="3"/>
      <c r="C11" s="3"/>
      <c r="D11" s="4"/>
      <c r="F11" s="3"/>
    </row>
    <row r="12" spans="1:6" ht="16.5" x14ac:dyDescent="0.25">
      <c r="A12" s="2"/>
      <c r="B12" s="3"/>
      <c r="C12" s="3"/>
      <c r="D12" s="4"/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</v>
      </c>
      <c r="C24" s="5">
        <f>SUM(C2:C23)</f>
        <v>4</v>
      </c>
      <c r="D24" s="5">
        <f>SUM(D2:D19)</f>
        <v>9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dimension ref="A1:M42"/>
  <sheetViews>
    <sheetView tabSelected="1" topLeftCell="A14" workbookViewId="0">
      <selection activeCell="E38" activeCellId="1" sqref="C38:C39 E38:E39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20"/>
      <c r="E8" s="20"/>
      <c r="F8" s="21"/>
      <c r="G8" s="22"/>
    </row>
    <row r="9" spans="1:10" ht="15.75" x14ac:dyDescent="0.25">
      <c r="A9" s="17">
        <v>2</v>
      </c>
      <c r="B9" s="24"/>
      <c r="C9" s="19"/>
      <c r="D9" s="25"/>
      <c r="E9" s="26"/>
      <c r="F9" s="26"/>
      <c r="G9" s="22"/>
    </row>
    <row r="10" spans="1:10" ht="15.75" x14ac:dyDescent="0.25">
      <c r="A10" s="17">
        <v>3</v>
      </c>
      <c r="B10" s="24"/>
      <c r="C10" s="19"/>
      <c r="D10" s="26"/>
      <c r="E10" s="26"/>
      <c r="F10" s="26"/>
      <c r="G10" s="22"/>
    </row>
    <row r="11" spans="1:10" ht="15.75" x14ac:dyDescent="0.25">
      <c r="A11" s="17">
        <v>4</v>
      </c>
      <c r="B11" s="24"/>
      <c r="C11" s="19"/>
      <c r="D11" s="26"/>
      <c r="E11" s="26"/>
      <c r="F11" s="26"/>
      <c r="G11" s="22"/>
    </row>
    <row r="12" spans="1:10" ht="15.75" x14ac:dyDescent="0.25">
      <c r="A12" s="17">
        <v>5</v>
      </c>
      <c r="B12" s="24"/>
      <c r="C12" s="19"/>
      <c r="D12" s="26"/>
      <c r="E12" s="27"/>
      <c r="F12" s="26"/>
      <c r="G12" s="22"/>
    </row>
    <row r="13" spans="1:10" ht="15.75" x14ac:dyDescent="0.25">
      <c r="A13" s="17">
        <v>6</v>
      </c>
      <c r="B13" s="24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1102026</v>
      </c>
      <c r="C20" s="31" t="s">
        <v>31</v>
      </c>
      <c r="D20" s="32" t="s">
        <v>32</v>
      </c>
      <c r="E20" s="33">
        <v>3611</v>
      </c>
      <c r="F20" s="33">
        <v>45</v>
      </c>
    </row>
    <row r="21" spans="1:13" ht="15.75" customHeight="1" x14ac:dyDescent="0.25">
      <c r="A21" s="30">
        <v>2</v>
      </c>
      <c r="B21" s="19"/>
      <c r="C21" s="31"/>
      <c r="D21" s="34"/>
      <c r="E21" s="34"/>
      <c r="F21" s="30"/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1102026</v>
      </c>
      <c r="C35" s="36" t="s">
        <v>23</v>
      </c>
      <c r="D35" s="32" t="s">
        <v>24</v>
      </c>
      <c r="E35" s="43">
        <v>3614</v>
      </c>
      <c r="F35" s="43">
        <v>45</v>
      </c>
    </row>
    <row r="36" spans="1:6" ht="15.75" customHeight="1" x14ac:dyDescent="0.25">
      <c r="A36" s="30">
        <v>2</v>
      </c>
      <c r="B36" s="19">
        <v>1102026</v>
      </c>
      <c r="C36" s="51" t="s">
        <v>25</v>
      </c>
      <c r="D36" s="33"/>
      <c r="E36" s="43">
        <v>3615</v>
      </c>
      <c r="F36" s="43">
        <v>40</v>
      </c>
    </row>
    <row r="37" spans="1:6" ht="15.75" customHeight="1" x14ac:dyDescent="0.25">
      <c r="A37" s="30">
        <v>3</v>
      </c>
      <c r="B37" s="19">
        <v>1102026</v>
      </c>
      <c r="C37" s="52" t="s">
        <v>26</v>
      </c>
      <c r="D37" s="33"/>
      <c r="E37" s="43">
        <v>3616</v>
      </c>
      <c r="F37" s="43">
        <v>40</v>
      </c>
    </row>
    <row r="38" spans="1:6" ht="15.75" customHeight="1" x14ac:dyDescent="0.25">
      <c r="A38" s="30">
        <v>4</v>
      </c>
      <c r="B38" s="19">
        <v>1102026</v>
      </c>
      <c r="C38" s="36" t="s">
        <v>27</v>
      </c>
      <c r="D38" s="36" t="s">
        <v>29</v>
      </c>
      <c r="E38" s="43">
        <v>3617</v>
      </c>
      <c r="F38" s="43">
        <v>40</v>
      </c>
    </row>
    <row r="39" spans="1:6" ht="15.75" customHeight="1" x14ac:dyDescent="0.25">
      <c r="A39" s="30">
        <v>5</v>
      </c>
      <c r="B39" s="19">
        <v>1102026</v>
      </c>
      <c r="C39" s="36" t="s">
        <v>28</v>
      </c>
      <c r="D39" s="36" t="s">
        <v>30</v>
      </c>
      <c r="E39" s="43">
        <v>3618</v>
      </c>
      <c r="F39" s="43">
        <v>40</v>
      </c>
    </row>
    <row r="40" spans="1:6" x14ac:dyDescent="0.25">
      <c r="A40" s="44">
        <v>6</v>
      </c>
      <c r="B40" s="19"/>
      <c r="C40" s="30"/>
      <c r="D40" s="45"/>
      <c r="E40" s="33"/>
      <c r="F40" s="33"/>
    </row>
    <row r="41" spans="1:6" x14ac:dyDescent="0.25">
      <c r="A41" s="44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dimension ref="A1:M42"/>
  <sheetViews>
    <sheetView workbookViewId="0">
      <selection activeCell="H1" sqref="H1:L2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2" s="7" customFormat="1" ht="15.75" x14ac:dyDescent="0.25">
      <c r="A1" s="6"/>
      <c r="J1" s="8">
        <f>COUNTIF(C8:C15,"&lt;&gt;")</f>
        <v>5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46299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30" t="s">
        <v>45</v>
      </c>
      <c r="C8" s="19">
        <v>4102026</v>
      </c>
      <c r="D8" s="28" t="s">
        <v>33</v>
      </c>
      <c r="E8" s="28" t="s">
        <v>34</v>
      </c>
      <c r="F8" s="26" t="s">
        <v>35</v>
      </c>
      <c r="G8" s="22"/>
    </row>
    <row r="9" spans="1:12" ht="15.75" x14ac:dyDescent="0.25">
      <c r="A9" s="17">
        <v>2</v>
      </c>
      <c r="B9" s="48" t="s">
        <v>46</v>
      </c>
      <c r="C9" s="19">
        <v>4102026</v>
      </c>
      <c r="D9" s="26" t="s">
        <v>36</v>
      </c>
      <c r="E9" s="26" t="s">
        <v>37</v>
      </c>
      <c r="F9" s="26" t="s">
        <v>38</v>
      </c>
      <c r="G9" s="22"/>
    </row>
    <row r="10" spans="1:12" ht="15.75" x14ac:dyDescent="0.25">
      <c r="A10" s="17">
        <v>3</v>
      </c>
      <c r="B10" s="48" t="s">
        <v>46</v>
      </c>
      <c r="C10" s="19">
        <v>4102026</v>
      </c>
      <c r="D10" s="26" t="s">
        <v>39</v>
      </c>
      <c r="E10" s="26" t="s">
        <v>40</v>
      </c>
      <c r="F10" s="26" t="s">
        <v>38</v>
      </c>
      <c r="G10" s="22"/>
    </row>
    <row r="11" spans="1:12" ht="15.75" x14ac:dyDescent="0.25">
      <c r="A11" s="17">
        <v>4</v>
      </c>
      <c r="B11" s="48" t="s">
        <v>47</v>
      </c>
      <c r="C11" s="19">
        <v>4102026</v>
      </c>
      <c r="D11" s="26" t="s">
        <v>41</v>
      </c>
      <c r="E11" s="26" t="s">
        <v>42</v>
      </c>
      <c r="F11" s="26" t="s">
        <v>35</v>
      </c>
      <c r="G11" s="22"/>
    </row>
    <row r="12" spans="1:12" ht="15.75" x14ac:dyDescent="0.25">
      <c r="A12" s="17">
        <v>5</v>
      </c>
      <c r="B12" s="48" t="s">
        <v>47</v>
      </c>
      <c r="C12" s="19">
        <v>4102026</v>
      </c>
      <c r="D12" s="26" t="s">
        <v>43</v>
      </c>
      <c r="E12" s="27" t="s">
        <v>44</v>
      </c>
      <c r="F12" s="26" t="s">
        <v>35</v>
      </c>
      <c r="G12" s="22"/>
    </row>
    <row r="13" spans="1:12" ht="15.75" x14ac:dyDescent="0.25">
      <c r="A13" s="17">
        <v>6</v>
      </c>
      <c r="B13" s="47"/>
      <c r="C13" s="19"/>
      <c r="D13" s="26"/>
      <c r="E13" s="27"/>
      <c r="F13" s="26"/>
      <c r="G13" s="22"/>
    </row>
    <row r="14" spans="1:12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2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2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4102026</v>
      </c>
      <c r="C20" s="31" t="s">
        <v>51</v>
      </c>
      <c r="D20" s="32" t="s">
        <v>48</v>
      </c>
      <c r="E20" s="33">
        <v>3666</v>
      </c>
      <c r="F20" s="33">
        <v>40</v>
      </c>
    </row>
    <row r="21" spans="1:13" ht="15.75" customHeight="1" x14ac:dyDescent="0.25">
      <c r="A21" s="30">
        <v>2</v>
      </c>
      <c r="B21" s="19">
        <v>4102026</v>
      </c>
      <c r="C21" s="31" t="s">
        <v>50</v>
      </c>
      <c r="D21" s="36" t="s">
        <v>49</v>
      </c>
      <c r="E21" s="50">
        <v>3669</v>
      </c>
      <c r="F21" s="33">
        <v>40</v>
      </c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>
        <v>4102026</v>
      </c>
      <c r="C22" s="31" t="s">
        <v>54</v>
      </c>
      <c r="D22" s="28" t="s">
        <v>52</v>
      </c>
      <c r="E22" s="28" t="s">
        <v>53</v>
      </c>
      <c r="F22" s="26">
        <v>20</v>
      </c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/>
      <c r="C35" s="36"/>
      <c r="D35" s="32"/>
      <c r="E35" s="43"/>
      <c r="F35" s="43"/>
    </row>
    <row r="36" spans="1:6" ht="15.75" customHeight="1" x14ac:dyDescent="0.25">
      <c r="A36" s="30">
        <v>2</v>
      </c>
      <c r="B36" s="19"/>
      <c r="C36" s="32"/>
      <c r="D36" s="33"/>
      <c r="E36" s="43"/>
      <c r="F36" s="43"/>
    </row>
    <row r="37" spans="1:6" ht="15.75" customHeight="1" x14ac:dyDescent="0.25">
      <c r="A37" s="30">
        <v>3</v>
      </c>
      <c r="B37" s="19"/>
      <c r="C37" s="36"/>
      <c r="D37" s="33"/>
      <c r="E37" s="43"/>
      <c r="F37" s="43"/>
    </row>
    <row r="38" spans="1:6" ht="15.75" customHeight="1" x14ac:dyDescent="0.25">
      <c r="A38" s="30">
        <v>4</v>
      </c>
      <c r="B38" s="19"/>
      <c r="C38" s="36"/>
      <c r="D38" s="36"/>
      <c r="E38" s="43"/>
      <c r="F38" s="43"/>
    </row>
    <row r="39" spans="1:6" ht="15.75" customHeight="1" x14ac:dyDescent="0.25">
      <c r="A39" s="30">
        <v>5</v>
      </c>
      <c r="B39" s="19"/>
      <c r="C39" s="36"/>
      <c r="D39" s="36"/>
      <c r="E39" s="43"/>
      <c r="F39" s="43"/>
    </row>
    <row r="40" spans="1:6" x14ac:dyDescent="0.25">
      <c r="A40" s="33">
        <v>6</v>
      </c>
      <c r="B40" s="19"/>
      <c r="C40" s="30"/>
      <c r="D40" s="45"/>
      <c r="E40" s="33"/>
      <c r="F40" s="33"/>
    </row>
    <row r="41" spans="1:6" x14ac:dyDescent="0.25">
      <c r="A41" s="33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dimension ref="A1:M42"/>
  <sheetViews>
    <sheetView topLeftCell="A12" workbookViewId="0">
      <selection activeCell="H40" sqref="H40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30"/>
      <c r="C8" s="19"/>
      <c r="D8" s="28"/>
      <c r="E8" s="28"/>
      <c r="F8" s="26"/>
      <c r="G8" s="22"/>
    </row>
    <row r="9" spans="1:10" ht="15.75" x14ac:dyDescent="0.25">
      <c r="A9" s="17">
        <v>2</v>
      </c>
      <c r="B9" s="48"/>
      <c r="C9" s="19"/>
      <c r="D9" s="26"/>
      <c r="E9" s="26"/>
      <c r="F9" s="26"/>
      <c r="G9" s="22"/>
    </row>
    <row r="10" spans="1:10" ht="15.75" x14ac:dyDescent="0.25">
      <c r="A10" s="17">
        <v>3</v>
      </c>
      <c r="B10" s="48"/>
      <c r="C10" s="19"/>
      <c r="D10" s="26"/>
      <c r="E10" s="26"/>
      <c r="F10" s="26"/>
      <c r="G10" s="22"/>
    </row>
    <row r="11" spans="1:10" ht="15.75" x14ac:dyDescent="0.25">
      <c r="A11" s="17">
        <v>4</v>
      </c>
      <c r="B11" s="48"/>
      <c r="C11" s="19"/>
      <c r="D11" s="26"/>
      <c r="E11" s="26"/>
      <c r="F11" s="26"/>
      <c r="G11" s="22"/>
    </row>
    <row r="12" spans="1:10" ht="15.75" x14ac:dyDescent="0.25">
      <c r="A12" s="17">
        <v>5</v>
      </c>
      <c r="B12" s="48"/>
      <c r="C12" s="19"/>
      <c r="D12" s="26"/>
      <c r="E12" s="27"/>
      <c r="F12" s="26"/>
      <c r="G12" s="22"/>
    </row>
    <row r="13" spans="1:10" ht="15.75" x14ac:dyDescent="0.25">
      <c r="A13" s="17">
        <v>6</v>
      </c>
      <c r="B13" s="47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5102026</v>
      </c>
      <c r="C20" s="31" t="s">
        <v>61</v>
      </c>
      <c r="D20" s="36" t="s">
        <v>27</v>
      </c>
      <c r="E20" s="43">
        <v>3617</v>
      </c>
      <c r="F20" s="33">
        <v>40</v>
      </c>
    </row>
    <row r="21" spans="1:13" ht="15.75" customHeight="1" x14ac:dyDescent="0.25">
      <c r="A21" s="30">
        <v>2</v>
      </c>
      <c r="B21" s="19">
        <v>5102026</v>
      </c>
      <c r="C21" s="31" t="s">
        <v>60</v>
      </c>
      <c r="D21" s="36" t="s">
        <v>28</v>
      </c>
      <c r="E21" s="43">
        <v>3618</v>
      </c>
      <c r="F21" s="33">
        <v>40</v>
      </c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5102026</v>
      </c>
      <c r="C35" s="36" t="s">
        <v>55</v>
      </c>
      <c r="D35" s="33">
        <v>3715</v>
      </c>
      <c r="E35" s="43">
        <v>3621</v>
      </c>
      <c r="F35" s="43">
        <v>40</v>
      </c>
    </row>
    <row r="36" spans="1:6" ht="15.75" customHeight="1" x14ac:dyDescent="0.25">
      <c r="A36" s="30">
        <v>2</v>
      </c>
      <c r="B36" s="19">
        <v>5102026</v>
      </c>
      <c r="C36" s="36" t="s">
        <v>56</v>
      </c>
      <c r="D36" s="33">
        <v>3713</v>
      </c>
      <c r="E36" s="43">
        <v>3622</v>
      </c>
      <c r="F36" s="43">
        <v>40</v>
      </c>
    </row>
    <row r="37" spans="1:6" ht="15.75" customHeight="1" x14ac:dyDescent="0.25">
      <c r="A37" s="30">
        <v>3</v>
      </c>
      <c r="B37" s="19">
        <v>5102026</v>
      </c>
      <c r="C37" s="36" t="s">
        <v>57</v>
      </c>
      <c r="D37" s="33">
        <v>3716</v>
      </c>
      <c r="E37" s="43">
        <v>3623</v>
      </c>
      <c r="F37" s="43">
        <v>40</v>
      </c>
    </row>
    <row r="38" spans="1:6" ht="15.75" customHeight="1" x14ac:dyDescent="0.25">
      <c r="A38" s="30">
        <v>4</v>
      </c>
      <c r="B38" s="19">
        <v>5102026</v>
      </c>
      <c r="C38" s="28" t="s">
        <v>58</v>
      </c>
      <c r="D38" s="28" t="s">
        <v>59</v>
      </c>
      <c r="E38" s="33">
        <v>3620</v>
      </c>
      <c r="F38" s="26" t="s">
        <v>35</v>
      </c>
    </row>
    <row r="39" spans="1:6" ht="15.75" customHeight="1" x14ac:dyDescent="0.25">
      <c r="A39" s="30">
        <v>5</v>
      </c>
      <c r="B39" s="19"/>
      <c r="C39" s="36"/>
      <c r="D39" s="36"/>
      <c r="E39" s="43"/>
      <c r="F39" s="43"/>
    </row>
    <row r="40" spans="1:6" x14ac:dyDescent="0.25">
      <c r="A40" s="33">
        <v>6</v>
      </c>
      <c r="B40" s="19"/>
      <c r="C40" s="30"/>
      <c r="D40" s="45"/>
      <c r="E40" s="33"/>
      <c r="F40" s="33"/>
    </row>
    <row r="41" spans="1:6" x14ac:dyDescent="0.25">
      <c r="A41" s="33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8:F15 F21 F3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DASHBOARD</vt:lpstr>
      <vt:lpstr>01-10</vt:lpstr>
      <vt:lpstr>04-10</vt:lpstr>
      <vt:lpstr>05-10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2026-10-04T15:11:39Z</cp:lastPrinted>
  <dcterms:created xsi:type="dcterms:W3CDTF">2026-10-01T08:28:30Z</dcterms:created>
  <dcterms:modified xsi:type="dcterms:W3CDTF">2026-10-05T14:08:40Z</dcterms:modified>
</cp:coreProperties>
</file>