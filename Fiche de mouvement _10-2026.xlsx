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B0B5A2ED962CAE/Documents/Samir/"/>
    </mc:Choice>
  </mc:AlternateContent>
  <xr:revisionPtr revIDLastSave="145" documentId="8_{268A7E5D-2F6F-4219-A3FF-0CDC0150617D}" xr6:coauthVersionLast="47" xr6:coauthVersionMax="47" xr10:uidLastSave="{4669A96C-1B39-4554-A9F9-24A8525A00D0}"/>
  <bookViews>
    <workbookView xWindow="-120" yWindow="-120" windowWidth="29040" windowHeight="15720" tabRatio="547" activeTab="7" xr2:uid="{A18A3B28-6AD6-4212-865A-5BA1C5CD781C}"/>
  </bookViews>
  <sheets>
    <sheet name="DASHBOARD" sheetId="1" r:id="rId1"/>
    <sheet name="01-10" sheetId="2" r:id="rId2"/>
    <sheet name="04-10" sheetId="3" r:id="rId3"/>
    <sheet name="05-10" sheetId="4" r:id="rId4"/>
    <sheet name="06-10" sheetId="5" r:id="rId5"/>
    <sheet name="07-10" sheetId="6" r:id="rId6"/>
    <sheet name="08-10" sheetId="7" r:id="rId7"/>
    <sheet name="11-1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H1" i="8"/>
  <c r="J2" i="8"/>
  <c r="F2" i="8"/>
  <c r="H2" i="8" s="1"/>
  <c r="B9" i="1"/>
  <c r="C9" i="1"/>
  <c r="D9" i="1"/>
  <c r="B10" i="1"/>
  <c r="C10" i="1"/>
  <c r="D10" i="1"/>
  <c r="B11" i="1"/>
  <c r="C11" i="1"/>
  <c r="D11" i="1"/>
  <c r="B12" i="1"/>
  <c r="C12" i="1"/>
  <c r="D12" i="1"/>
  <c r="B7" i="1"/>
  <c r="J2" i="7"/>
  <c r="F2" i="7"/>
  <c r="H2" i="7" s="1"/>
  <c r="H1" i="7"/>
  <c r="H1" i="6"/>
  <c r="B6" i="1" s="1"/>
  <c r="J2" i="6"/>
  <c r="F2" i="6"/>
  <c r="H2" i="6" s="1"/>
  <c r="C6" i="1" s="1"/>
  <c r="H1" i="5"/>
  <c r="B5" i="1" s="1"/>
  <c r="J2" i="5"/>
  <c r="F2" i="5"/>
  <c r="H2" i="5" s="1"/>
  <c r="C5" i="1" s="1"/>
  <c r="B4" i="1"/>
  <c r="J2" i="4"/>
  <c r="F2" i="4"/>
  <c r="H2" i="4" s="1"/>
  <c r="C4" i="1" s="1"/>
  <c r="D4" i="1" s="1"/>
  <c r="H1" i="4"/>
  <c r="L2" i="3"/>
  <c r="H2" i="3"/>
  <c r="J2" i="3" s="1"/>
  <c r="C3" i="1" s="1"/>
  <c r="J1" i="3"/>
  <c r="B3" i="1" s="1"/>
  <c r="J2" i="2"/>
  <c r="F2" i="2"/>
  <c r="H2" i="2" s="1"/>
  <c r="C2" i="1" s="1"/>
  <c r="H1" i="2"/>
  <c r="B2" i="1" s="1"/>
  <c r="D2" i="1" s="1"/>
  <c r="C8" i="1" l="1"/>
  <c r="C24" i="1" s="1"/>
  <c r="C7" i="1"/>
  <c r="D7" i="1" s="1"/>
  <c r="D6" i="1"/>
  <c r="D5" i="1"/>
  <c r="D3" i="1"/>
  <c r="D8" i="1" l="1"/>
  <c r="D24" i="1" s="1"/>
  <c r="B24" i="1"/>
</calcChain>
</file>

<file path=xl/sharedStrings.xml><?xml version="1.0" encoding="utf-8"?>
<sst xmlns="http://schemas.openxmlformats.org/spreadsheetml/2006/main" count="452" uniqueCount="202">
  <si>
    <t>Date</t>
  </si>
  <si>
    <t>TC Réceptionnés</t>
  </si>
  <si>
    <t>TC Sortis</t>
  </si>
  <si>
    <t>Total Mouvements</t>
  </si>
  <si>
    <t>TC Sortis
VIDE</t>
  </si>
  <si>
    <t>Total</t>
  </si>
  <si>
    <t>TC</t>
  </si>
  <si>
    <t>VH</t>
  </si>
  <si>
    <t>FICHE DE MOUVEMENT</t>
  </si>
  <si>
    <t>RECEPTION</t>
  </si>
  <si>
    <t xml:space="preserve">N° </t>
  </si>
  <si>
    <t>N° CRN</t>
  </si>
  <si>
    <t>Date R</t>
  </si>
  <si>
    <t>N° Conteneur</t>
  </si>
  <si>
    <t>N° Scellé</t>
  </si>
  <si>
    <t>Vol</t>
  </si>
  <si>
    <t>SORTIE</t>
  </si>
  <si>
    <t>Date S</t>
  </si>
  <si>
    <t>IMM</t>
  </si>
  <si>
    <t>VISITE</t>
  </si>
  <si>
    <t>Date V</t>
  </si>
  <si>
    <t>AN° Scellé</t>
  </si>
  <si>
    <t>NO° Scellé</t>
  </si>
  <si>
    <t>ECMU814116 /8</t>
  </si>
  <si>
    <t>J0695804</t>
  </si>
  <si>
    <t>PONU804908 /6</t>
  </si>
  <si>
    <t>TLLU805438 /1</t>
  </si>
  <si>
    <t>HMMU433444 /9</t>
  </si>
  <si>
    <t>SEGU585325 /8</t>
  </si>
  <si>
    <t>26H0108168</t>
  </si>
  <si>
    <t>26H0108169</t>
  </si>
  <si>
    <t>00373-517-31</t>
  </si>
  <si>
    <t>ECMU809447 /2</t>
  </si>
  <si>
    <t>MSCU632217 /1</t>
  </si>
  <si>
    <t>FJ28615512</t>
  </si>
  <si>
    <t>20</t>
  </si>
  <si>
    <t>MSMU672588 /1</t>
  </si>
  <si>
    <t>FX48439012</t>
  </si>
  <si>
    <t>40</t>
  </si>
  <si>
    <t>MSMU723245 /2</t>
  </si>
  <si>
    <t>FX48439190</t>
  </si>
  <si>
    <t>SEKU180289 /5</t>
  </si>
  <si>
    <t>FX48675347</t>
  </si>
  <si>
    <t>SEKU180293 /5</t>
  </si>
  <si>
    <t>FX48675348</t>
  </si>
  <si>
    <t>0171ICS0101</t>
  </si>
  <si>
    <t>0171ICS0106</t>
  </si>
  <si>
    <t>0171ICS0015</t>
  </si>
  <si>
    <t>CAAU640372 /2</t>
  </si>
  <si>
    <t>FFAU501814 /0</t>
  </si>
  <si>
    <t>00380-506-31</t>
  </si>
  <si>
    <t>00217-507-31</t>
  </si>
  <si>
    <t>ARKU150130 /6</t>
  </si>
  <si>
    <t>1441385</t>
  </si>
  <si>
    <t>00141-525-31</t>
  </si>
  <si>
    <t>HASU492916 /6</t>
  </si>
  <si>
    <t>HASU5156746 /8</t>
  </si>
  <si>
    <t>MRSU698006 /4</t>
  </si>
  <si>
    <t>CAIU634538 /3</t>
  </si>
  <si>
    <t>J1803692</t>
  </si>
  <si>
    <t>00582-510-31</t>
  </si>
  <si>
    <t>001766-508-31</t>
  </si>
  <si>
    <t>ECMU614116 /8</t>
  </si>
  <si>
    <t>06230-586-48</t>
  </si>
  <si>
    <t>HDMU321504 /6</t>
  </si>
  <si>
    <t>25H1013125</t>
  </si>
  <si>
    <t>HDMU341436 /7</t>
  </si>
  <si>
    <t>25H1041732</t>
  </si>
  <si>
    <t>HDMU342017 /0</t>
  </si>
  <si>
    <t>25H1175272</t>
  </si>
  <si>
    <t>HDMU342266 /0</t>
  </si>
  <si>
    <t>25H1175275</t>
  </si>
  <si>
    <t>KOCU430655 /1</t>
  </si>
  <si>
    <t>26H0234922</t>
  </si>
  <si>
    <t>TIIU600821 /4</t>
  </si>
  <si>
    <t>26H0236033</t>
  </si>
  <si>
    <t>00140-525-31</t>
  </si>
  <si>
    <t>00362-516-31</t>
  </si>
  <si>
    <t>00325-516-31</t>
  </si>
  <si>
    <t>00125-523-31</t>
  </si>
  <si>
    <t>00296-515-31</t>
  </si>
  <si>
    <t>00139-525-31</t>
  </si>
  <si>
    <t>TCNU857774 /0</t>
  </si>
  <si>
    <t>CN6455438</t>
  </si>
  <si>
    <t>CAAU692306 /7</t>
  </si>
  <si>
    <t>CN6229789</t>
  </si>
  <si>
    <t>LB0268981</t>
  </si>
  <si>
    <t>YMLU329259 /5</t>
  </si>
  <si>
    <t>LB0268982</t>
  </si>
  <si>
    <t>TTNU375141 /0</t>
  </si>
  <si>
    <t>LB0268826</t>
  </si>
  <si>
    <t>TEMU349977 /4</t>
  </si>
  <si>
    <t>LB0268825</t>
  </si>
  <si>
    <t>TEMU346844 /9</t>
  </si>
  <si>
    <t>LB0268771</t>
  </si>
  <si>
    <t>TDTU171047 /5</t>
  </si>
  <si>
    <t>LB0268871</t>
  </si>
  <si>
    <t>TDRU255456 /0</t>
  </si>
  <si>
    <t>LB0268773</t>
  </si>
  <si>
    <t>SLDU283019 /1</t>
  </si>
  <si>
    <t>LB0268987</t>
  </si>
  <si>
    <t>PCIU306800 /4</t>
  </si>
  <si>
    <t>LB0268829</t>
  </si>
  <si>
    <t>OOLU288929 /7</t>
  </si>
  <si>
    <t>LB0268828</t>
  </si>
  <si>
    <t>OOLU161730 /8</t>
  </si>
  <si>
    <t>LB0268983</t>
  </si>
  <si>
    <t>MFCU260329 /9</t>
  </si>
  <si>
    <t>LB0268776</t>
  </si>
  <si>
    <t>MBSU281359 /8</t>
  </si>
  <si>
    <t>LB0268821</t>
  </si>
  <si>
    <t>MBSU281322 /1</t>
  </si>
  <si>
    <t>LB0268775</t>
  </si>
  <si>
    <t>MBSU281306 /8</t>
  </si>
  <si>
    <t>LB0268872</t>
  </si>
  <si>
    <t>MBSU281304 /7</t>
  </si>
  <si>
    <t>LB0268988</t>
  </si>
  <si>
    <t>MBSU281295 /0</t>
  </si>
  <si>
    <t>LB0268823</t>
  </si>
  <si>
    <t>MBSU281261 /0</t>
  </si>
  <si>
    <t>LB0268989</t>
  </si>
  <si>
    <t>MBSU281245 /7</t>
  </si>
  <si>
    <t>LB0268824</t>
  </si>
  <si>
    <t>MBSU281087 /6</t>
  </si>
  <si>
    <t>LB0268990</t>
  </si>
  <si>
    <t>MBSU280824 /6</t>
  </si>
  <si>
    <t>LB0268985</t>
  </si>
  <si>
    <t>MBSU280770 /1</t>
  </si>
  <si>
    <t>LB0268986</t>
  </si>
  <si>
    <t>MBSU280656 /2</t>
  </si>
  <si>
    <t>LB0268827</t>
  </si>
  <si>
    <t>MBSU280648 /0</t>
  </si>
  <si>
    <t>LB0268822</t>
  </si>
  <si>
    <t>KKTU710450 /3</t>
  </si>
  <si>
    <t>0040ICS0002</t>
  </si>
  <si>
    <t>25H1489025</t>
  </si>
  <si>
    <t>25H1489014</t>
  </si>
  <si>
    <t xml:space="preserve">0764ICS0062 </t>
  </si>
  <si>
    <t>HMMU424163 /9</t>
  </si>
  <si>
    <t>HMMU498102 /3</t>
  </si>
  <si>
    <t>MRSU215858 /4</t>
  </si>
  <si>
    <t>CN8343648</t>
  </si>
  <si>
    <t>MSNU928137 /8</t>
  </si>
  <si>
    <t>FX47338080</t>
  </si>
  <si>
    <t>MSDU997113 /6</t>
  </si>
  <si>
    <t>0</t>
  </si>
  <si>
    <t>MSMU661001 /2</t>
  </si>
  <si>
    <t>0674611</t>
  </si>
  <si>
    <t>UETU703460 /0</t>
  </si>
  <si>
    <t>0674567</t>
  </si>
  <si>
    <t>00096-511-31</t>
  </si>
  <si>
    <t>00463-509-31</t>
  </si>
  <si>
    <t>00090-512-31</t>
  </si>
  <si>
    <t>MEDU636673 /0</t>
  </si>
  <si>
    <t>LG00690422</t>
  </si>
  <si>
    <t>BMOU474366 /5</t>
  </si>
  <si>
    <t>5878917</t>
  </si>
  <si>
    <t>MEDU723902 /6</t>
  </si>
  <si>
    <t>1128635</t>
  </si>
  <si>
    <t>MEDU798835 /9</t>
  </si>
  <si>
    <t>1128684</t>
  </si>
  <si>
    <t>MSDU534494 /5</t>
  </si>
  <si>
    <t>1146995</t>
  </si>
  <si>
    <t>SEGU549541 /0</t>
  </si>
  <si>
    <t>1128683</t>
  </si>
  <si>
    <t>TGBU550533 /0</t>
  </si>
  <si>
    <t>1128686</t>
  </si>
  <si>
    <t>TRHU681016 /3</t>
  </si>
  <si>
    <t>1146994</t>
  </si>
  <si>
    <t>CAAU489835 /0</t>
  </si>
  <si>
    <t>OM0092412</t>
  </si>
  <si>
    <t>CAAU608029 /7</t>
  </si>
  <si>
    <t>OM0092455</t>
  </si>
  <si>
    <t>GCXU572967 /8</t>
  </si>
  <si>
    <t>OM0092415</t>
  </si>
  <si>
    <t>MRSU870794 /8</t>
  </si>
  <si>
    <t>OM0092440</t>
  </si>
  <si>
    <t>TCKU701928 /8</t>
  </si>
  <si>
    <t>OM0092557</t>
  </si>
  <si>
    <t>TCNU297401 /5</t>
  </si>
  <si>
    <t>OM0092479</t>
  </si>
  <si>
    <t>MRKU353739 /0</t>
  </si>
  <si>
    <t>CN9008091</t>
  </si>
  <si>
    <t>MRKU733342 /9</t>
  </si>
  <si>
    <t>CN7978124</t>
  </si>
  <si>
    <t>0178ICS0007</t>
  </si>
  <si>
    <t>0178ICS0003</t>
  </si>
  <si>
    <t>0178ICS0056</t>
  </si>
  <si>
    <t>0106ICS0007</t>
  </si>
  <si>
    <t>0106ICS0044</t>
  </si>
  <si>
    <t>0106ICS0058</t>
  </si>
  <si>
    <t>CRTU760967 /9</t>
  </si>
  <si>
    <t>FLAT</t>
  </si>
  <si>
    <t>MSCU255953 /0</t>
  </si>
  <si>
    <t>FJ25931782</t>
  </si>
  <si>
    <t>MSDU600819 /0</t>
  </si>
  <si>
    <t>FJ25931784</t>
  </si>
  <si>
    <t>MSDU749894 /0</t>
  </si>
  <si>
    <t>FJ25931785</t>
  </si>
  <si>
    <t>TCLU600116 /8</t>
  </si>
  <si>
    <t>MSNU975917 /4</t>
  </si>
  <si>
    <t>00005-520-31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</si>
</sst>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#&quot;/&quot;##&quot;/&quot;####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color rgb="FFFFFFFF"/>
      <name val="Segoe UI"/>
      <family val="2"/>
    </font>
    <font>
      <b/>
      <sz val="16"/>
      <name val="Segoe UI"/>
      <family val="2"/>
    </font>
    <font>
      <b/>
      <sz val="11"/>
      <name val="Calibri"/>
      <family val="2"/>
    </font>
    <font>
      <b/>
      <sz val="10"/>
      <color rgb="FF2C3E50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color rgb="FF334155"/>
      <name val="Segoe UI"/>
      <family val="2"/>
    </font>
    <font>
      <sz val="10"/>
      <name val="Calibri"/>
    </font>
    <font>
      <sz val="10"/>
      <color rgb="FF000000"/>
      <name val="Segoe UI"/>
    </font>
    <font>
      <sz val="11"/>
      <color rgb="FF000000"/>
      <name val="Calibri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2C3E5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/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4" fontId="13" fillId="0" borderId="5" xfId="0" applyNumberFormat="1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0" fillId="0" borderId="5" xfId="0" applyBorder="1"/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165" fontId="11" fillId="10" borderId="5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933450</xdr:colOff>
      <xdr:row>2</xdr:row>
      <xdr:rowOff>114297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113887-0B1F-4EA7-BE9B-FAED5B7DF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495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933450</xdr:colOff>
      <xdr:row>2</xdr:row>
      <xdr:rowOff>133347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3BCA99A-AAF0-44F7-96D6-622ACC17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5143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933450</xdr:colOff>
      <xdr:row>2</xdr:row>
      <xdr:rowOff>152397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888A717-941B-42BF-A098-CE878856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5333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828675</xdr:colOff>
      <xdr:row>2</xdr:row>
      <xdr:rowOff>133347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6656C31-123B-4246-BE51-3C02C2C4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000250" cy="5333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828675</xdr:colOff>
      <xdr:row>2</xdr:row>
      <xdr:rowOff>152397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27370C-0E26-48E3-BE53-BCE14CC1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000250" cy="5333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828675</xdr:colOff>
      <xdr:row>2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EA8FB49-65EA-4CB3-9802-6148FD049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000250" cy="485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828675</xdr:colOff>
      <xdr:row>2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BB04293-D7FF-441C-A0B4-275974B8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000250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4B694-3CF0-4236-B0D3-C3AB4D8B016D}">
  <we:reference id="wa200007447" version="1.1.6.7" store="fr-FR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E8F3-6789-4A30-A0C0-D561ABF2356F}">
  <dimension ref="A1:F2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37.42578125" customWidth="1"/>
    <col min="2" max="2" width="18" bestFit="1" customWidth="1"/>
    <col min="3" max="3" width="17.42578125" bestFit="1" customWidth="1"/>
    <col min="4" max="4" width="20.28515625" bestFit="1" customWidth="1"/>
    <col min="5" max="5" width="4.85546875" customWidth="1"/>
    <col min="6" max="6" width="15.4257812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16.5" x14ac:dyDescent="0.25">
      <c r="A2" s="2">
        <v>46296</v>
      </c>
      <c r="B2" s="3">
        <f>'01-10'!H1</f>
        <v>0</v>
      </c>
      <c r="C2" s="3">
        <f>'01-10'!H2</f>
        <v>1</v>
      </c>
      <c r="D2" s="4">
        <f t="shared" ref="D2:D7" si="0">B2+C2</f>
        <v>1</v>
      </c>
      <c r="F2" s="3"/>
    </row>
    <row r="3" spans="1:6" ht="16.5" x14ac:dyDescent="0.25">
      <c r="A3" s="2">
        <v>46299</v>
      </c>
      <c r="B3" s="3">
        <f>'04-10'!J1</f>
        <v>5</v>
      </c>
      <c r="C3" s="3">
        <f>'04-10'!J2</f>
        <v>3</v>
      </c>
      <c r="D3" s="4">
        <f t="shared" si="0"/>
        <v>8</v>
      </c>
      <c r="F3" s="3"/>
    </row>
    <row r="4" spans="1:6" ht="16.5" x14ac:dyDescent="0.25">
      <c r="A4" s="2">
        <v>46300</v>
      </c>
      <c r="B4" s="3">
        <f>'05-10'!H1</f>
        <v>0</v>
      </c>
      <c r="C4" s="3">
        <f>'05-10'!H2</f>
        <v>9</v>
      </c>
      <c r="D4" s="4">
        <f t="shared" si="0"/>
        <v>9</v>
      </c>
      <c r="F4" s="3"/>
    </row>
    <row r="5" spans="1:6" ht="16.5" x14ac:dyDescent="0.25">
      <c r="A5" s="2">
        <v>46301</v>
      </c>
      <c r="B5" s="3">
        <f>'06-10'!H1</f>
        <v>14</v>
      </c>
      <c r="C5" s="3">
        <f>'06-10'!H2</f>
        <v>0</v>
      </c>
      <c r="D5" s="4">
        <f t="shared" si="0"/>
        <v>14</v>
      </c>
      <c r="F5" s="3"/>
    </row>
    <row r="6" spans="1:6" ht="16.5" x14ac:dyDescent="0.25">
      <c r="A6" s="2">
        <v>46302</v>
      </c>
      <c r="B6" s="3">
        <f>'07-10'!H1</f>
        <v>12</v>
      </c>
      <c r="C6" s="3">
        <f>'07-10'!H2</f>
        <v>0</v>
      </c>
      <c r="D6" s="4">
        <f t="shared" si="0"/>
        <v>12</v>
      </c>
      <c r="F6" s="3"/>
    </row>
    <row r="7" spans="1:6" ht="16.5" x14ac:dyDescent="0.25">
      <c r="A7" s="2">
        <v>46303</v>
      </c>
      <c r="B7" s="3">
        <f>'08-10'!H1</f>
        <v>0</v>
      </c>
      <c r="C7" s="3">
        <f>'08-10'!H2</f>
        <v>2</v>
      </c>
      <c r="D7" s="4">
        <f t="shared" si="0"/>
        <v>2</v>
      </c>
      <c r="F7" s="3"/>
    </row>
    <row r="8" spans="1:6" ht="16.5" x14ac:dyDescent="0.25">
      <c r="A8" s="2">
        <v>46306</v>
      </c>
      <c r="B8" s="3">
        <f>'11-10'!H1</f>
        <v>16</v>
      </c>
      <c r="C8" s="3">
        <f>'11-10'!H2</f>
        <v>2</v>
      </c>
      <c r="D8" s="4">
        <f t="shared" ref="D8:D12" si="1">B8+C8</f>
        <v>18</v>
      </c>
      <c r="F8" s="3"/>
    </row>
    <row r="9" spans="1:6" ht="16.5" x14ac:dyDescent="0.25">
      <c r="A9" s="2">
        <v>46307</v>
      </c>
      <c r="B9" s="3">
        <f>'08-10'!H3</f>
        <v>0</v>
      </c>
      <c r="C9" s="3">
        <f>'08-10'!H4</f>
        <v>0</v>
      </c>
      <c r="D9" s="4">
        <f t="shared" si="1"/>
        <v>0</v>
      </c>
      <c r="F9" s="3"/>
    </row>
    <row r="10" spans="1:6" ht="16.5" x14ac:dyDescent="0.25">
      <c r="A10" s="2">
        <v>46308</v>
      </c>
      <c r="B10" s="3">
        <f>'08-10'!H4</f>
        <v>0</v>
      </c>
      <c r="C10" s="3">
        <f>'08-10'!H5</f>
        <v>0</v>
      </c>
      <c r="D10" s="4">
        <f t="shared" si="1"/>
        <v>0</v>
      </c>
      <c r="F10" s="3"/>
    </row>
    <row r="11" spans="1:6" ht="16.5" x14ac:dyDescent="0.25">
      <c r="A11" s="2">
        <v>46309</v>
      </c>
      <c r="B11" s="3">
        <f>'08-10'!H5</f>
        <v>0</v>
      </c>
      <c r="C11" s="3">
        <f>'08-10'!H6</f>
        <v>0</v>
      </c>
      <c r="D11" s="4">
        <f t="shared" si="1"/>
        <v>0</v>
      </c>
      <c r="F11" s="3"/>
    </row>
    <row r="12" spans="1:6" ht="16.5" x14ac:dyDescent="0.25">
      <c r="A12" s="2">
        <v>46310</v>
      </c>
      <c r="B12" s="3">
        <f>'08-10'!H6</f>
        <v>0</v>
      </c>
      <c r="C12" s="3">
        <f>'08-10'!H7</f>
        <v>0</v>
      </c>
      <c r="D12" s="4">
        <f t="shared" si="1"/>
        <v>0</v>
      </c>
      <c r="F12" s="3"/>
    </row>
    <row r="13" spans="1:6" ht="16.5" x14ac:dyDescent="0.25">
      <c r="A13" s="2"/>
      <c r="B13" s="3"/>
      <c r="C13" s="3"/>
      <c r="D13" s="4"/>
      <c r="F13" s="3"/>
    </row>
    <row r="14" spans="1:6" ht="16.5" x14ac:dyDescent="0.25">
      <c r="A14" s="2"/>
      <c r="B14" s="3"/>
      <c r="C14" s="3"/>
      <c r="D14" s="4"/>
      <c r="F14" s="3"/>
    </row>
    <row r="15" spans="1:6" ht="16.5" x14ac:dyDescent="0.25">
      <c r="A15" s="2"/>
      <c r="B15" s="3"/>
      <c r="C15" s="3"/>
      <c r="D15" s="4"/>
      <c r="F15" s="3"/>
    </row>
    <row r="16" spans="1:6" ht="16.5" x14ac:dyDescent="0.25">
      <c r="A16" s="2"/>
      <c r="B16" s="3"/>
      <c r="C16" s="3"/>
      <c r="D16" s="4"/>
      <c r="F16" s="3"/>
    </row>
    <row r="17" spans="1:6" ht="16.5" x14ac:dyDescent="0.25">
      <c r="A17" s="2"/>
      <c r="B17" s="3"/>
      <c r="C17" s="3"/>
      <c r="D17" s="4"/>
      <c r="F17" s="3"/>
    </row>
    <row r="18" spans="1:6" ht="16.5" x14ac:dyDescent="0.25">
      <c r="A18" s="2"/>
      <c r="B18" s="3"/>
      <c r="C18" s="3"/>
      <c r="D18" s="4"/>
      <c r="F18" s="3"/>
    </row>
    <row r="19" spans="1:6" ht="16.5" x14ac:dyDescent="0.25">
      <c r="A19" s="2"/>
      <c r="B19" s="3"/>
      <c r="C19" s="3"/>
      <c r="D19" s="4"/>
      <c r="F19" s="3"/>
    </row>
    <row r="20" spans="1:6" ht="16.5" x14ac:dyDescent="0.25">
      <c r="A20" s="2"/>
      <c r="B20" s="3"/>
      <c r="C20" s="3"/>
      <c r="D20" s="4"/>
      <c r="F20" s="3"/>
    </row>
    <row r="21" spans="1:6" ht="16.5" x14ac:dyDescent="0.25">
      <c r="A21" s="2"/>
      <c r="B21" s="3"/>
      <c r="C21" s="3"/>
      <c r="D21" s="4"/>
      <c r="F21" s="3"/>
    </row>
    <row r="22" spans="1:6" ht="16.5" x14ac:dyDescent="0.25">
      <c r="A22" s="2"/>
      <c r="B22" s="3"/>
      <c r="C22" s="3"/>
      <c r="D22" s="4"/>
      <c r="F22" s="3"/>
    </row>
    <row r="23" spans="1:6" ht="16.5" x14ac:dyDescent="0.25">
      <c r="A23" s="2"/>
      <c r="B23" s="3"/>
      <c r="C23" s="3"/>
      <c r="D23" s="4"/>
      <c r="F23" s="3"/>
    </row>
    <row r="24" spans="1:6" ht="16.5" x14ac:dyDescent="0.25">
      <c r="A24" s="1" t="s">
        <v>5</v>
      </c>
      <c r="B24" s="5">
        <f>SUM(B2:B23)</f>
        <v>47</v>
      </c>
      <c r="C24" s="5">
        <f>SUM(C2:C23)</f>
        <v>17</v>
      </c>
      <c r="D24" s="5">
        <f>SUM(D2:D19)</f>
        <v>64</v>
      </c>
      <c r="E24" s="5"/>
      <c r="F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7B32-66FD-4821-B5A5-DCC3BF3FE01D}">
  <dimension ref="A1:M42"/>
  <sheetViews>
    <sheetView workbookViewId="0">
      <selection sqref="A1:XFD104857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1</v>
      </c>
      <c r="I2" s="9" t="s">
        <v>6</v>
      </c>
      <c r="J2" s="10">
        <f>COUNTIF(E20:E29,"VIDE")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46296</v>
      </c>
    </row>
    <row r="6" spans="1:10" s="7" customFormat="1" thickBot="1" x14ac:dyDescent="0.3">
      <c r="A6" s="6"/>
      <c r="B6" s="13"/>
    </row>
    <row r="7" spans="1:10" s="7" customFormat="1" thickBot="1" x14ac:dyDescent="0.3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8"/>
      <c r="C8" s="19"/>
      <c r="D8" s="48"/>
      <c r="E8" s="48"/>
      <c r="F8" s="24"/>
      <c r="G8" s="20"/>
    </row>
    <row r="9" spans="1:10" ht="15.75" x14ac:dyDescent="0.25">
      <c r="A9" s="17">
        <v>2</v>
      </c>
      <c r="B9" s="22"/>
      <c r="C9" s="19"/>
      <c r="D9" s="23"/>
      <c r="E9" s="24"/>
      <c r="F9" s="24"/>
      <c r="G9" s="20"/>
    </row>
    <row r="10" spans="1:10" ht="15.75" x14ac:dyDescent="0.25">
      <c r="A10" s="17">
        <v>3</v>
      </c>
      <c r="B10" s="22"/>
      <c r="C10" s="19"/>
      <c r="D10" s="24"/>
      <c r="E10" s="24"/>
      <c r="F10" s="24"/>
      <c r="G10" s="20"/>
    </row>
    <row r="11" spans="1:10" ht="15.75" x14ac:dyDescent="0.25">
      <c r="A11" s="17">
        <v>4</v>
      </c>
      <c r="B11" s="22"/>
      <c r="C11" s="19"/>
      <c r="D11" s="24"/>
      <c r="E11" s="24"/>
      <c r="F11" s="24"/>
      <c r="G11" s="20"/>
    </row>
    <row r="12" spans="1:10" ht="15.75" x14ac:dyDescent="0.25">
      <c r="A12" s="17">
        <v>5</v>
      </c>
      <c r="B12" s="22"/>
      <c r="C12" s="19"/>
      <c r="D12" s="24"/>
      <c r="E12" s="25"/>
      <c r="F12" s="24"/>
      <c r="G12" s="20"/>
    </row>
    <row r="13" spans="1:10" ht="15.75" x14ac:dyDescent="0.25">
      <c r="A13" s="17">
        <v>6</v>
      </c>
      <c r="B13" s="22"/>
      <c r="C13" s="19"/>
      <c r="D13" s="24"/>
      <c r="E13" s="25"/>
      <c r="F13" s="24"/>
      <c r="G13" s="20"/>
    </row>
    <row r="14" spans="1:10" ht="15.75" x14ac:dyDescent="0.25">
      <c r="A14" s="17">
        <v>7</v>
      </c>
      <c r="B14" s="22"/>
      <c r="C14" s="19"/>
      <c r="D14" s="24"/>
      <c r="E14" s="25"/>
      <c r="F14" s="24"/>
      <c r="G14" s="20"/>
    </row>
    <row r="15" spans="1:10" ht="15.75" x14ac:dyDescent="0.25">
      <c r="A15" s="17">
        <v>8</v>
      </c>
      <c r="B15" s="22"/>
      <c r="C15" s="19"/>
      <c r="D15" s="26"/>
      <c r="E15" s="25"/>
      <c r="F15" s="24"/>
      <c r="G15" s="20"/>
    </row>
    <row r="16" spans="1:10" ht="15.75" x14ac:dyDescent="0.25">
      <c r="A16" s="6"/>
      <c r="B16" s="20"/>
      <c r="C16" s="7"/>
      <c r="D16" s="27"/>
      <c r="E16" s="27"/>
      <c r="F16" s="27"/>
      <c r="G16" s="7"/>
    </row>
    <row r="17" spans="1:13" ht="15.75" x14ac:dyDescent="0.25">
      <c r="A17" s="6"/>
      <c r="B17" s="11" t="s">
        <v>16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17</v>
      </c>
      <c r="C19" s="15" t="s">
        <v>18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8">
        <v>1</v>
      </c>
      <c r="B20" s="19">
        <v>1102026</v>
      </c>
      <c r="C20" s="29" t="s">
        <v>31</v>
      </c>
      <c r="D20" s="30" t="s">
        <v>32</v>
      </c>
      <c r="E20" s="31">
        <v>3611</v>
      </c>
      <c r="F20" s="31">
        <v>45</v>
      </c>
    </row>
    <row r="21" spans="1:13" ht="15.75" customHeight="1" x14ac:dyDescent="0.25">
      <c r="A21" s="28">
        <v>2</v>
      </c>
      <c r="B21" s="19"/>
      <c r="C21" s="29"/>
      <c r="D21" s="32"/>
      <c r="E21" s="32"/>
      <c r="F21" s="28"/>
      <c r="I21" s="33"/>
      <c r="J21" s="33"/>
      <c r="K21" s="33"/>
      <c r="L21" s="33"/>
      <c r="M21" s="33"/>
    </row>
    <row r="22" spans="1:13" ht="15.75" customHeight="1" x14ac:dyDescent="0.25">
      <c r="A22" s="28">
        <v>3</v>
      </c>
      <c r="B22" s="19"/>
      <c r="C22" s="29"/>
      <c r="D22" s="32"/>
      <c r="E22" s="32"/>
      <c r="F22" s="29"/>
      <c r="I22" s="33"/>
      <c r="J22" s="33"/>
      <c r="K22" s="33"/>
      <c r="L22" s="33"/>
      <c r="M22" s="33"/>
    </row>
    <row r="23" spans="1:13" ht="15.75" customHeight="1" x14ac:dyDescent="0.25">
      <c r="A23" s="28">
        <v>4</v>
      </c>
      <c r="B23" s="19"/>
      <c r="C23" s="29"/>
      <c r="D23" s="32"/>
      <c r="E23" s="32"/>
      <c r="F23" s="29"/>
      <c r="I23" s="33"/>
      <c r="J23" s="33"/>
      <c r="K23" s="33"/>
      <c r="L23" s="33"/>
      <c r="M23" s="33"/>
    </row>
    <row r="24" spans="1:13" ht="15.75" customHeight="1" x14ac:dyDescent="0.25">
      <c r="A24" s="28">
        <v>5</v>
      </c>
      <c r="B24" s="19"/>
      <c r="C24" s="29"/>
      <c r="D24" s="32"/>
      <c r="E24" s="32"/>
      <c r="F24" s="29"/>
      <c r="I24" s="33"/>
      <c r="J24" s="33"/>
      <c r="K24" s="33"/>
      <c r="L24" s="33"/>
      <c r="M24" s="33"/>
    </row>
    <row r="25" spans="1:13" ht="15.75" customHeight="1" x14ac:dyDescent="0.25">
      <c r="A25" s="28">
        <v>6</v>
      </c>
      <c r="B25" s="19"/>
      <c r="C25" s="29"/>
      <c r="D25" s="32"/>
      <c r="E25" s="32"/>
      <c r="F25" s="29"/>
      <c r="I25" s="33"/>
      <c r="J25" s="33"/>
      <c r="K25" s="33"/>
      <c r="L25" s="33"/>
      <c r="M25" s="33"/>
    </row>
    <row r="26" spans="1:13" ht="15.75" customHeight="1" x14ac:dyDescent="0.25">
      <c r="A26" s="28">
        <v>7</v>
      </c>
      <c r="B26" s="19"/>
      <c r="C26" s="29"/>
      <c r="D26" s="28"/>
      <c r="E26" s="32"/>
      <c r="F26" s="29"/>
      <c r="I26" s="33"/>
      <c r="J26" s="33"/>
      <c r="K26" s="33"/>
      <c r="L26" s="33"/>
      <c r="M26" s="33"/>
    </row>
    <row r="27" spans="1:13" x14ac:dyDescent="0.25">
      <c r="A27" s="28">
        <v>8</v>
      </c>
      <c r="B27" s="19"/>
      <c r="C27" s="29"/>
      <c r="D27" s="34"/>
      <c r="E27" s="32"/>
      <c r="F27" s="29"/>
    </row>
    <row r="28" spans="1:13" x14ac:dyDescent="0.25">
      <c r="A28" s="28">
        <v>9</v>
      </c>
      <c r="B28" s="19"/>
      <c r="C28" s="29"/>
      <c r="D28" s="30"/>
      <c r="E28" s="32"/>
      <c r="F28" s="29"/>
    </row>
    <row r="29" spans="1:13" x14ac:dyDescent="0.25">
      <c r="A29" s="28">
        <v>10</v>
      </c>
      <c r="B29" s="19"/>
      <c r="C29" s="35"/>
      <c r="D29" s="34"/>
      <c r="E29" s="32"/>
      <c r="F29" s="28"/>
    </row>
    <row r="30" spans="1:13" ht="15.75" customHeight="1" x14ac:dyDescent="0.25">
      <c r="A30" s="28">
        <v>11</v>
      </c>
      <c r="B30" s="19"/>
      <c r="C30" s="35"/>
      <c r="D30" s="36"/>
      <c r="E30" s="32"/>
      <c r="F30" s="28"/>
    </row>
    <row r="31" spans="1:13" ht="15.75" customHeight="1" x14ac:dyDescent="0.25">
      <c r="A31" s="37"/>
      <c r="B31" s="38"/>
      <c r="C31" s="39"/>
      <c r="D31"/>
      <c r="E31" s="40"/>
      <c r="F31" s="37"/>
    </row>
    <row r="32" spans="1:13" ht="15.75" x14ac:dyDescent="0.25">
      <c r="A32" s="6"/>
      <c r="B32" s="11" t="s">
        <v>19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20</v>
      </c>
      <c r="C34" s="15" t="s">
        <v>13</v>
      </c>
      <c r="D34" s="15" t="s">
        <v>21</v>
      </c>
      <c r="E34" s="15" t="s">
        <v>22</v>
      </c>
      <c r="F34" s="16" t="s">
        <v>15</v>
      </c>
    </row>
    <row r="35" spans="1:6" ht="15.75" customHeight="1" x14ac:dyDescent="0.25">
      <c r="A35" s="28">
        <v>1</v>
      </c>
      <c r="B35" s="19">
        <v>1102026</v>
      </c>
      <c r="C35" s="34" t="s">
        <v>23</v>
      </c>
      <c r="D35" s="30" t="s">
        <v>24</v>
      </c>
      <c r="E35" s="41">
        <v>3614</v>
      </c>
      <c r="F35" s="41">
        <v>45</v>
      </c>
    </row>
    <row r="36" spans="1:6" ht="15.75" customHeight="1" x14ac:dyDescent="0.25">
      <c r="A36" s="28">
        <v>2</v>
      </c>
      <c r="B36" s="19">
        <v>1102026</v>
      </c>
      <c r="C36" s="30" t="s">
        <v>25</v>
      </c>
      <c r="D36" s="31"/>
      <c r="E36" s="41">
        <v>3615</v>
      </c>
      <c r="F36" s="41">
        <v>40</v>
      </c>
    </row>
    <row r="37" spans="1:6" ht="15.75" customHeight="1" x14ac:dyDescent="0.25">
      <c r="A37" s="28">
        <v>3</v>
      </c>
      <c r="B37" s="19">
        <v>1102026</v>
      </c>
      <c r="C37" s="34" t="s">
        <v>26</v>
      </c>
      <c r="D37" s="31"/>
      <c r="E37" s="41">
        <v>3616</v>
      </c>
      <c r="F37" s="41">
        <v>40</v>
      </c>
    </row>
    <row r="38" spans="1:6" ht="15.75" customHeight="1" x14ac:dyDescent="0.25">
      <c r="A38" s="28">
        <v>4</v>
      </c>
      <c r="B38" s="19">
        <v>1102026</v>
      </c>
      <c r="C38" s="34" t="s">
        <v>27</v>
      </c>
      <c r="D38" s="34" t="s">
        <v>29</v>
      </c>
      <c r="E38" s="41">
        <v>3617</v>
      </c>
      <c r="F38" s="41">
        <v>40</v>
      </c>
    </row>
    <row r="39" spans="1:6" ht="15.75" customHeight="1" x14ac:dyDescent="0.25">
      <c r="A39" s="28">
        <v>5</v>
      </c>
      <c r="B39" s="19">
        <v>1102026</v>
      </c>
      <c r="C39" s="34" t="s">
        <v>28</v>
      </c>
      <c r="D39" s="34" t="s">
        <v>30</v>
      </c>
      <c r="E39" s="41">
        <v>3618</v>
      </c>
      <c r="F39" s="41">
        <v>40</v>
      </c>
    </row>
    <row r="40" spans="1:6" x14ac:dyDescent="0.25">
      <c r="A40" s="42">
        <v>6</v>
      </c>
      <c r="B40" s="19"/>
      <c r="C40" s="28"/>
      <c r="D40" s="43"/>
      <c r="E40" s="31"/>
      <c r="F40" s="31"/>
    </row>
    <row r="41" spans="1:6" x14ac:dyDescent="0.25">
      <c r="A41" s="42">
        <v>7</v>
      </c>
      <c r="B41" s="19"/>
      <c r="C41" s="31"/>
      <c r="D41" s="28"/>
      <c r="E41" s="31"/>
      <c r="F41" s="28"/>
    </row>
    <row r="42" spans="1:6" x14ac:dyDescent="0.25">
      <c r="F42" s="44"/>
    </row>
  </sheetData>
  <mergeCells count="1">
    <mergeCell ref="A3:H3"/>
  </mergeCells>
  <dataValidations count="2">
    <dataValidation type="list" allowBlank="1" showInputMessage="1" showErrorMessage="1" sqref="F8:F15" xr:uid="{E4792156-D329-4B1D-9561-18D927C5909F}">
      <formula1>"20,40,45,50"</formula1>
      <formula2>0</formula2>
    </dataValidation>
    <dataValidation type="list" allowBlank="1" showInputMessage="1" showErrorMessage="1" sqref="F41 F16" xr:uid="{E580AEA6-B8E2-400E-9C98-01310A5A125D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543D-4975-46C5-B25F-16F918CE2918}">
  <dimension ref="A1:M42"/>
  <sheetViews>
    <sheetView workbookViewId="0">
      <selection activeCell="H1" sqref="H1:L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2" s="7" customFormat="1" ht="15.75" x14ac:dyDescent="0.25">
      <c r="A1" s="6"/>
      <c r="J1" s="8">
        <f>COUNTIF(C8:C15,"&lt;&gt;")</f>
        <v>5</v>
      </c>
      <c r="K1" s="9" t="s">
        <v>6</v>
      </c>
    </row>
    <row r="2" spans="1:12" s="7" customFormat="1" ht="15.75" x14ac:dyDescent="0.25">
      <c r="A2" s="6"/>
      <c r="H2" s="8">
        <f>COUNTIFS(B20:B29,"&lt;&gt;",C20:C29,"VH")</f>
        <v>0</v>
      </c>
      <c r="I2" s="9" t="s">
        <v>7</v>
      </c>
      <c r="J2" s="8">
        <f>COUNTA(C20:C29)-H2</f>
        <v>3</v>
      </c>
      <c r="K2" s="9" t="s">
        <v>6</v>
      </c>
      <c r="L2" s="10">
        <f>COUNTIF(E20:E29,"VIDE")</f>
        <v>0</v>
      </c>
    </row>
    <row r="3" spans="1:12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2" s="7" customFormat="1" ht="12.75" x14ac:dyDescent="0.25">
      <c r="A4" s="6"/>
    </row>
    <row r="5" spans="1:12" s="7" customFormat="1" ht="15.75" x14ac:dyDescent="0.25">
      <c r="A5" s="6"/>
      <c r="B5" s="11" t="s">
        <v>9</v>
      </c>
      <c r="G5" s="12">
        <v>46299</v>
      </c>
    </row>
    <row r="6" spans="1:12" s="7" customFormat="1" thickBot="1" x14ac:dyDescent="0.3">
      <c r="A6" s="6"/>
      <c r="B6" s="13"/>
    </row>
    <row r="7" spans="1:12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2" ht="15.75" x14ac:dyDescent="0.25">
      <c r="A8" s="17">
        <v>1</v>
      </c>
      <c r="B8" s="28" t="s">
        <v>45</v>
      </c>
      <c r="C8" s="19">
        <v>4102026</v>
      </c>
      <c r="D8" s="26" t="s">
        <v>33</v>
      </c>
      <c r="E8" s="26" t="s">
        <v>34</v>
      </c>
      <c r="F8" s="24" t="s">
        <v>35</v>
      </c>
      <c r="G8" s="20"/>
    </row>
    <row r="9" spans="1:12" ht="15.75" x14ac:dyDescent="0.25">
      <c r="A9" s="17">
        <v>2</v>
      </c>
      <c r="B9" s="46" t="s">
        <v>46</v>
      </c>
      <c r="C9" s="19">
        <v>4102026</v>
      </c>
      <c r="D9" s="24" t="s">
        <v>36</v>
      </c>
      <c r="E9" s="24" t="s">
        <v>37</v>
      </c>
      <c r="F9" s="24" t="s">
        <v>38</v>
      </c>
      <c r="G9" s="20"/>
    </row>
    <row r="10" spans="1:12" ht="15.75" x14ac:dyDescent="0.25">
      <c r="A10" s="17">
        <v>3</v>
      </c>
      <c r="B10" s="46" t="s">
        <v>46</v>
      </c>
      <c r="C10" s="19">
        <v>4102026</v>
      </c>
      <c r="D10" s="24" t="s">
        <v>39</v>
      </c>
      <c r="E10" s="24" t="s">
        <v>40</v>
      </c>
      <c r="F10" s="24" t="s">
        <v>38</v>
      </c>
      <c r="G10" s="20"/>
    </row>
    <row r="11" spans="1:12" ht="15.75" x14ac:dyDescent="0.25">
      <c r="A11" s="17">
        <v>4</v>
      </c>
      <c r="B11" s="46" t="s">
        <v>47</v>
      </c>
      <c r="C11" s="19">
        <v>4102026</v>
      </c>
      <c r="D11" s="24" t="s">
        <v>41</v>
      </c>
      <c r="E11" s="24" t="s">
        <v>42</v>
      </c>
      <c r="F11" s="24" t="s">
        <v>35</v>
      </c>
      <c r="G11" s="20"/>
    </row>
    <row r="12" spans="1:12" ht="15.75" x14ac:dyDescent="0.25">
      <c r="A12" s="17">
        <v>5</v>
      </c>
      <c r="B12" s="46" t="s">
        <v>47</v>
      </c>
      <c r="C12" s="19">
        <v>4102026</v>
      </c>
      <c r="D12" s="24" t="s">
        <v>43</v>
      </c>
      <c r="E12" s="25" t="s">
        <v>44</v>
      </c>
      <c r="F12" s="24" t="s">
        <v>35</v>
      </c>
      <c r="G12" s="20"/>
    </row>
    <row r="13" spans="1:12" ht="15.75" x14ac:dyDescent="0.25">
      <c r="A13" s="17">
        <v>6</v>
      </c>
      <c r="B13" s="45"/>
      <c r="C13" s="19"/>
      <c r="D13" s="24"/>
      <c r="E13" s="25"/>
      <c r="F13" s="24"/>
      <c r="G13" s="20"/>
    </row>
    <row r="14" spans="1:12" ht="15.75" x14ac:dyDescent="0.25">
      <c r="A14" s="17">
        <v>7</v>
      </c>
      <c r="B14" s="22"/>
      <c r="C14" s="19"/>
      <c r="D14" s="24"/>
      <c r="E14" s="25"/>
      <c r="F14" s="24"/>
      <c r="G14" s="20"/>
    </row>
    <row r="15" spans="1:12" ht="15.75" x14ac:dyDescent="0.25">
      <c r="A15" s="17">
        <v>8</v>
      </c>
      <c r="B15" s="22"/>
      <c r="C15" s="19"/>
      <c r="D15" s="26"/>
      <c r="E15" s="25"/>
      <c r="F15" s="24"/>
      <c r="G15" s="20"/>
    </row>
    <row r="16" spans="1:12" ht="15.75" x14ac:dyDescent="0.25">
      <c r="A16" s="6"/>
      <c r="B16" s="20"/>
      <c r="C16" s="7"/>
      <c r="D16" s="27"/>
      <c r="E16" s="27"/>
      <c r="F16" s="27"/>
      <c r="G16" s="7"/>
    </row>
    <row r="17" spans="1:13" ht="15.75" x14ac:dyDescent="0.25">
      <c r="A17" s="6"/>
      <c r="B17" s="11" t="s">
        <v>16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17</v>
      </c>
      <c r="C19" s="15" t="s">
        <v>18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8">
        <v>1</v>
      </c>
      <c r="B20" s="19">
        <v>4102026</v>
      </c>
      <c r="C20" s="29" t="s">
        <v>51</v>
      </c>
      <c r="D20" s="30" t="s">
        <v>48</v>
      </c>
      <c r="E20" s="31">
        <v>3666</v>
      </c>
      <c r="F20" s="31">
        <v>40</v>
      </c>
    </row>
    <row r="21" spans="1:13" ht="15.75" customHeight="1" x14ac:dyDescent="0.25">
      <c r="A21" s="28">
        <v>2</v>
      </c>
      <c r="B21" s="19">
        <v>4102026</v>
      </c>
      <c r="C21" s="29" t="s">
        <v>50</v>
      </c>
      <c r="D21" s="34" t="s">
        <v>49</v>
      </c>
      <c r="E21" s="47">
        <v>3669</v>
      </c>
      <c r="F21" s="31">
        <v>40</v>
      </c>
      <c r="I21" s="33"/>
      <c r="J21" s="33"/>
      <c r="K21" s="33"/>
      <c r="L21" s="33"/>
      <c r="M21" s="33"/>
    </row>
    <row r="22" spans="1:13" ht="15.75" customHeight="1" x14ac:dyDescent="0.25">
      <c r="A22" s="28">
        <v>3</v>
      </c>
      <c r="B22" s="19">
        <v>4102026</v>
      </c>
      <c r="C22" s="29" t="s">
        <v>54</v>
      </c>
      <c r="D22" s="26" t="s">
        <v>52</v>
      </c>
      <c r="E22" s="26" t="s">
        <v>53</v>
      </c>
      <c r="F22" s="24">
        <v>20</v>
      </c>
      <c r="I22" s="33"/>
      <c r="J22" s="33"/>
      <c r="K22" s="33"/>
      <c r="L22" s="33"/>
      <c r="M22" s="33"/>
    </row>
    <row r="23" spans="1:13" ht="15.75" customHeight="1" x14ac:dyDescent="0.25">
      <c r="A23" s="28">
        <v>4</v>
      </c>
      <c r="B23" s="19"/>
      <c r="C23" s="29"/>
      <c r="D23" s="32"/>
      <c r="E23" s="32"/>
      <c r="F23" s="29"/>
      <c r="I23" s="33"/>
      <c r="J23" s="33"/>
      <c r="K23" s="33"/>
      <c r="L23" s="33"/>
      <c r="M23" s="33"/>
    </row>
    <row r="24" spans="1:13" ht="15.75" customHeight="1" x14ac:dyDescent="0.25">
      <c r="A24" s="28">
        <v>5</v>
      </c>
      <c r="B24" s="19"/>
      <c r="C24" s="29"/>
      <c r="D24" s="32"/>
      <c r="E24" s="32"/>
      <c r="F24" s="29"/>
      <c r="I24" s="33"/>
      <c r="J24" s="33"/>
      <c r="K24" s="33"/>
      <c r="L24" s="33"/>
      <c r="M24" s="33"/>
    </row>
    <row r="25" spans="1:13" ht="15.75" customHeight="1" x14ac:dyDescent="0.25">
      <c r="A25" s="28">
        <v>6</v>
      </c>
      <c r="B25" s="19"/>
      <c r="C25" s="29"/>
      <c r="D25" s="32"/>
      <c r="E25" s="32"/>
      <c r="F25" s="29"/>
      <c r="I25" s="33"/>
      <c r="J25" s="33"/>
      <c r="K25" s="33"/>
      <c r="L25" s="33"/>
      <c r="M25" s="33"/>
    </row>
    <row r="26" spans="1:13" ht="15.75" customHeight="1" x14ac:dyDescent="0.25">
      <c r="A26" s="28">
        <v>7</v>
      </c>
      <c r="B26" s="19"/>
      <c r="C26" s="29"/>
      <c r="D26" s="28"/>
      <c r="E26" s="32"/>
      <c r="F26" s="29"/>
      <c r="I26" s="33"/>
      <c r="J26" s="33"/>
      <c r="K26" s="33"/>
      <c r="L26" s="33"/>
      <c r="M26" s="33"/>
    </row>
    <row r="27" spans="1:13" x14ac:dyDescent="0.25">
      <c r="A27" s="28">
        <v>8</v>
      </c>
      <c r="B27" s="19"/>
      <c r="C27" s="29"/>
      <c r="D27" s="34"/>
      <c r="E27" s="32"/>
      <c r="F27" s="29"/>
    </row>
    <row r="28" spans="1:13" x14ac:dyDescent="0.25">
      <c r="A28" s="28">
        <v>9</v>
      </c>
      <c r="B28" s="19"/>
      <c r="C28" s="29"/>
      <c r="D28" s="30"/>
      <c r="E28" s="32"/>
      <c r="F28" s="29"/>
    </row>
    <row r="29" spans="1:13" x14ac:dyDescent="0.25">
      <c r="A29" s="28">
        <v>10</v>
      </c>
      <c r="B29" s="19"/>
      <c r="C29" s="35"/>
      <c r="D29" s="34"/>
      <c r="E29" s="32"/>
      <c r="F29" s="28"/>
    </row>
    <row r="30" spans="1:13" ht="15.75" customHeight="1" x14ac:dyDescent="0.25">
      <c r="A30" s="28">
        <v>11</v>
      </c>
      <c r="B30" s="19"/>
      <c r="C30" s="35"/>
      <c r="D30" s="36"/>
      <c r="E30" s="32"/>
      <c r="F30" s="28"/>
    </row>
    <row r="31" spans="1:13" ht="15.75" customHeight="1" x14ac:dyDescent="0.25">
      <c r="A31" s="37"/>
      <c r="B31" s="38"/>
      <c r="C31" s="39"/>
      <c r="D31"/>
      <c r="E31" s="40"/>
      <c r="F31" s="37"/>
    </row>
    <row r="32" spans="1:13" ht="15.75" x14ac:dyDescent="0.25">
      <c r="A32" s="6"/>
      <c r="B32" s="11" t="s">
        <v>19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20</v>
      </c>
      <c r="C34" s="15" t="s">
        <v>13</v>
      </c>
      <c r="D34" s="15" t="s">
        <v>21</v>
      </c>
      <c r="E34" s="15" t="s">
        <v>22</v>
      </c>
      <c r="F34" s="16" t="s">
        <v>15</v>
      </c>
    </row>
    <row r="35" spans="1:6" ht="15.75" customHeight="1" x14ac:dyDescent="0.25">
      <c r="A35" s="28">
        <v>1</v>
      </c>
      <c r="B35" s="19"/>
      <c r="C35" s="34"/>
      <c r="D35" s="30"/>
      <c r="E35" s="41"/>
      <c r="F35" s="41"/>
    </row>
    <row r="36" spans="1:6" ht="15.75" customHeight="1" x14ac:dyDescent="0.25">
      <c r="A36" s="28">
        <v>2</v>
      </c>
      <c r="B36" s="19"/>
      <c r="C36" s="30"/>
      <c r="D36" s="31"/>
      <c r="E36" s="41"/>
      <c r="F36" s="41"/>
    </row>
    <row r="37" spans="1:6" ht="15.75" customHeight="1" x14ac:dyDescent="0.25">
      <c r="A37" s="28">
        <v>3</v>
      </c>
      <c r="B37" s="19"/>
      <c r="C37" s="34"/>
      <c r="D37" s="31"/>
      <c r="E37" s="41"/>
      <c r="F37" s="41"/>
    </row>
    <row r="38" spans="1:6" ht="15.75" customHeight="1" x14ac:dyDescent="0.25">
      <c r="A38" s="28">
        <v>4</v>
      </c>
      <c r="B38" s="19"/>
      <c r="C38" s="34"/>
      <c r="D38" s="34"/>
      <c r="E38" s="41"/>
      <c r="F38" s="41"/>
    </row>
    <row r="39" spans="1:6" ht="15.75" customHeight="1" x14ac:dyDescent="0.25">
      <c r="A39" s="28">
        <v>5</v>
      </c>
      <c r="B39" s="19"/>
      <c r="C39" s="34"/>
      <c r="D39" s="34"/>
      <c r="E39" s="41"/>
      <c r="F39" s="41"/>
    </row>
    <row r="40" spans="1:6" x14ac:dyDescent="0.25">
      <c r="A40" s="31">
        <v>6</v>
      </c>
      <c r="B40" s="19"/>
      <c r="C40" s="28"/>
      <c r="D40" s="43"/>
      <c r="E40" s="31"/>
      <c r="F40" s="31"/>
    </row>
    <row r="41" spans="1:6" x14ac:dyDescent="0.25">
      <c r="A41" s="31">
        <v>7</v>
      </c>
      <c r="B41" s="19"/>
      <c r="C41" s="31"/>
      <c r="D41" s="28"/>
      <c r="E41" s="31"/>
      <c r="F41" s="28"/>
    </row>
    <row r="42" spans="1:6" x14ac:dyDescent="0.25">
      <c r="F42" s="44"/>
    </row>
  </sheetData>
  <mergeCells count="1">
    <mergeCell ref="A3:H3"/>
  </mergeCells>
  <dataValidations count="2">
    <dataValidation type="list" allowBlank="1" showInputMessage="1" showErrorMessage="1" sqref="F41 F16" xr:uid="{2C47AF88-9A31-4D84-B329-10A92F3AA1C7}">
      <formula1>"20,40,45,50"</formula1>
    </dataValidation>
    <dataValidation type="list" allowBlank="1" showInputMessage="1" showErrorMessage="1" sqref="F8:F15 F21:F22" xr:uid="{06CE73C6-C0D9-4337-9429-05602BB111C3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DFBC-7B67-49C8-BC1D-EC76810F57FF}">
  <dimension ref="A1:M42"/>
  <sheetViews>
    <sheetView workbookViewId="0">
      <selection activeCell="H9" sqref="H9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9</v>
      </c>
      <c r="I2" s="9" t="s">
        <v>6</v>
      </c>
      <c r="J2" s="10">
        <f>COUNTIF(E20:E29,"VIDE")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46300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28"/>
      <c r="C8" s="19"/>
      <c r="D8" s="26"/>
      <c r="E8" s="26"/>
      <c r="F8" s="24"/>
      <c r="G8" s="20"/>
    </row>
    <row r="9" spans="1:10" ht="15.75" x14ac:dyDescent="0.25">
      <c r="A9" s="17">
        <v>2</v>
      </c>
      <c r="B9" s="46"/>
      <c r="C9" s="19"/>
      <c r="D9" s="24"/>
      <c r="E9" s="24"/>
      <c r="F9" s="24"/>
      <c r="G9" s="20"/>
    </row>
    <row r="10" spans="1:10" ht="15.75" x14ac:dyDescent="0.25">
      <c r="A10" s="17">
        <v>3</v>
      </c>
      <c r="B10" s="46"/>
      <c r="C10" s="19"/>
      <c r="D10" s="24"/>
      <c r="E10" s="24"/>
      <c r="F10" s="24"/>
      <c r="G10" s="20"/>
    </row>
    <row r="11" spans="1:10" ht="15.75" x14ac:dyDescent="0.25">
      <c r="A11" s="17">
        <v>4</v>
      </c>
      <c r="B11" s="46"/>
      <c r="C11" s="19"/>
      <c r="D11" s="24"/>
      <c r="E11" s="24"/>
      <c r="F11" s="24"/>
      <c r="G11" s="20"/>
    </row>
    <row r="12" spans="1:10" ht="15.75" x14ac:dyDescent="0.25">
      <c r="A12" s="17">
        <v>5</v>
      </c>
      <c r="B12" s="46"/>
      <c r="C12" s="19"/>
      <c r="D12" s="24"/>
      <c r="E12" s="25"/>
      <c r="F12" s="24"/>
      <c r="G12" s="20"/>
    </row>
    <row r="13" spans="1:10" ht="15.75" x14ac:dyDescent="0.25">
      <c r="A13" s="17">
        <v>6</v>
      </c>
      <c r="B13" s="45"/>
      <c r="C13" s="19"/>
      <c r="D13" s="24"/>
      <c r="E13" s="25"/>
      <c r="F13" s="24"/>
      <c r="G13" s="20"/>
    </row>
    <row r="14" spans="1:10" ht="15.75" x14ac:dyDescent="0.25">
      <c r="A14" s="17">
        <v>7</v>
      </c>
      <c r="B14" s="22"/>
      <c r="C14" s="19"/>
      <c r="D14" s="24"/>
      <c r="E14" s="25"/>
      <c r="F14" s="24"/>
      <c r="G14" s="20"/>
    </row>
    <row r="15" spans="1:10" ht="15.75" x14ac:dyDescent="0.25">
      <c r="A15" s="17">
        <v>8</v>
      </c>
      <c r="B15" s="22"/>
      <c r="C15" s="19"/>
      <c r="D15" s="26"/>
      <c r="E15" s="25"/>
      <c r="F15" s="24"/>
      <c r="G15" s="20"/>
    </row>
    <row r="16" spans="1:10" ht="15.75" x14ac:dyDescent="0.25">
      <c r="A16" s="6"/>
      <c r="B16" s="20"/>
      <c r="C16" s="7"/>
      <c r="D16" s="27"/>
      <c r="E16" s="27"/>
      <c r="F16" s="27"/>
      <c r="G16" s="7"/>
    </row>
    <row r="17" spans="1:13" ht="15.75" x14ac:dyDescent="0.25">
      <c r="A17" s="6"/>
      <c r="B17" s="11" t="s">
        <v>16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17</v>
      </c>
      <c r="C19" s="15" t="s">
        <v>18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8">
        <v>1</v>
      </c>
      <c r="B20" s="19">
        <v>5102026</v>
      </c>
      <c r="C20" s="29" t="s">
        <v>61</v>
      </c>
      <c r="D20" s="34" t="s">
        <v>27</v>
      </c>
      <c r="E20" s="41">
        <v>3617</v>
      </c>
      <c r="F20" s="31">
        <v>40</v>
      </c>
    </row>
    <row r="21" spans="1:13" ht="15.75" customHeight="1" x14ac:dyDescent="0.25">
      <c r="A21" s="28">
        <v>2</v>
      </c>
      <c r="B21" s="19">
        <v>5102026</v>
      </c>
      <c r="C21" s="29" t="s">
        <v>60</v>
      </c>
      <c r="D21" s="34" t="s">
        <v>28</v>
      </c>
      <c r="E21" s="41">
        <v>3618</v>
      </c>
      <c r="F21" s="31">
        <v>40</v>
      </c>
      <c r="I21" s="33"/>
      <c r="J21" s="33"/>
      <c r="K21" s="33"/>
      <c r="L21" s="33"/>
      <c r="M21" s="33"/>
    </row>
    <row r="22" spans="1:13" ht="15.75" customHeight="1" x14ac:dyDescent="0.25">
      <c r="A22" s="28">
        <v>3</v>
      </c>
      <c r="B22" s="19">
        <v>5102026</v>
      </c>
      <c r="C22" s="29" t="s">
        <v>63</v>
      </c>
      <c r="D22" s="32" t="s">
        <v>62</v>
      </c>
      <c r="E22" s="32">
        <v>3614</v>
      </c>
      <c r="F22" s="29">
        <v>45</v>
      </c>
      <c r="I22" s="33"/>
      <c r="J22" s="33"/>
      <c r="K22" s="33"/>
      <c r="L22" s="33"/>
      <c r="M22" s="33"/>
    </row>
    <row r="23" spans="1:13" ht="15.75" customHeight="1" x14ac:dyDescent="0.25">
      <c r="A23" s="28">
        <v>4</v>
      </c>
      <c r="B23" s="19">
        <v>5102026</v>
      </c>
      <c r="C23" s="29" t="s">
        <v>77</v>
      </c>
      <c r="D23" s="26" t="s">
        <v>64</v>
      </c>
      <c r="E23" s="24" t="s">
        <v>65</v>
      </c>
      <c r="F23" s="24" t="s">
        <v>35</v>
      </c>
      <c r="I23" s="33"/>
      <c r="J23" s="33"/>
      <c r="K23" s="33"/>
      <c r="L23" s="33"/>
      <c r="M23" s="33"/>
    </row>
    <row r="24" spans="1:13" ht="15.75" customHeight="1" x14ac:dyDescent="0.25">
      <c r="A24" s="28">
        <v>5</v>
      </c>
      <c r="B24" s="19">
        <v>5102026</v>
      </c>
      <c r="C24" s="29" t="s">
        <v>78</v>
      </c>
      <c r="D24" s="26" t="s">
        <v>66</v>
      </c>
      <c r="E24" s="24" t="s">
        <v>67</v>
      </c>
      <c r="F24" s="24" t="s">
        <v>38</v>
      </c>
      <c r="I24" s="33"/>
      <c r="J24" s="33"/>
      <c r="K24" s="33"/>
      <c r="L24" s="33"/>
      <c r="M24" s="33"/>
    </row>
    <row r="25" spans="1:13" ht="15.75" customHeight="1" x14ac:dyDescent="0.25">
      <c r="A25" s="28">
        <v>6</v>
      </c>
      <c r="B25" s="19">
        <v>5102026</v>
      </c>
      <c r="C25" s="29" t="s">
        <v>76</v>
      </c>
      <c r="D25" s="24" t="s">
        <v>68</v>
      </c>
      <c r="E25" s="24" t="s">
        <v>69</v>
      </c>
      <c r="F25" s="24" t="s">
        <v>38</v>
      </c>
      <c r="I25" s="33"/>
      <c r="J25" s="33"/>
      <c r="K25" s="33"/>
      <c r="L25" s="33"/>
      <c r="M25" s="33"/>
    </row>
    <row r="26" spans="1:13" ht="15.75" customHeight="1" x14ac:dyDescent="0.25">
      <c r="A26" s="28">
        <v>7</v>
      </c>
      <c r="B26" s="19">
        <v>5102026</v>
      </c>
      <c r="C26" s="29" t="s">
        <v>79</v>
      </c>
      <c r="D26" s="24" t="s">
        <v>70</v>
      </c>
      <c r="E26" s="24" t="s">
        <v>71</v>
      </c>
      <c r="F26" s="24" t="s">
        <v>38</v>
      </c>
      <c r="I26" s="33"/>
      <c r="J26" s="33"/>
      <c r="K26" s="33"/>
      <c r="L26" s="33"/>
      <c r="M26" s="33"/>
    </row>
    <row r="27" spans="1:13" x14ac:dyDescent="0.25">
      <c r="A27" s="28">
        <v>8</v>
      </c>
      <c r="B27" s="19">
        <v>5102026</v>
      </c>
      <c r="C27" s="29" t="s">
        <v>80</v>
      </c>
      <c r="D27" s="24" t="s">
        <v>72</v>
      </c>
      <c r="E27" s="24" t="s">
        <v>73</v>
      </c>
      <c r="F27" s="24">
        <v>40</v>
      </c>
    </row>
    <row r="28" spans="1:13" x14ac:dyDescent="0.25">
      <c r="A28" s="28">
        <v>9</v>
      </c>
      <c r="B28" s="19">
        <v>5102026</v>
      </c>
      <c r="C28" s="29" t="s">
        <v>81</v>
      </c>
      <c r="D28" s="24" t="s">
        <v>74</v>
      </c>
      <c r="E28" s="24" t="s">
        <v>75</v>
      </c>
      <c r="F28" s="24">
        <v>40</v>
      </c>
    </row>
    <row r="29" spans="1:13" x14ac:dyDescent="0.25">
      <c r="A29" s="28">
        <v>10</v>
      </c>
      <c r="B29" s="19"/>
      <c r="C29" s="35"/>
      <c r="D29" s="34"/>
      <c r="E29" s="32"/>
      <c r="F29" s="28"/>
    </row>
    <row r="30" spans="1:13" ht="15.75" customHeight="1" x14ac:dyDescent="0.25">
      <c r="A30" s="28">
        <v>11</v>
      </c>
      <c r="B30" s="19"/>
      <c r="C30" s="35"/>
      <c r="D30" s="36"/>
      <c r="E30" s="32"/>
      <c r="F30" s="28"/>
    </row>
    <row r="31" spans="1:13" ht="15.75" customHeight="1" x14ac:dyDescent="0.25">
      <c r="A31" s="37"/>
      <c r="B31" s="38"/>
      <c r="C31" s="39"/>
      <c r="D31"/>
      <c r="E31" s="40"/>
      <c r="F31" s="37"/>
    </row>
    <row r="32" spans="1:13" ht="15.75" x14ac:dyDescent="0.25">
      <c r="A32" s="6"/>
      <c r="B32" s="11" t="s">
        <v>19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20</v>
      </c>
      <c r="C34" s="15" t="s">
        <v>13</v>
      </c>
      <c r="D34" s="15" t="s">
        <v>21</v>
      </c>
      <c r="E34" s="15" t="s">
        <v>22</v>
      </c>
      <c r="F34" s="16" t="s">
        <v>15</v>
      </c>
    </row>
    <row r="35" spans="1:6" ht="15.75" customHeight="1" x14ac:dyDescent="0.25">
      <c r="A35" s="28">
        <v>1</v>
      </c>
      <c r="B35" s="19">
        <v>5102026</v>
      </c>
      <c r="C35" s="34" t="s">
        <v>55</v>
      </c>
      <c r="D35" s="31">
        <v>3715</v>
      </c>
      <c r="E35" s="41">
        <v>3621</v>
      </c>
      <c r="F35" s="41">
        <v>40</v>
      </c>
    </row>
    <row r="36" spans="1:6" ht="15.75" customHeight="1" x14ac:dyDescent="0.25">
      <c r="A36" s="28">
        <v>2</v>
      </c>
      <c r="B36" s="19">
        <v>5102026</v>
      </c>
      <c r="C36" s="34" t="s">
        <v>56</v>
      </c>
      <c r="D36" s="31">
        <v>3713</v>
      </c>
      <c r="E36" s="41">
        <v>3622</v>
      </c>
      <c r="F36" s="41">
        <v>40</v>
      </c>
    </row>
    <row r="37" spans="1:6" ht="15.75" customHeight="1" x14ac:dyDescent="0.25">
      <c r="A37" s="28">
        <v>3</v>
      </c>
      <c r="B37" s="19">
        <v>5102026</v>
      </c>
      <c r="C37" s="34" t="s">
        <v>57</v>
      </c>
      <c r="D37" s="31">
        <v>3716</v>
      </c>
      <c r="E37" s="41">
        <v>3623</v>
      </c>
      <c r="F37" s="41">
        <v>40</v>
      </c>
    </row>
    <row r="38" spans="1:6" ht="15.75" customHeight="1" x14ac:dyDescent="0.25">
      <c r="A38" s="28">
        <v>4</v>
      </c>
      <c r="B38" s="19">
        <v>5102026</v>
      </c>
      <c r="C38" s="26" t="s">
        <v>58</v>
      </c>
      <c r="D38" s="26" t="s">
        <v>59</v>
      </c>
      <c r="E38" s="31">
        <v>3620</v>
      </c>
      <c r="F38" s="24" t="s">
        <v>35</v>
      </c>
    </row>
    <row r="39" spans="1:6" ht="15.75" customHeight="1" x14ac:dyDescent="0.25">
      <c r="A39" s="28">
        <v>5</v>
      </c>
      <c r="B39" s="19"/>
      <c r="C39" s="34"/>
      <c r="D39" s="34"/>
      <c r="E39" s="41"/>
      <c r="F39" s="41"/>
    </row>
    <row r="40" spans="1:6" x14ac:dyDescent="0.25">
      <c r="A40" s="31">
        <v>6</v>
      </c>
      <c r="B40" s="19"/>
      <c r="C40" s="28"/>
      <c r="D40" s="43"/>
      <c r="E40" s="31"/>
      <c r="F40" s="31"/>
    </row>
    <row r="41" spans="1:6" x14ac:dyDescent="0.25">
      <c r="A41" s="31">
        <v>7</v>
      </c>
      <c r="B41" s="19"/>
      <c r="C41" s="31"/>
      <c r="D41" s="28"/>
      <c r="E41" s="31"/>
      <c r="F41" s="28"/>
    </row>
    <row r="42" spans="1:6" x14ac:dyDescent="0.25">
      <c r="F42" s="44"/>
    </row>
  </sheetData>
  <mergeCells count="1">
    <mergeCell ref="A3:H3"/>
  </mergeCells>
  <dataValidations count="2">
    <dataValidation type="list" allowBlank="1" showInputMessage="1" showErrorMessage="1" sqref="F8:F15 F21 F38 F23:F28" xr:uid="{B1D50973-C163-457B-B6A0-81FD3FC3B9BA}">
      <formula1>"20,40,45,50"</formula1>
      <formula2>0</formula2>
    </dataValidation>
    <dataValidation type="list" allowBlank="1" showInputMessage="1" showErrorMessage="1" sqref="F41 F16" xr:uid="{D73474D1-92DB-478B-93C4-9DC05452680F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EF8D-37CA-4A31-8D52-A76DF0BB1357}">
  <dimension ref="A1:M44"/>
  <sheetViews>
    <sheetView workbookViewId="0">
      <selection activeCell="F1" sqref="F1:J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COUNTIF(C8:C31,"&lt;&gt;")</f>
        <v>14</v>
      </c>
      <c r="I1" s="9" t="s">
        <v>6</v>
      </c>
    </row>
    <row r="2" spans="1:10" s="7" customFormat="1" ht="15.75" x14ac:dyDescent="0.25">
      <c r="A2" s="6"/>
      <c r="F2" s="8">
        <f>COUNTIFS(B36:B37,"&lt;&gt;",C36:C37,"VH")</f>
        <v>0</v>
      </c>
      <c r="G2" s="9" t="s">
        <v>7</v>
      </c>
      <c r="H2" s="8">
        <f>COUNTA(C36:C37)-F2</f>
        <v>0</v>
      </c>
      <c r="I2" s="9" t="s">
        <v>6</v>
      </c>
      <c r="J2" s="10">
        <f>COUNTIF(E36:E37,"VIDE")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46301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63" t="s">
        <v>134</v>
      </c>
      <c r="C8" s="19">
        <v>6102026</v>
      </c>
      <c r="D8" s="52" t="s">
        <v>133</v>
      </c>
      <c r="E8" s="52" t="s">
        <v>132</v>
      </c>
      <c r="F8" s="53" t="s">
        <v>35</v>
      </c>
      <c r="G8" s="20"/>
    </row>
    <row r="9" spans="1:10" ht="15.75" x14ac:dyDescent="0.25">
      <c r="A9" s="17">
        <v>2</v>
      </c>
      <c r="B9" s="64"/>
      <c r="C9" s="19">
        <v>6102026</v>
      </c>
      <c r="D9" s="54" t="s">
        <v>131</v>
      </c>
      <c r="E9" s="51" t="s">
        <v>130</v>
      </c>
      <c r="F9" s="51" t="s">
        <v>35</v>
      </c>
      <c r="G9" s="20"/>
    </row>
    <row r="10" spans="1:10" ht="15.75" x14ac:dyDescent="0.25">
      <c r="A10" s="17">
        <v>3</v>
      </c>
      <c r="B10" s="64"/>
      <c r="C10" s="19">
        <v>6102026</v>
      </c>
      <c r="D10" s="51" t="s">
        <v>129</v>
      </c>
      <c r="E10" s="51" t="s">
        <v>128</v>
      </c>
      <c r="F10" s="51" t="s">
        <v>35</v>
      </c>
      <c r="G10" s="20"/>
    </row>
    <row r="11" spans="1:10" ht="15.75" x14ac:dyDescent="0.25">
      <c r="A11" s="17">
        <v>4</v>
      </c>
      <c r="B11" s="64"/>
      <c r="C11" s="19">
        <v>6102026</v>
      </c>
      <c r="D11" s="51" t="s">
        <v>127</v>
      </c>
      <c r="E11" s="51" t="s">
        <v>126</v>
      </c>
      <c r="F11" s="51" t="s">
        <v>35</v>
      </c>
      <c r="G11" s="20"/>
    </row>
    <row r="12" spans="1:10" ht="15.75" x14ac:dyDescent="0.25">
      <c r="A12" s="17">
        <v>5</v>
      </c>
      <c r="B12" s="64"/>
      <c r="C12" s="57"/>
      <c r="D12" s="51" t="s">
        <v>125</v>
      </c>
      <c r="E12" s="55" t="s">
        <v>124</v>
      </c>
      <c r="F12" s="51" t="s">
        <v>35</v>
      </c>
      <c r="G12" s="20"/>
    </row>
    <row r="13" spans="1:10" ht="15.75" x14ac:dyDescent="0.25">
      <c r="A13" s="17">
        <v>6</v>
      </c>
      <c r="B13" s="64"/>
      <c r="C13" s="57"/>
      <c r="D13" s="51" t="s">
        <v>123</v>
      </c>
      <c r="E13" s="55" t="s">
        <v>122</v>
      </c>
      <c r="F13" s="51" t="s">
        <v>35</v>
      </c>
      <c r="G13" s="20"/>
    </row>
    <row r="14" spans="1:10" ht="15.75" x14ac:dyDescent="0.25">
      <c r="A14" s="17">
        <v>7</v>
      </c>
      <c r="B14" s="64"/>
      <c r="C14" s="57"/>
      <c r="D14" s="51" t="s">
        <v>121</v>
      </c>
      <c r="E14" s="55" t="s">
        <v>120</v>
      </c>
      <c r="F14" s="51" t="s">
        <v>35</v>
      </c>
      <c r="G14" s="20"/>
    </row>
    <row r="15" spans="1:10" ht="15.75" x14ac:dyDescent="0.25">
      <c r="A15" s="17">
        <v>8</v>
      </c>
      <c r="B15" s="64"/>
      <c r="C15" s="19">
        <v>6102026</v>
      </c>
      <c r="D15" s="56" t="s">
        <v>119</v>
      </c>
      <c r="E15" s="55" t="s">
        <v>118</v>
      </c>
      <c r="F15" s="51" t="s">
        <v>35</v>
      </c>
      <c r="G15" s="20"/>
    </row>
    <row r="16" spans="1:10" ht="15.75" x14ac:dyDescent="0.25">
      <c r="A16" s="17">
        <v>9</v>
      </c>
      <c r="B16" s="64"/>
      <c r="C16" s="57"/>
      <c r="D16" s="56" t="s">
        <v>117</v>
      </c>
      <c r="E16" s="55" t="s">
        <v>116</v>
      </c>
      <c r="F16" s="51" t="s">
        <v>35</v>
      </c>
      <c r="G16" s="20"/>
    </row>
    <row r="17" spans="1:7" ht="15.75" x14ac:dyDescent="0.25">
      <c r="A17" s="17">
        <v>10</v>
      </c>
      <c r="B17" s="64"/>
      <c r="C17" s="19">
        <v>6102026</v>
      </c>
      <c r="D17" s="56" t="s">
        <v>115</v>
      </c>
      <c r="E17" s="55" t="s">
        <v>114</v>
      </c>
      <c r="F17" s="51" t="s">
        <v>35</v>
      </c>
      <c r="G17" s="20"/>
    </row>
    <row r="18" spans="1:7" ht="15.75" x14ac:dyDescent="0.25">
      <c r="A18" s="17">
        <v>11</v>
      </c>
      <c r="B18" s="64"/>
      <c r="C18" s="57"/>
      <c r="D18" s="51" t="s">
        <v>113</v>
      </c>
      <c r="E18" s="55" t="s">
        <v>112</v>
      </c>
      <c r="F18" s="51" t="s">
        <v>35</v>
      </c>
      <c r="G18" s="20"/>
    </row>
    <row r="19" spans="1:7" ht="15.75" x14ac:dyDescent="0.25">
      <c r="A19" s="17">
        <v>12</v>
      </c>
      <c r="B19" s="64"/>
      <c r="C19" s="19">
        <v>6102026</v>
      </c>
      <c r="D19" s="51" t="s">
        <v>111</v>
      </c>
      <c r="E19" s="51" t="s">
        <v>110</v>
      </c>
      <c r="F19" s="51" t="s">
        <v>35</v>
      </c>
      <c r="G19" s="20"/>
    </row>
    <row r="20" spans="1:7" ht="15.75" x14ac:dyDescent="0.25">
      <c r="A20" s="17">
        <v>13</v>
      </c>
      <c r="B20" s="64"/>
      <c r="C20" s="57"/>
      <c r="D20" s="51" t="s">
        <v>109</v>
      </c>
      <c r="E20" s="51" t="s">
        <v>108</v>
      </c>
      <c r="F20" s="51" t="s">
        <v>35</v>
      </c>
      <c r="G20" s="20"/>
    </row>
    <row r="21" spans="1:7" ht="15.75" x14ac:dyDescent="0.25">
      <c r="A21" s="17">
        <v>14</v>
      </c>
      <c r="B21" s="64"/>
      <c r="C21" s="57"/>
      <c r="D21" s="51" t="s">
        <v>107</v>
      </c>
      <c r="E21" s="51" t="s">
        <v>106</v>
      </c>
      <c r="F21" s="51" t="s">
        <v>35</v>
      </c>
      <c r="G21" s="20"/>
    </row>
    <row r="22" spans="1:7" ht="15.75" x14ac:dyDescent="0.25">
      <c r="A22" s="17">
        <v>15</v>
      </c>
      <c r="B22" s="64"/>
      <c r="C22" s="57"/>
      <c r="D22" s="51" t="s">
        <v>105</v>
      </c>
      <c r="E22" s="51" t="s">
        <v>104</v>
      </c>
      <c r="F22" s="51" t="s">
        <v>35</v>
      </c>
      <c r="G22" s="20"/>
    </row>
    <row r="23" spans="1:7" ht="15.75" x14ac:dyDescent="0.25">
      <c r="A23" s="17">
        <v>16</v>
      </c>
      <c r="B23" s="64"/>
      <c r="C23" s="57"/>
      <c r="D23" s="56" t="s">
        <v>103</v>
      </c>
      <c r="E23" s="56" t="s">
        <v>102</v>
      </c>
      <c r="F23" s="51" t="s">
        <v>35</v>
      </c>
      <c r="G23" s="20"/>
    </row>
    <row r="24" spans="1:7" ht="15.75" x14ac:dyDescent="0.25">
      <c r="A24" s="17">
        <v>17</v>
      </c>
      <c r="B24" s="64"/>
      <c r="C24" s="19">
        <v>6102026</v>
      </c>
      <c r="D24" s="56" t="s">
        <v>101</v>
      </c>
      <c r="E24" s="56" t="s">
        <v>100</v>
      </c>
      <c r="F24" s="51" t="s">
        <v>35</v>
      </c>
      <c r="G24" s="20"/>
    </row>
    <row r="25" spans="1:7" ht="15.75" x14ac:dyDescent="0.25">
      <c r="A25" s="17">
        <v>18</v>
      </c>
      <c r="B25" s="64"/>
      <c r="C25" s="19">
        <v>6102026</v>
      </c>
      <c r="D25" s="56" t="s">
        <v>99</v>
      </c>
      <c r="E25" s="56" t="s">
        <v>98</v>
      </c>
      <c r="F25" s="51" t="s">
        <v>35</v>
      </c>
      <c r="G25" s="20"/>
    </row>
    <row r="26" spans="1:7" ht="15.75" x14ac:dyDescent="0.25">
      <c r="A26" s="17">
        <v>19</v>
      </c>
      <c r="B26" s="64"/>
      <c r="C26" s="19">
        <v>6102026</v>
      </c>
      <c r="D26" s="56" t="s">
        <v>97</v>
      </c>
      <c r="E26" s="56" t="s">
        <v>96</v>
      </c>
      <c r="F26" s="51" t="s">
        <v>35</v>
      </c>
      <c r="G26" s="20"/>
    </row>
    <row r="27" spans="1:7" ht="15.75" x14ac:dyDescent="0.25">
      <c r="A27" s="17">
        <v>20</v>
      </c>
      <c r="B27" s="64"/>
      <c r="C27" s="19">
        <v>6102026</v>
      </c>
      <c r="D27" s="56" t="s">
        <v>95</v>
      </c>
      <c r="E27" s="56" t="s">
        <v>94</v>
      </c>
      <c r="F27" s="51" t="s">
        <v>35</v>
      </c>
      <c r="G27" s="20"/>
    </row>
    <row r="28" spans="1:7" ht="15.75" x14ac:dyDescent="0.25">
      <c r="A28" s="17">
        <v>21</v>
      </c>
      <c r="B28" s="64"/>
      <c r="C28" s="57"/>
      <c r="D28" s="56" t="s">
        <v>93</v>
      </c>
      <c r="E28" s="56" t="s">
        <v>92</v>
      </c>
      <c r="F28" s="51" t="s">
        <v>35</v>
      </c>
      <c r="G28" s="20"/>
    </row>
    <row r="29" spans="1:7" ht="15.75" x14ac:dyDescent="0.25">
      <c r="A29" s="17">
        <v>22</v>
      </c>
      <c r="B29" s="64"/>
      <c r="C29" s="19">
        <v>6102026</v>
      </c>
      <c r="D29" s="56" t="s">
        <v>91</v>
      </c>
      <c r="E29" s="56" t="s">
        <v>90</v>
      </c>
      <c r="F29" s="51" t="s">
        <v>35</v>
      </c>
      <c r="G29" s="20"/>
    </row>
    <row r="30" spans="1:7" ht="15.75" x14ac:dyDescent="0.25">
      <c r="A30" s="17">
        <v>23</v>
      </c>
      <c r="B30" s="64"/>
      <c r="C30" s="19">
        <v>6102026</v>
      </c>
      <c r="D30" s="56" t="s">
        <v>89</v>
      </c>
      <c r="E30" s="56" t="s">
        <v>88</v>
      </c>
      <c r="F30" s="51" t="s">
        <v>35</v>
      </c>
      <c r="G30" s="20"/>
    </row>
    <row r="31" spans="1:7" x14ac:dyDescent="0.25">
      <c r="A31" s="17">
        <v>24</v>
      </c>
      <c r="B31" s="65"/>
      <c r="C31" s="19">
        <v>6102026</v>
      </c>
      <c r="D31" s="56" t="s">
        <v>87</v>
      </c>
      <c r="E31" s="56" t="s">
        <v>86</v>
      </c>
      <c r="F31" s="51" t="s">
        <v>35</v>
      </c>
      <c r="G31" s="7"/>
    </row>
    <row r="32" spans="1:7" x14ac:dyDescent="0.25">
      <c r="A32" s="6"/>
      <c r="B32" s="49"/>
      <c r="C32" s="7"/>
      <c r="D32" s="50"/>
      <c r="E32" s="50"/>
      <c r="F32" s="49"/>
      <c r="G32" s="7"/>
    </row>
    <row r="33" spans="1:13" ht="15.75" x14ac:dyDescent="0.25">
      <c r="A33" s="6"/>
      <c r="B33" s="11" t="s">
        <v>16</v>
      </c>
    </row>
    <row r="34" spans="1:13" ht="15.75" thickBot="1" x14ac:dyDescent="0.3">
      <c r="A34" s="6"/>
      <c r="B34" s="13"/>
      <c r="C34" s="7"/>
      <c r="D34" s="7"/>
      <c r="E34" s="7"/>
      <c r="F34" s="7"/>
    </row>
    <row r="35" spans="1:13" x14ac:dyDescent="0.25">
      <c r="A35" s="14" t="s">
        <v>10</v>
      </c>
      <c r="B35" s="15" t="s">
        <v>17</v>
      </c>
      <c r="C35" s="15" t="s">
        <v>18</v>
      </c>
      <c r="D35" s="15" t="s">
        <v>13</v>
      </c>
      <c r="E35" s="15" t="s">
        <v>14</v>
      </c>
      <c r="F35" s="16" t="s">
        <v>15</v>
      </c>
    </row>
    <row r="36" spans="1:13" x14ac:dyDescent="0.25">
      <c r="A36" s="28">
        <v>1</v>
      </c>
      <c r="B36" s="19"/>
      <c r="C36" s="29"/>
      <c r="D36" s="30"/>
      <c r="E36" s="31"/>
      <c r="F36" s="31"/>
    </row>
    <row r="37" spans="1:13" ht="15.75" customHeight="1" x14ac:dyDescent="0.25">
      <c r="A37" s="28">
        <v>2</v>
      </c>
      <c r="B37" s="19"/>
      <c r="C37" s="29"/>
      <c r="D37" s="32"/>
      <c r="E37" s="32"/>
      <c r="F37" s="28"/>
      <c r="I37" s="33"/>
      <c r="J37" s="33"/>
      <c r="K37" s="33"/>
      <c r="L37" s="33"/>
      <c r="M37" s="33"/>
    </row>
    <row r="38" spans="1:13" ht="15.75" customHeight="1" x14ac:dyDescent="0.25">
      <c r="A38" s="37"/>
      <c r="B38" s="38"/>
      <c r="C38" s="39"/>
      <c r="D38"/>
      <c r="E38" s="40"/>
      <c r="F38" s="37"/>
    </row>
    <row r="39" spans="1:13" ht="15.75" x14ac:dyDescent="0.25">
      <c r="A39" s="6"/>
      <c r="B39" s="11" t="s">
        <v>19</v>
      </c>
      <c r="E39" s="7"/>
      <c r="F39" s="7"/>
    </row>
    <row r="40" spans="1:13" ht="15.75" thickBot="1" x14ac:dyDescent="0.3">
      <c r="A40" s="6"/>
      <c r="B40" s="13"/>
      <c r="C40" s="7"/>
      <c r="D40" s="7"/>
      <c r="E40" s="7"/>
      <c r="F40" s="7"/>
    </row>
    <row r="41" spans="1:13" x14ac:dyDescent="0.25">
      <c r="A41" s="14" t="s">
        <v>10</v>
      </c>
      <c r="B41" s="15" t="s">
        <v>20</v>
      </c>
      <c r="C41" s="15" t="s">
        <v>13</v>
      </c>
      <c r="D41" s="15" t="s">
        <v>21</v>
      </c>
      <c r="E41" s="15" t="s">
        <v>22</v>
      </c>
      <c r="F41" s="16" t="s">
        <v>15</v>
      </c>
    </row>
    <row r="42" spans="1:13" ht="15.75" customHeight="1" x14ac:dyDescent="0.25">
      <c r="A42" s="28">
        <v>1</v>
      </c>
      <c r="B42" s="19">
        <v>6102026</v>
      </c>
      <c r="C42" s="34" t="s">
        <v>82</v>
      </c>
      <c r="D42" s="30" t="s">
        <v>83</v>
      </c>
      <c r="E42" s="41">
        <v>3619</v>
      </c>
      <c r="F42" s="41">
        <v>40</v>
      </c>
    </row>
    <row r="43" spans="1:13" ht="15.75" customHeight="1" x14ac:dyDescent="0.25">
      <c r="A43" s="28">
        <v>2</v>
      </c>
      <c r="B43" s="19">
        <v>6102026</v>
      </c>
      <c r="C43" s="30" t="s">
        <v>84</v>
      </c>
      <c r="D43" s="31" t="s">
        <v>85</v>
      </c>
      <c r="E43" s="41">
        <v>3624</v>
      </c>
      <c r="F43" s="41">
        <v>40</v>
      </c>
    </row>
    <row r="44" spans="1:13" x14ac:dyDescent="0.25">
      <c r="F44" s="44"/>
    </row>
  </sheetData>
  <mergeCells count="2">
    <mergeCell ref="A3:H3"/>
    <mergeCell ref="B8:B31"/>
  </mergeCells>
  <dataValidations count="1">
    <dataValidation type="list" allowBlank="1" showInputMessage="1" showErrorMessage="1" sqref="F8:F32" xr:uid="{F37D934B-5D51-4F04-83AC-DE8D0264A666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0496-9B69-4504-85DD-0BDC7520975C}">
  <dimension ref="A1:M38"/>
  <sheetViews>
    <sheetView workbookViewId="0">
      <selection sqref="A1:XFD104857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COUNTIF(C8:C20,"&lt;&gt;")</f>
        <v>12</v>
      </c>
      <c r="I1" s="9" t="s">
        <v>6</v>
      </c>
    </row>
    <row r="2" spans="1:10" s="7" customFormat="1" ht="15.75" x14ac:dyDescent="0.25">
      <c r="A2" s="6"/>
      <c r="F2" s="8">
        <f>COUNTIFS(B27:B31,"&lt;&gt;",C27:C31,"VH")</f>
        <v>0</v>
      </c>
      <c r="G2" s="9" t="s">
        <v>7</v>
      </c>
      <c r="H2" s="8">
        <f>COUNTA(C27:C31)-F2</f>
        <v>0</v>
      </c>
      <c r="I2" s="9" t="s">
        <v>6</v>
      </c>
      <c r="J2" s="10">
        <f>COUNTIF(E27:E31,"VIDE")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46302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28">
        <v>1</v>
      </c>
      <c r="B8" s="66" t="s">
        <v>134</v>
      </c>
      <c r="C8" s="19">
        <v>7102026</v>
      </c>
      <c r="D8" s="28" t="s">
        <v>125</v>
      </c>
      <c r="E8" s="25" t="s">
        <v>124</v>
      </c>
      <c r="F8" s="28" t="s">
        <v>35</v>
      </c>
      <c r="G8" s="20"/>
    </row>
    <row r="9" spans="1:10" ht="15.75" x14ac:dyDescent="0.25">
      <c r="A9" s="28">
        <v>2</v>
      </c>
      <c r="B9" s="66"/>
      <c r="C9" s="19">
        <v>7102026</v>
      </c>
      <c r="D9" s="28" t="s">
        <v>123</v>
      </c>
      <c r="E9" s="25" t="s">
        <v>122</v>
      </c>
      <c r="F9" s="28" t="s">
        <v>35</v>
      </c>
      <c r="G9" s="20"/>
    </row>
    <row r="10" spans="1:10" ht="15.75" x14ac:dyDescent="0.25">
      <c r="A10" s="28">
        <v>3</v>
      </c>
      <c r="B10" s="66"/>
      <c r="C10" s="19">
        <v>7102026</v>
      </c>
      <c r="D10" s="28" t="s">
        <v>121</v>
      </c>
      <c r="E10" s="25" t="s">
        <v>120</v>
      </c>
      <c r="F10" s="28" t="s">
        <v>35</v>
      </c>
      <c r="G10" s="20"/>
    </row>
    <row r="11" spans="1:10" ht="15.75" x14ac:dyDescent="0.25">
      <c r="A11" s="28">
        <v>4</v>
      </c>
      <c r="B11" s="66"/>
      <c r="C11" s="19">
        <v>7102026</v>
      </c>
      <c r="D11" s="26" t="s">
        <v>117</v>
      </c>
      <c r="E11" s="25" t="s">
        <v>116</v>
      </c>
      <c r="F11" s="28" t="s">
        <v>35</v>
      </c>
      <c r="G11" s="20"/>
    </row>
    <row r="12" spans="1:10" ht="15.75" x14ac:dyDescent="0.25">
      <c r="A12" s="28">
        <v>5</v>
      </c>
      <c r="B12" s="66"/>
      <c r="C12" s="19">
        <v>7102026</v>
      </c>
      <c r="D12" s="28" t="s">
        <v>113</v>
      </c>
      <c r="E12" s="25" t="s">
        <v>112</v>
      </c>
      <c r="F12" s="28" t="s">
        <v>35</v>
      </c>
      <c r="G12" s="20"/>
    </row>
    <row r="13" spans="1:10" ht="15.75" x14ac:dyDescent="0.25">
      <c r="A13" s="28">
        <v>6</v>
      </c>
      <c r="B13" s="66"/>
      <c r="C13" s="19">
        <v>7102026</v>
      </c>
      <c r="D13" s="28" t="s">
        <v>109</v>
      </c>
      <c r="E13" s="28" t="s">
        <v>108</v>
      </c>
      <c r="F13" s="28" t="s">
        <v>35</v>
      </c>
      <c r="G13" s="20"/>
    </row>
    <row r="14" spans="1:10" ht="15.75" x14ac:dyDescent="0.25">
      <c r="A14" s="28">
        <v>7</v>
      </c>
      <c r="B14" s="66"/>
      <c r="C14" s="19">
        <v>7102026</v>
      </c>
      <c r="D14" s="28" t="s">
        <v>107</v>
      </c>
      <c r="E14" s="28" t="s">
        <v>106</v>
      </c>
      <c r="F14" s="28" t="s">
        <v>35</v>
      </c>
      <c r="G14" s="20"/>
    </row>
    <row r="15" spans="1:10" ht="15.75" x14ac:dyDescent="0.25">
      <c r="A15" s="28">
        <v>8</v>
      </c>
      <c r="B15" s="66"/>
      <c r="C15" s="19">
        <v>7102026</v>
      </c>
      <c r="D15" s="28" t="s">
        <v>105</v>
      </c>
      <c r="E15" s="28" t="s">
        <v>104</v>
      </c>
      <c r="F15" s="28" t="s">
        <v>35</v>
      </c>
      <c r="G15" s="20"/>
    </row>
    <row r="16" spans="1:10" ht="15.75" x14ac:dyDescent="0.25">
      <c r="A16" s="28">
        <v>9</v>
      </c>
      <c r="B16" s="66"/>
      <c r="C16" s="19">
        <v>7102026</v>
      </c>
      <c r="D16" s="26" t="s">
        <v>103</v>
      </c>
      <c r="E16" s="26" t="s">
        <v>102</v>
      </c>
      <c r="F16" s="28" t="s">
        <v>35</v>
      </c>
      <c r="G16" s="20"/>
    </row>
    <row r="17" spans="1:13" ht="15.75" x14ac:dyDescent="0.25">
      <c r="A17" s="28">
        <v>10</v>
      </c>
      <c r="B17" s="66"/>
      <c r="C17" s="19">
        <v>7102026</v>
      </c>
      <c r="D17" s="26" t="s">
        <v>93</v>
      </c>
      <c r="E17" s="26" t="s">
        <v>92</v>
      </c>
      <c r="F17" s="28" t="s">
        <v>35</v>
      </c>
      <c r="G17" s="20"/>
    </row>
    <row r="18" spans="1:13" ht="15.75" x14ac:dyDescent="0.25">
      <c r="A18" s="28">
        <v>11</v>
      </c>
      <c r="B18" s="66" t="s">
        <v>137</v>
      </c>
      <c r="C18" s="19">
        <v>7102026</v>
      </c>
      <c r="D18" s="26" t="s">
        <v>138</v>
      </c>
      <c r="E18" s="26" t="s">
        <v>135</v>
      </c>
      <c r="F18" s="24" t="s">
        <v>38</v>
      </c>
      <c r="G18" s="20"/>
    </row>
    <row r="19" spans="1:13" ht="15.75" x14ac:dyDescent="0.25">
      <c r="A19" s="28">
        <v>12</v>
      </c>
      <c r="B19" s="66"/>
      <c r="C19" s="19">
        <v>7102026</v>
      </c>
      <c r="D19" s="24" t="s">
        <v>139</v>
      </c>
      <c r="E19" s="24" t="s">
        <v>136</v>
      </c>
      <c r="F19" s="24" t="s">
        <v>38</v>
      </c>
      <c r="G19" s="20"/>
    </row>
    <row r="20" spans="1:13" ht="15.75" x14ac:dyDescent="0.25">
      <c r="A20" s="28">
        <v>13</v>
      </c>
      <c r="B20" s="28"/>
      <c r="C20" s="19"/>
      <c r="D20" s="26"/>
      <c r="E20" s="26"/>
      <c r="F20" s="28"/>
      <c r="G20" s="20"/>
    </row>
    <row r="21" spans="1:13" ht="15.75" x14ac:dyDescent="0.25">
      <c r="A21" s="6"/>
      <c r="B21" s="49"/>
      <c r="C21" s="38"/>
      <c r="D21" s="50"/>
      <c r="E21" s="50"/>
      <c r="F21" s="49"/>
      <c r="G21" s="20"/>
    </row>
    <row r="22" spans="1:13" ht="15.75" x14ac:dyDescent="0.25">
      <c r="A22" s="6"/>
      <c r="B22" s="49"/>
      <c r="C22" s="38"/>
      <c r="D22" s="50"/>
      <c r="E22" s="50"/>
      <c r="F22" s="49"/>
      <c r="G22" s="20"/>
    </row>
    <row r="23" spans="1:13" x14ac:dyDescent="0.25">
      <c r="A23" s="6"/>
      <c r="B23" s="49"/>
      <c r="C23" s="7"/>
      <c r="D23" s="50"/>
      <c r="E23" s="50"/>
      <c r="F23" s="49"/>
      <c r="G23" s="7"/>
    </row>
    <row r="24" spans="1:13" ht="15.75" x14ac:dyDescent="0.25">
      <c r="A24" s="6"/>
      <c r="B24" s="11" t="s">
        <v>16</v>
      </c>
    </row>
    <row r="25" spans="1:13" ht="15.75" thickBot="1" x14ac:dyDescent="0.3">
      <c r="A25" s="6"/>
      <c r="B25" s="13"/>
      <c r="C25" s="7"/>
      <c r="D25" s="7"/>
      <c r="E25" s="7"/>
      <c r="F25" s="7"/>
    </row>
    <row r="26" spans="1:13" x14ac:dyDescent="0.25">
      <c r="A26" s="14" t="s">
        <v>10</v>
      </c>
      <c r="B26" s="15" t="s">
        <v>17</v>
      </c>
      <c r="C26" s="15" t="s">
        <v>18</v>
      </c>
      <c r="D26" s="15" t="s">
        <v>13</v>
      </c>
      <c r="E26" s="15" t="s">
        <v>14</v>
      </c>
      <c r="F26" s="16" t="s">
        <v>15</v>
      </c>
    </row>
    <row r="27" spans="1:13" x14ac:dyDescent="0.25">
      <c r="A27" s="28">
        <v>1</v>
      </c>
      <c r="B27" s="19"/>
      <c r="C27" s="29"/>
      <c r="D27" s="30"/>
      <c r="E27" s="31"/>
      <c r="F27" s="31"/>
    </row>
    <row r="28" spans="1:13" ht="15.75" customHeight="1" x14ac:dyDescent="0.25">
      <c r="A28" s="28">
        <v>2</v>
      </c>
      <c r="B28" s="19"/>
      <c r="C28" s="29"/>
      <c r="D28" s="32"/>
      <c r="E28" s="32"/>
      <c r="F28" s="28"/>
      <c r="I28" s="33"/>
      <c r="J28" s="33"/>
      <c r="K28" s="33"/>
      <c r="L28" s="33"/>
      <c r="M28" s="33"/>
    </row>
    <row r="29" spans="1:13" ht="15.75" customHeight="1" x14ac:dyDescent="0.25">
      <c r="A29" s="28">
        <v>3</v>
      </c>
      <c r="B29" s="19"/>
      <c r="C29" s="29"/>
      <c r="D29" s="32"/>
      <c r="E29" s="32"/>
      <c r="F29" s="29"/>
      <c r="I29" s="33"/>
      <c r="J29" s="33"/>
      <c r="K29" s="33"/>
      <c r="L29" s="33"/>
      <c r="M29" s="33"/>
    </row>
    <row r="30" spans="1:13" ht="15.75" customHeight="1" x14ac:dyDescent="0.25">
      <c r="A30" s="28">
        <v>4</v>
      </c>
      <c r="B30" s="19"/>
      <c r="C30" s="29"/>
      <c r="D30" s="32"/>
      <c r="E30" s="32"/>
      <c r="F30" s="29"/>
      <c r="I30" s="33"/>
      <c r="J30" s="33"/>
      <c r="K30" s="33"/>
      <c r="L30" s="33"/>
      <c r="M30" s="33"/>
    </row>
    <row r="31" spans="1:13" ht="15.75" customHeight="1" x14ac:dyDescent="0.25">
      <c r="A31" s="28">
        <v>5</v>
      </c>
      <c r="B31" s="19"/>
      <c r="C31" s="29"/>
      <c r="D31" s="32"/>
      <c r="E31" s="32"/>
      <c r="F31" s="29"/>
      <c r="I31" s="33"/>
      <c r="J31" s="33"/>
      <c r="K31" s="33"/>
      <c r="L31" s="33"/>
      <c r="M31" s="33"/>
    </row>
    <row r="32" spans="1:13" ht="15.75" customHeight="1" x14ac:dyDescent="0.25">
      <c r="A32" s="37"/>
      <c r="B32" s="38"/>
      <c r="C32" s="39"/>
      <c r="D32"/>
      <c r="E32" s="40"/>
      <c r="F32" s="37"/>
    </row>
    <row r="33" spans="1:6" ht="15.75" x14ac:dyDescent="0.25">
      <c r="A33" s="6"/>
      <c r="B33" s="11" t="s">
        <v>19</v>
      </c>
      <c r="E33" s="7"/>
      <c r="F33" s="7"/>
    </row>
    <row r="34" spans="1:6" ht="15.75" thickBot="1" x14ac:dyDescent="0.3">
      <c r="A34" s="6"/>
      <c r="B34" s="13"/>
      <c r="C34" s="7"/>
      <c r="D34" s="7"/>
      <c r="E34" s="7"/>
      <c r="F34" s="7"/>
    </row>
    <row r="35" spans="1:6" x14ac:dyDescent="0.25">
      <c r="A35" s="14" t="s">
        <v>10</v>
      </c>
      <c r="B35" s="15" t="s">
        <v>20</v>
      </c>
      <c r="C35" s="15" t="s">
        <v>13</v>
      </c>
      <c r="D35" s="15" t="s">
        <v>21</v>
      </c>
      <c r="E35" s="15" t="s">
        <v>22</v>
      </c>
      <c r="F35" s="16" t="s">
        <v>15</v>
      </c>
    </row>
    <row r="36" spans="1:6" ht="15.75" customHeight="1" x14ac:dyDescent="0.25">
      <c r="A36" s="28">
        <v>1</v>
      </c>
      <c r="B36" s="19">
        <v>7102026</v>
      </c>
      <c r="C36" s="34" t="s">
        <v>140</v>
      </c>
      <c r="D36" s="30" t="s">
        <v>141</v>
      </c>
      <c r="E36" s="31">
        <v>3625</v>
      </c>
      <c r="F36" s="41">
        <v>40</v>
      </c>
    </row>
    <row r="37" spans="1:6" ht="15.75" customHeight="1" x14ac:dyDescent="0.25">
      <c r="A37" s="28">
        <v>2</v>
      </c>
      <c r="B37" s="19">
        <v>7102026</v>
      </c>
      <c r="C37" s="34" t="s">
        <v>142</v>
      </c>
      <c r="D37" s="30" t="s">
        <v>143</v>
      </c>
      <c r="E37" s="31">
        <v>3626</v>
      </c>
      <c r="F37" s="41">
        <v>40</v>
      </c>
    </row>
    <row r="38" spans="1:6" x14ac:dyDescent="0.25">
      <c r="F38" s="44"/>
    </row>
  </sheetData>
  <mergeCells count="3">
    <mergeCell ref="A3:H3"/>
    <mergeCell ref="B8:B17"/>
    <mergeCell ref="B18:B19"/>
  </mergeCells>
  <dataValidations count="1">
    <dataValidation type="list" allowBlank="1" showInputMessage="1" showErrorMessage="1" sqref="F8:F23" xr:uid="{0C7EFAEC-AA73-4A53-AC68-E55C58105268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6BBB-470D-48FB-B1B2-4DB920CC2013}">
  <dimension ref="A1:M40"/>
  <sheetViews>
    <sheetView workbookViewId="0">
      <selection sqref="A1:XFD104857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COUNTIF(C8:C19,"&lt;&gt;")</f>
        <v>0</v>
      </c>
      <c r="I1" s="9" t="s">
        <v>6</v>
      </c>
    </row>
    <row r="2" spans="1:10" s="7" customFormat="1" ht="15.75" x14ac:dyDescent="0.25">
      <c r="A2" s="6"/>
      <c r="F2" s="8">
        <f>COUNTIFS(B26:B30,"&lt;&gt;",C26:C30,"VH")</f>
        <v>0</v>
      </c>
      <c r="G2" s="9" t="s">
        <v>7</v>
      </c>
      <c r="H2" s="8">
        <f>COUNTA(C26:C30)-F2</f>
        <v>2</v>
      </c>
      <c r="I2" s="9" t="s">
        <v>6</v>
      </c>
      <c r="J2" s="10">
        <f>COUNTIF(E26:E30,"VIDE")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46303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28">
        <v>1</v>
      </c>
      <c r="B8" s="58"/>
      <c r="C8" s="19"/>
      <c r="D8" s="28"/>
      <c r="E8" s="25"/>
      <c r="F8" s="28"/>
      <c r="G8" s="20"/>
    </row>
    <row r="9" spans="1:10" ht="15.75" x14ac:dyDescent="0.25">
      <c r="A9" s="28">
        <v>2</v>
      </c>
      <c r="B9" s="58"/>
      <c r="C9" s="19"/>
      <c r="D9" s="28"/>
      <c r="E9" s="25"/>
      <c r="F9" s="28"/>
      <c r="G9" s="20"/>
    </row>
    <row r="10" spans="1:10" ht="15.75" x14ac:dyDescent="0.25">
      <c r="A10" s="28">
        <v>3</v>
      </c>
      <c r="B10" s="58"/>
      <c r="C10" s="19"/>
      <c r="D10" s="28"/>
      <c r="E10" s="25"/>
      <c r="F10" s="28"/>
      <c r="G10" s="20"/>
    </row>
    <row r="11" spans="1:10" ht="15.75" x14ac:dyDescent="0.25">
      <c r="A11" s="28">
        <v>4</v>
      </c>
      <c r="B11" s="58"/>
      <c r="C11" s="19"/>
      <c r="D11" s="26"/>
      <c r="E11" s="25"/>
      <c r="F11" s="28"/>
      <c r="G11" s="20"/>
    </row>
    <row r="12" spans="1:10" ht="15.75" x14ac:dyDescent="0.25">
      <c r="A12" s="28">
        <v>5</v>
      </c>
      <c r="B12" s="58"/>
      <c r="C12" s="19"/>
      <c r="D12" s="28"/>
      <c r="E12" s="25"/>
      <c r="F12" s="28"/>
      <c r="G12" s="20"/>
    </row>
    <row r="13" spans="1:10" ht="15.75" x14ac:dyDescent="0.25">
      <c r="A13" s="28">
        <v>6</v>
      </c>
      <c r="B13" s="58"/>
      <c r="C13" s="19"/>
      <c r="D13" s="28"/>
      <c r="E13" s="28"/>
      <c r="F13" s="28"/>
      <c r="G13" s="20"/>
    </row>
    <row r="14" spans="1:10" ht="15.75" x14ac:dyDescent="0.25">
      <c r="A14" s="28">
        <v>7</v>
      </c>
      <c r="B14" s="58"/>
      <c r="C14" s="19"/>
      <c r="D14" s="28"/>
      <c r="E14" s="28"/>
      <c r="F14" s="28"/>
      <c r="G14" s="20"/>
    </row>
    <row r="15" spans="1:10" ht="15.75" x14ac:dyDescent="0.25">
      <c r="A15" s="28">
        <v>8</v>
      </c>
      <c r="B15" s="58"/>
      <c r="C15" s="19"/>
      <c r="D15" s="28"/>
      <c r="E15" s="28"/>
      <c r="F15" s="28"/>
      <c r="G15" s="20"/>
    </row>
    <row r="16" spans="1:10" ht="15.75" x14ac:dyDescent="0.25">
      <c r="A16" s="28">
        <v>9</v>
      </c>
      <c r="B16" s="58"/>
      <c r="C16" s="19"/>
      <c r="D16" s="26"/>
      <c r="E16" s="26"/>
      <c r="F16" s="28"/>
      <c r="G16" s="20"/>
    </row>
    <row r="17" spans="1:13" ht="15.75" x14ac:dyDescent="0.25">
      <c r="A17" s="28">
        <v>11</v>
      </c>
      <c r="B17" s="58"/>
      <c r="C17" s="19"/>
      <c r="D17" s="26"/>
      <c r="E17" s="26"/>
      <c r="F17" s="24"/>
      <c r="G17" s="20"/>
    </row>
    <row r="18" spans="1:13" ht="15.75" x14ac:dyDescent="0.25">
      <c r="A18" s="28">
        <v>12</v>
      </c>
      <c r="B18" s="58"/>
      <c r="C18" s="19"/>
      <c r="D18" s="24"/>
      <c r="E18" s="24"/>
      <c r="F18" s="24"/>
      <c r="G18" s="20"/>
    </row>
    <row r="19" spans="1:13" ht="15.75" x14ac:dyDescent="0.25">
      <c r="A19" s="28">
        <v>13</v>
      </c>
      <c r="B19" s="28"/>
      <c r="C19" s="19"/>
      <c r="D19" s="26"/>
      <c r="E19" s="26"/>
      <c r="F19" s="28"/>
      <c r="G19" s="20"/>
    </row>
    <row r="20" spans="1:13" ht="15.75" x14ac:dyDescent="0.25">
      <c r="A20" s="6"/>
      <c r="B20" s="49"/>
      <c r="C20" s="38"/>
      <c r="D20" s="50"/>
      <c r="E20" s="50"/>
      <c r="F20" s="49"/>
      <c r="G20" s="20"/>
    </row>
    <row r="21" spans="1:13" ht="15.75" x14ac:dyDescent="0.25">
      <c r="A21" s="6"/>
      <c r="B21" s="49"/>
      <c r="C21" s="38"/>
      <c r="D21" s="50"/>
      <c r="E21" s="50"/>
      <c r="F21" s="49"/>
      <c r="G21" s="20"/>
    </row>
    <row r="22" spans="1:13" x14ac:dyDescent="0.25">
      <c r="A22" s="6"/>
      <c r="B22" s="49"/>
      <c r="C22" s="7"/>
      <c r="D22" s="50"/>
      <c r="E22" s="50"/>
      <c r="F22" s="49"/>
      <c r="G22" s="7"/>
    </row>
    <row r="23" spans="1:13" ht="15.75" x14ac:dyDescent="0.25">
      <c r="A23" s="6"/>
      <c r="B23" s="11" t="s">
        <v>16</v>
      </c>
    </row>
    <row r="24" spans="1:13" ht="15.75" thickBot="1" x14ac:dyDescent="0.3">
      <c r="A24" s="6"/>
      <c r="B24" s="13"/>
      <c r="C24" s="7"/>
      <c r="D24" s="7"/>
      <c r="E24" s="7"/>
      <c r="F24" s="7"/>
    </row>
    <row r="25" spans="1:13" x14ac:dyDescent="0.25">
      <c r="A25" s="14" t="s">
        <v>10</v>
      </c>
      <c r="B25" s="15" t="s">
        <v>17</v>
      </c>
      <c r="C25" s="15" t="s">
        <v>18</v>
      </c>
      <c r="D25" s="15" t="s">
        <v>13</v>
      </c>
      <c r="E25" s="15" t="s">
        <v>14</v>
      </c>
      <c r="F25" s="16" t="s">
        <v>15</v>
      </c>
    </row>
    <row r="26" spans="1:13" x14ac:dyDescent="0.25">
      <c r="A26" s="28">
        <v>1</v>
      </c>
      <c r="B26" s="19">
        <v>8102026</v>
      </c>
      <c r="C26" s="29" t="s">
        <v>150</v>
      </c>
      <c r="D26" s="61" t="s">
        <v>82</v>
      </c>
      <c r="E26" s="31">
        <v>3619</v>
      </c>
      <c r="F26" s="31">
        <v>40</v>
      </c>
    </row>
    <row r="27" spans="1:13" ht="15.75" customHeight="1" x14ac:dyDescent="0.25">
      <c r="A27" s="28">
        <v>2</v>
      </c>
      <c r="B27" s="19">
        <v>8102026</v>
      </c>
      <c r="C27" s="29" t="s">
        <v>151</v>
      </c>
      <c r="D27" s="61" t="s">
        <v>140</v>
      </c>
      <c r="E27" s="32">
        <v>3625</v>
      </c>
      <c r="F27" s="28">
        <v>40</v>
      </c>
      <c r="I27" s="33"/>
      <c r="J27" s="33"/>
      <c r="K27" s="33"/>
      <c r="L27" s="33"/>
      <c r="M27" s="33"/>
    </row>
    <row r="28" spans="1:13" ht="15.75" customHeight="1" x14ac:dyDescent="0.25">
      <c r="A28" s="28">
        <v>3</v>
      </c>
      <c r="B28" s="19"/>
      <c r="C28" s="29"/>
      <c r="D28" s="32"/>
      <c r="E28" s="32"/>
      <c r="F28" s="29"/>
      <c r="I28" s="33"/>
      <c r="J28" s="33"/>
      <c r="K28" s="33"/>
      <c r="L28" s="33"/>
      <c r="M28" s="33"/>
    </row>
    <row r="29" spans="1:13" ht="15.75" customHeight="1" x14ac:dyDescent="0.25">
      <c r="A29" s="28">
        <v>4</v>
      </c>
      <c r="B29" s="19"/>
      <c r="C29" s="29"/>
      <c r="D29" s="32"/>
      <c r="E29" s="32"/>
      <c r="F29" s="29"/>
      <c r="I29" s="33"/>
      <c r="J29" s="33"/>
      <c r="K29" s="33"/>
      <c r="L29" s="33"/>
      <c r="M29" s="33"/>
    </row>
    <row r="30" spans="1:13" ht="15.75" customHeight="1" x14ac:dyDescent="0.25">
      <c r="A30" s="28">
        <v>5</v>
      </c>
      <c r="B30" s="19"/>
      <c r="C30" s="29"/>
      <c r="D30" s="32"/>
      <c r="E30" s="32"/>
      <c r="F30" s="29"/>
      <c r="I30" s="33"/>
      <c r="J30" s="33"/>
      <c r="K30" s="33"/>
      <c r="L30" s="33"/>
      <c r="M30" s="33"/>
    </row>
    <row r="31" spans="1:13" ht="15.75" customHeight="1" x14ac:dyDescent="0.25">
      <c r="A31" s="37"/>
      <c r="B31" s="38"/>
      <c r="C31" s="39"/>
      <c r="D31"/>
      <c r="E31" s="40"/>
      <c r="F31" s="37"/>
    </row>
    <row r="32" spans="1:13" ht="15.75" x14ac:dyDescent="0.25">
      <c r="A32" s="6"/>
      <c r="B32" s="11" t="s">
        <v>19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20</v>
      </c>
      <c r="C34" s="15" t="s">
        <v>13</v>
      </c>
      <c r="D34" s="15" t="s">
        <v>21</v>
      </c>
      <c r="E34" s="15" t="s">
        <v>22</v>
      </c>
      <c r="F34" s="16" t="s">
        <v>15</v>
      </c>
    </row>
    <row r="35" spans="1:6" ht="15.75" customHeight="1" x14ac:dyDescent="0.25">
      <c r="A35" s="28">
        <v>1</v>
      </c>
      <c r="B35" s="19">
        <v>8102026</v>
      </c>
      <c r="C35" s="24" t="s">
        <v>144</v>
      </c>
      <c r="D35" s="25" t="s">
        <v>145</v>
      </c>
      <c r="E35" s="31">
        <v>0</v>
      </c>
      <c r="F35" s="41">
        <v>40</v>
      </c>
    </row>
    <row r="36" spans="1:6" ht="15.75" customHeight="1" x14ac:dyDescent="0.25">
      <c r="A36" s="28">
        <v>2</v>
      </c>
      <c r="B36" s="19">
        <v>8102026</v>
      </c>
      <c r="C36" s="24" t="s">
        <v>146</v>
      </c>
      <c r="D36" s="25" t="s">
        <v>147</v>
      </c>
      <c r="E36" s="31">
        <v>3628</v>
      </c>
      <c r="F36" s="41">
        <v>40</v>
      </c>
    </row>
    <row r="37" spans="1:6" ht="15.75" customHeight="1" x14ac:dyDescent="0.25">
      <c r="A37" s="28">
        <v>3</v>
      </c>
      <c r="B37" s="19">
        <v>8102026</v>
      </c>
      <c r="C37" s="24" t="s">
        <v>148</v>
      </c>
      <c r="D37" s="25" t="s">
        <v>149</v>
      </c>
      <c r="E37" s="31">
        <v>3627</v>
      </c>
      <c r="F37" s="41">
        <v>40</v>
      </c>
    </row>
    <row r="38" spans="1:6" x14ac:dyDescent="0.25">
      <c r="A38" s="28">
        <v>4</v>
      </c>
      <c r="B38" s="59"/>
      <c r="C38" s="59"/>
      <c r="D38" s="59"/>
      <c r="E38" s="59"/>
      <c r="F38" s="60"/>
    </row>
    <row r="39" spans="1:6" x14ac:dyDescent="0.25">
      <c r="A39" s="28">
        <v>5</v>
      </c>
      <c r="B39" s="59"/>
      <c r="C39" s="59"/>
      <c r="D39" s="59"/>
      <c r="E39" s="59"/>
      <c r="F39" s="59"/>
    </row>
    <row r="40" spans="1:6" x14ac:dyDescent="0.25">
      <c r="A40" s="28">
        <v>6</v>
      </c>
      <c r="B40" s="59"/>
      <c r="C40" s="59"/>
      <c r="D40" s="59"/>
      <c r="E40" s="59"/>
      <c r="F40" s="59"/>
    </row>
  </sheetData>
  <mergeCells count="1">
    <mergeCell ref="A3:H3"/>
  </mergeCells>
  <dataValidations count="1">
    <dataValidation type="list" allowBlank="1" showInputMessage="1" showErrorMessage="1" sqref="F8:F22" xr:uid="{F2DFE3B4-6C0D-4702-A341-D78DBAF09A0B}">
      <formula1>"20,40,45,50"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277F-0531-4D8C-A730-2360DF7F6B9D}">
  <dimension ref="A1:M43"/>
  <sheetViews>
    <sheetView tabSelected="1" topLeftCell="A15" workbookViewId="0">
      <selection activeCell="J18" sqref="J1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COUNTIF(C8:C23,"&lt;&gt;")</f>
        <v>16</v>
      </c>
      <c r="I1" s="9" t="s">
        <v>6</v>
      </c>
    </row>
    <row r="2" spans="1:10" s="7" customFormat="1" ht="15.75" x14ac:dyDescent="0.25">
      <c r="A2" s="6"/>
      <c r="F2" s="8">
        <f>COUNTIFS(B29:B33,"&lt;&gt;",C29:C33,"VH")</f>
        <v>0</v>
      </c>
      <c r="G2" s="9" t="s">
        <v>7</v>
      </c>
      <c r="H2" s="8">
        <f>COUNTA(C29:C33)-F2</f>
        <v>2</v>
      </c>
      <c r="I2" s="9" t="s">
        <v>6</v>
      </c>
      <c r="J2" s="10">
        <f>COUNTIF(E29:E33,"VIDE")</f>
        <v>0</v>
      </c>
    </row>
    <row r="3" spans="1:10" s="7" customFormat="1" ht="25.5" x14ac:dyDescent="0.25">
      <c r="A3" s="62" t="s">
        <v>8</v>
      </c>
      <c r="B3" s="62"/>
      <c r="C3" s="62"/>
      <c r="D3" s="62"/>
      <c r="E3" s="62"/>
      <c r="F3" s="62"/>
      <c r="G3" s="62"/>
      <c r="H3" s="62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46306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28">
        <v>1</v>
      </c>
      <c r="B8" s="28" t="s">
        <v>185</v>
      </c>
      <c r="C8" s="19">
        <v>11102026</v>
      </c>
      <c r="D8" s="26" t="s">
        <v>153</v>
      </c>
      <c r="E8" s="26" t="s">
        <v>154</v>
      </c>
      <c r="F8" s="24" t="s">
        <v>35</v>
      </c>
      <c r="G8" s="20"/>
    </row>
    <row r="9" spans="1:10" ht="15.75" x14ac:dyDescent="0.25">
      <c r="A9" s="28">
        <v>2</v>
      </c>
      <c r="B9" s="46" t="s">
        <v>186</v>
      </c>
      <c r="C9" s="19">
        <v>11102026</v>
      </c>
      <c r="D9" s="24" t="s">
        <v>155</v>
      </c>
      <c r="E9" s="24" t="s">
        <v>156</v>
      </c>
      <c r="F9" s="24" t="s">
        <v>38</v>
      </c>
      <c r="G9" s="20"/>
    </row>
    <row r="10" spans="1:10" ht="15.75" x14ac:dyDescent="0.25">
      <c r="A10" s="28">
        <v>3</v>
      </c>
      <c r="B10" s="67" t="s">
        <v>187</v>
      </c>
      <c r="C10" s="19">
        <v>11102026</v>
      </c>
      <c r="D10" s="24" t="s">
        <v>157</v>
      </c>
      <c r="E10" s="24" t="s">
        <v>158</v>
      </c>
      <c r="F10" s="24" t="s">
        <v>38</v>
      </c>
      <c r="G10" s="20"/>
    </row>
    <row r="11" spans="1:10" ht="15.75" x14ac:dyDescent="0.25">
      <c r="A11" s="28">
        <v>4</v>
      </c>
      <c r="B11" s="68"/>
      <c r="C11" s="19">
        <v>11102026</v>
      </c>
      <c r="D11" s="24" t="s">
        <v>159</v>
      </c>
      <c r="E11" s="24" t="s">
        <v>160</v>
      </c>
      <c r="F11" s="24" t="s">
        <v>38</v>
      </c>
      <c r="G11" s="20"/>
    </row>
    <row r="12" spans="1:10" ht="15.75" x14ac:dyDescent="0.25">
      <c r="A12" s="28">
        <v>5</v>
      </c>
      <c r="B12" s="68"/>
      <c r="C12" s="19">
        <v>11102026</v>
      </c>
      <c r="D12" s="24" t="s">
        <v>161</v>
      </c>
      <c r="E12" s="25" t="s">
        <v>162</v>
      </c>
      <c r="F12" s="24" t="s">
        <v>38</v>
      </c>
      <c r="G12" s="20"/>
    </row>
    <row r="13" spans="1:10" ht="15.75" x14ac:dyDescent="0.25">
      <c r="A13" s="28">
        <v>6</v>
      </c>
      <c r="B13" s="68"/>
      <c r="C13" s="19">
        <v>11102026</v>
      </c>
      <c r="D13" s="24" t="s">
        <v>163</v>
      </c>
      <c r="E13" s="25" t="s">
        <v>164</v>
      </c>
      <c r="F13" s="24" t="s">
        <v>38</v>
      </c>
      <c r="G13" s="20"/>
    </row>
    <row r="14" spans="1:10" ht="15.75" x14ac:dyDescent="0.25">
      <c r="A14" s="28">
        <v>7</v>
      </c>
      <c r="B14" s="68"/>
      <c r="C14" s="19">
        <v>11102026</v>
      </c>
      <c r="D14" s="24" t="s">
        <v>165</v>
      </c>
      <c r="E14" s="25" t="s">
        <v>166</v>
      </c>
      <c r="F14" s="24" t="s">
        <v>38</v>
      </c>
      <c r="G14" s="20"/>
    </row>
    <row r="15" spans="1:10" ht="15.75" x14ac:dyDescent="0.25">
      <c r="A15" s="28">
        <v>8</v>
      </c>
      <c r="B15" s="69"/>
      <c r="C15" s="19">
        <v>11102026</v>
      </c>
      <c r="D15" s="26" t="s">
        <v>167</v>
      </c>
      <c r="E15" s="25" t="s">
        <v>168</v>
      </c>
      <c r="F15" s="24" t="s">
        <v>38</v>
      </c>
      <c r="G15" s="20"/>
    </row>
    <row r="16" spans="1:10" ht="15.75" x14ac:dyDescent="0.25">
      <c r="A16" s="28">
        <v>9</v>
      </c>
      <c r="B16" s="67" t="s">
        <v>188</v>
      </c>
      <c r="C16" s="19">
        <v>11102026</v>
      </c>
      <c r="D16" s="26" t="s">
        <v>169</v>
      </c>
      <c r="E16" s="25" t="s">
        <v>170</v>
      </c>
      <c r="F16" s="24" t="s">
        <v>38</v>
      </c>
      <c r="G16" s="20"/>
    </row>
    <row r="17" spans="1:13" ht="15.75" x14ac:dyDescent="0.25">
      <c r="A17" s="28">
        <v>10</v>
      </c>
      <c r="B17" s="68"/>
      <c r="C17" s="19">
        <v>11102026</v>
      </c>
      <c r="D17" s="26" t="s">
        <v>171</v>
      </c>
      <c r="E17" s="25" t="s">
        <v>172</v>
      </c>
      <c r="F17" s="24" t="s">
        <v>38</v>
      </c>
      <c r="G17" s="20"/>
    </row>
    <row r="18" spans="1:13" ht="15.75" x14ac:dyDescent="0.25">
      <c r="A18" s="28">
        <v>11</v>
      </c>
      <c r="B18" s="68"/>
      <c r="C18" s="19">
        <v>11102026</v>
      </c>
      <c r="D18" s="24" t="s">
        <v>173</v>
      </c>
      <c r="E18" s="25" t="s">
        <v>174</v>
      </c>
      <c r="F18" s="24" t="s">
        <v>38</v>
      </c>
      <c r="G18" s="20"/>
    </row>
    <row r="19" spans="1:13" ht="15.75" x14ac:dyDescent="0.25">
      <c r="A19" s="28">
        <v>12</v>
      </c>
      <c r="B19" s="68"/>
      <c r="C19" s="19">
        <v>11102026</v>
      </c>
      <c r="D19" s="24" t="s">
        <v>175</v>
      </c>
      <c r="E19" s="24" t="s">
        <v>176</v>
      </c>
      <c r="F19" s="24" t="s">
        <v>38</v>
      </c>
      <c r="G19" s="20"/>
    </row>
    <row r="20" spans="1:13" ht="15.75" x14ac:dyDescent="0.25">
      <c r="A20" s="28">
        <v>13</v>
      </c>
      <c r="B20" s="68"/>
      <c r="C20" s="19">
        <v>11102026</v>
      </c>
      <c r="D20" s="24" t="s">
        <v>177</v>
      </c>
      <c r="E20" s="24" t="s">
        <v>178</v>
      </c>
      <c r="F20" s="24" t="s">
        <v>38</v>
      </c>
      <c r="G20" s="20"/>
    </row>
    <row r="21" spans="1:13" ht="15.75" x14ac:dyDescent="0.25">
      <c r="A21" s="28">
        <v>14</v>
      </c>
      <c r="B21" s="69"/>
      <c r="C21" s="19">
        <v>11102026</v>
      </c>
      <c r="D21" s="24" t="s">
        <v>179</v>
      </c>
      <c r="E21" s="24" t="s">
        <v>180</v>
      </c>
      <c r="F21" s="24" t="s">
        <v>38</v>
      </c>
      <c r="G21" s="20"/>
    </row>
    <row r="22" spans="1:13" ht="15.75" x14ac:dyDescent="0.25">
      <c r="A22" s="28">
        <v>15</v>
      </c>
      <c r="B22" s="46" t="s">
        <v>189</v>
      </c>
      <c r="C22" s="19">
        <v>11102026</v>
      </c>
      <c r="D22" s="24" t="s">
        <v>181</v>
      </c>
      <c r="E22" s="24" t="s">
        <v>182</v>
      </c>
      <c r="F22" s="24" t="s">
        <v>38</v>
      </c>
      <c r="G22" s="20"/>
    </row>
    <row r="23" spans="1:13" ht="15.75" x14ac:dyDescent="0.25">
      <c r="A23" s="28">
        <v>16</v>
      </c>
      <c r="B23" s="46" t="s">
        <v>190</v>
      </c>
      <c r="C23" s="19">
        <v>11102026</v>
      </c>
      <c r="D23" s="26" t="s">
        <v>183</v>
      </c>
      <c r="E23" s="26" t="s">
        <v>184</v>
      </c>
      <c r="F23" s="24" t="s">
        <v>35</v>
      </c>
      <c r="G23" s="20"/>
    </row>
    <row r="24" spans="1:13" ht="15.75" x14ac:dyDescent="0.25">
      <c r="A24" s="37"/>
      <c r="B24" s="37"/>
      <c r="C24" s="38"/>
      <c r="D24" s="70"/>
      <c r="E24" s="70"/>
      <c r="F24" s="37"/>
      <c r="G24" s="20"/>
    </row>
    <row r="25" spans="1:13" x14ac:dyDescent="0.25">
      <c r="A25" s="6"/>
      <c r="B25" s="49"/>
      <c r="C25" s="7"/>
      <c r="D25" s="50"/>
      <c r="E25" s="50"/>
      <c r="F25" s="49"/>
      <c r="G25" s="7"/>
    </row>
    <row r="26" spans="1:13" ht="15.75" x14ac:dyDescent="0.25">
      <c r="A26" s="6"/>
      <c r="B26" s="11" t="s">
        <v>16</v>
      </c>
    </row>
    <row r="27" spans="1:13" ht="15.75" thickBot="1" x14ac:dyDescent="0.3">
      <c r="A27" s="6"/>
      <c r="B27" s="13"/>
      <c r="C27" s="7"/>
      <c r="D27" s="7"/>
      <c r="E27" s="7"/>
      <c r="F27" s="7"/>
    </row>
    <row r="28" spans="1:13" x14ac:dyDescent="0.25">
      <c r="A28" s="14" t="s">
        <v>10</v>
      </c>
      <c r="B28" s="15" t="s">
        <v>17</v>
      </c>
      <c r="C28" s="15" t="s">
        <v>18</v>
      </c>
      <c r="D28" s="15" t="s">
        <v>13</v>
      </c>
      <c r="E28" s="15" t="s">
        <v>14</v>
      </c>
      <c r="F28" s="16" t="s">
        <v>15</v>
      </c>
    </row>
    <row r="29" spans="1:13" x14ac:dyDescent="0.25">
      <c r="A29" s="28">
        <v>1</v>
      </c>
      <c r="B29" s="19">
        <v>11102026</v>
      </c>
      <c r="C29" s="29" t="s">
        <v>152</v>
      </c>
      <c r="D29" s="61" t="s">
        <v>142</v>
      </c>
      <c r="E29" s="31">
        <v>3626</v>
      </c>
      <c r="F29" s="31">
        <v>40</v>
      </c>
    </row>
    <row r="30" spans="1:13" ht="15.75" customHeight="1" x14ac:dyDescent="0.25">
      <c r="A30" s="28">
        <v>2</v>
      </c>
      <c r="B30" s="19">
        <v>11102026</v>
      </c>
      <c r="C30" s="29" t="s">
        <v>201</v>
      </c>
      <c r="D30" s="61" t="s">
        <v>200</v>
      </c>
      <c r="E30" s="32">
        <v>3705</v>
      </c>
      <c r="F30" s="28">
        <v>40</v>
      </c>
      <c r="I30" s="33"/>
      <c r="J30" s="33"/>
      <c r="K30" s="33"/>
      <c r="L30" s="33"/>
      <c r="M30" s="33"/>
    </row>
    <row r="31" spans="1:13" ht="15.75" customHeight="1" x14ac:dyDescent="0.25">
      <c r="A31" s="28">
        <v>3</v>
      </c>
      <c r="B31" s="19"/>
      <c r="C31" s="29"/>
      <c r="D31" s="32"/>
      <c r="E31" s="32"/>
      <c r="F31" s="29"/>
      <c r="I31" s="33"/>
      <c r="J31" s="33"/>
      <c r="K31" s="33"/>
      <c r="L31" s="33"/>
      <c r="M31" s="33"/>
    </row>
    <row r="32" spans="1:13" ht="15.75" customHeight="1" x14ac:dyDescent="0.25">
      <c r="A32" s="28">
        <v>4</v>
      </c>
      <c r="B32" s="19"/>
      <c r="C32" s="29"/>
      <c r="D32" s="32"/>
      <c r="E32" s="32"/>
      <c r="F32" s="29"/>
      <c r="I32" s="33"/>
      <c r="J32" s="33"/>
      <c r="K32" s="33"/>
      <c r="L32" s="33"/>
      <c r="M32" s="33"/>
    </row>
    <row r="33" spans="1:13" ht="15.75" customHeight="1" x14ac:dyDescent="0.25">
      <c r="A33" s="28">
        <v>5</v>
      </c>
      <c r="B33" s="19"/>
      <c r="C33" s="29"/>
      <c r="D33" s="32"/>
      <c r="E33" s="32"/>
      <c r="F33" s="29"/>
      <c r="I33" s="33"/>
      <c r="J33" s="33"/>
      <c r="K33" s="33"/>
      <c r="L33" s="33"/>
      <c r="M33" s="33"/>
    </row>
    <row r="34" spans="1:13" ht="15.75" customHeight="1" x14ac:dyDescent="0.25">
      <c r="A34" s="37"/>
      <c r="B34" s="38"/>
      <c r="C34" s="39"/>
      <c r="D34"/>
      <c r="E34" s="40"/>
      <c r="F34" s="37"/>
    </row>
    <row r="35" spans="1:13" ht="15.75" x14ac:dyDescent="0.25">
      <c r="A35" s="6"/>
      <c r="B35" s="11" t="s">
        <v>19</v>
      </c>
      <c r="E35" s="7"/>
      <c r="F35" s="7"/>
    </row>
    <row r="36" spans="1:13" ht="15.75" thickBot="1" x14ac:dyDescent="0.3">
      <c r="A36" s="6"/>
      <c r="B36" s="13"/>
      <c r="C36" s="7"/>
      <c r="D36" s="7"/>
      <c r="E36" s="7"/>
      <c r="F36" s="7"/>
    </row>
    <row r="37" spans="1:13" x14ac:dyDescent="0.25">
      <c r="A37" s="14" t="s">
        <v>10</v>
      </c>
      <c r="B37" s="15" t="s">
        <v>20</v>
      </c>
      <c r="C37" s="15" t="s">
        <v>13</v>
      </c>
      <c r="D37" s="15" t="s">
        <v>21</v>
      </c>
      <c r="E37" s="15" t="s">
        <v>22</v>
      </c>
      <c r="F37" s="16" t="s">
        <v>15</v>
      </c>
    </row>
    <row r="38" spans="1:13" ht="15.75" customHeight="1" x14ac:dyDescent="0.25">
      <c r="A38" s="28">
        <v>1</v>
      </c>
      <c r="B38" s="19">
        <v>11102026</v>
      </c>
      <c r="C38" s="28" t="s">
        <v>191</v>
      </c>
      <c r="D38" s="24" t="s">
        <v>192</v>
      </c>
      <c r="E38" s="32">
        <v>0</v>
      </c>
      <c r="F38" s="28">
        <v>40</v>
      </c>
    </row>
    <row r="39" spans="1:13" ht="15.75" customHeight="1" x14ac:dyDescent="0.25">
      <c r="A39" s="28">
        <v>2</v>
      </c>
      <c r="B39" s="19">
        <v>11102026</v>
      </c>
      <c r="C39" s="28" t="s">
        <v>193</v>
      </c>
      <c r="D39" s="28" t="s">
        <v>194</v>
      </c>
      <c r="E39" s="32">
        <v>3671</v>
      </c>
      <c r="F39" s="28" t="s">
        <v>35</v>
      </c>
    </row>
    <row r="40" spans="1:13" ht="15.75" customHeight="1" x14ac:dyDescent="0.25">
      <c r="A40" s="28">
        <v>3</v>
      </c>
      <c r="B40" s="19">
        <v>11102026</v>
      </c>
      <c r="C40" s="28" t="s">
        <v>195</v>
      </c>
      <c r="D40" s="28" t="s">
        <v>196</v>
      </c>
      <c r="E40" s="32">
        <v>3630</v>
      </c>
      <c r="F40" s="28" t="s">
        <v>38</v>
      </c>
    </row>
    <row r="41" spans="1:13" x14ac:dyDescent="0.25">
      <c r="A41" s="28">
        <v>4</v>
      </c>
      <c r="B41" s="19">
        <v>11102026</v>
      </c>
      <c r="C41" s="28" t="s">
        <v>197</v>
      </c>
      <c r="D41" s="28" t="s">
        <v>198</v>
      </c>
      <c r="E41" s="32">
        <v>3629</v>
      </c>
      <c r="F41" s="28" t="s">
        <v>38</v>
      </c>
    </row>
    <row r="42" spans="1:13" x14ac:dyDescent="0.25">
      <c r="A42" s="28">
        <v>5</v>
      </c>
      <c r="B42" s="19">
        <v>11102026</v>
      </c>
      <c r="C42" s="28" t="s">
        <v>199</v>
      </c>
      <c r="D42" s="28" t="s">
        <v>192</v>
      </c>
      <c r="E42" s="32">
        <v>0</v>
      </c>
      <c r="F42" s="28">
        <v>45</v>
      </c>
    </row>
    <row r="43" spans="1:13" x14ac:dyDescent="0.25">
      <c r="A43" s="28">
        <v>6</v>
      </c>
      <c r="B43" s="59"/>
      <c r="C43" s="59"/>
      <c r="D43" s="59"/>
      <c r="E43" s="59"/>
      <c r="F43" s="59"/>
    </row>
  </sheetData>
  <mergeCells count="3">
    <mergeCell ref="A3:H3"/>
    <mergeCell ref="B10:B15"/>
    <mergeCell ref="B16:B21"/>
  </mergeCells>
  <dataValidations count="1">
    <dataValidation type="list" allowBlank="1" showInputMessage="1" showErrorMessage="1" sqref="F8:F25 F38:F42" xr:uid="{59A1728A-5F57-40ED-BA5C-963023DC64E0}">
      <formula1>"20,40,45,50"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DASHBOARD</vt:lpstr>
      <vt:lpstr>01-10</vt:lpstr>
      <vt:lpstr>04-10</vt:lpstr>
      <vt:lpstr>05-10</vt:lpstr>
      <vt:lpstr>06-10</vt:lpstr>
      <vt:lpstr>07-10</vt:lpstr>
      <vt:lpstr>08-10</vt:lpstr>
      <vt:lpstr>11-10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Haddad</dc:creator>
  <cp:lastModifiedBy>Samir Haddad</cp:lastModifiedBy>
  <cp:lastPrinted>2026-10-07T15:01:41Z</cp:lastPrinted>
  <dcterms:created xsi:type="dcterms:W3CDTF">2026-10-01T08:28:30Z</dcterms:created>
  <dcterms:modified xsi:type="dcterms:W3CDTF">2026-10-11T13:32:58Z</dcterms:modified>
</cp:coreProperties>
</file>