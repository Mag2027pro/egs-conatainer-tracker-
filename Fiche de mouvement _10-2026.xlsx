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AB0B5A2ED962CAE/Documents/Samir/"/>
    </mc:Choice>
  </mc:AlternateContent>
  <xr:revisionPtr revIDLastSave="252" documentId="8_{0FD41444-73C9-4658-8652-2E2F595BA3E4}" xr6:coauthVersionLast="47" xr6:coauthVersionMax="47" xr10:uidLastSave="{4ECE0D39-3581-4289-9AC0-EF9515F7DE2F}"/>
  <bookViews>
    <workbookView xWindow="-120" yWindow="-120" windowWidth="29040" windowHeight="15720" tabRatio="547" xr2:uid="{A18A3B28-6AD6-4212-865A-5BA1C5CD781C}"/>
  </bookViews>
  <sheets>
    <sheet name="DASHBOARD" sheetId="1" r:id="rId1"/>
    <sheet name="01-10" sheetId="2" r:id="rId2"/>
    <sheet name="04-10" sheetId="3" r:id="rId3"/>
    <sheet name="05-10" sheetId="4" r:id="rId4"/>
    <sheet name="06-10" sheetId="5" r:id="rId5"/>
    <sheet name="07-10" sheetId="6" r:id="rId6"/>
    <sheet name="08-10" sheetId="7" r:id="rId7"/>
    <sheet name="11-10" sheetId="8" r:id="rId8"/>
    <sheet name="12-10" sheetId="9" r:id="rId9"/>
    <sheet name="13-10" sheetId="10" r:id="rId10"/>
    <sheet name="14-10" sheetId="11" r:id="rId11"/>
    <sheet name="15-10" sheetId="12" r:id="rId12"/>
    <sheet name="18-10" sheetId="13" r:id="rId13"/>
    <sheet name="19-10" sheetId="15" r:id="rId14"/>
    <sheet name="20-10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4" i="1" l="1"/>
  <c r="B14" i="1"/>
  <c r="C15" i="1"/>
  <c r="B15" i="1"/>
  <c r="D15" i="1"/>
  <c r="H2" i="15"/>
  <c r="F2" i="15"/>
  <c r="J2" i="16"/>
  <c r="F2" i="16"/>
  <c r="H2" i="16" s="1"/>
  <c r="H1" i="16"/>
  <c r="J2" i="15"/>
  <c r="H1" i="15"/>
  <c r="H2" i="13"/>
  <c r="F2" i="12"/>
  <c r="H2" i="12" s="1"/>
  <c r="F2" i="13"/>
  <c r="B13" i="1"/>
  <c r="J2" i="13"/>
  <c r="H1" i="13"/>
  <c r="J2" i="12"/>
  <c r="H1" i="12"/>
  <c r="B12" i="1" s="1"/>
  <c r="C3" i="1"/>
  <c r="B11" i="1"/>
  <c r="J2" i="11"/>
  <c r="F2" i="11"/>
  <c r="H2" i="11" s="1"/>
  <c r="C11" i="1" s="1"/>
  <c r="H1" i="11"/>
  <c r="J2" i="10"/>
  <c r="F2" i="10"/>
  <c r="H2" i="10" s="1"/>
  <c r="C10" i="1" s="1"/>
  <c r="H1" i="10"/>
  <c r="B10" i="1" s="1"/>
  <c r="J2" i="9"/>
  <c r="F2" i="9"/>
  <c r="H2" i="9" s="1"/>
  <c r="C9" i="1" s="1"/>
  <c r="H1" i="9"/>
  <c r="B9" i="1" s="1"/>
  <c r="H1" i="8"/>
  <c r="B8" i="1" s="1"/>
  <c r="J2" i="8"/>
  <c r="F2" i="8"/>
  <c r="H2" i="8" s="1"/>
  <c r="J2" i="7"/>
  <c r="F2" i="7"/>
  <c r="H2" i="7" s="1"/>
  <c r="H1" i="7"/>
  <c r="B7" i="1" s="1"/>
  <c r="H1" i="6"/>
  <c r="B6" i="1" s="1"/>
  <c r="J2" i="6"/>
  <c r="F2" i="6"/>
  <c r="H2" i="6" s="1"/>
  <c r="C6" i="1" s="1"/>
  <c r="H1" i="5"/>
  <c r="B5" i="1" s="1"/>
  <c r="J2" i="5"/>
  <c r="F2" i="5"/>
  <c r="H2" i="5" s="1"/>
  <c r="C5" i="1" s="1"/>
  <c r="B4" i="1"/>
  <c r="J2" i="4"/>
  <c r="F2" i="4"/>
  <c r="H2" i="4" s="1"/>
  <c r="C4" i="1" s="1"/>
  <c r="D4" i="1" s="1"/>
  <c r="H1" i="4"/>
  <c r="J2" i="3"/>
  <c r="F2" i="3"/>
  <c r="H2" i="3" s="1"/>
  <c r="H1" i="3"/>
  <c r="B3" i="1" s="1"/>
  <c r="J2" i="2"/>
  <c r="F2" i="2"/>
  <c r="H2" i="2" s="1"/>
  <c r="C2" i="1" s="1"/>
  <c r="H1" i="2"/>
  <c r="B2" i="1" s="1"/>
  <c r="D2" i="1" s="1"/>
  <c r="D14" i="1" l="1"/>
  <c r="C13" i="1"/>
  <c r="D13" i="1" s="1"/>
  <c r="C12" i="1"/>
  <c r="D12" i="1" s="1"/>
  <c r="D11" i="1"/>
  <c r="D9" i="1"/>
  <c r="D10" i="1"/>
  <c r="C8" i="1"/>
  <c r="C7" i="1"/>
  <c r="D7" i="1" s="1"/>
  <c r="D6" i="1"/>
  <c r="D5" i="1"/>
  <c r="D3" i="1"/>
  <c r="C24" i="1" l="1"/>
  <c r="D8" i="1"/>
  <c r="D24" i="1" s="1"/>
  <c r="B24" i="1"/>
</calcChain>
</file>

<file path=xl/sharedStrings.xml><?xml version="1.0" encoding="utf-8"?>
<sst xmlns="http://schemas.openxmlformats.org/spreadsheetml/2006/main" count="845" uniqueCount="286">
  <si>
    <t>Date</t>
  </si>
  <si>
    <t>TC Réceptionnés</t>
  </si>
  <si>
    <t>TC Sortis</t>
  </si>
  <si>
    <t>Total Mouvements</t>
  </si>
  <si>
    <t>TC Sortis
VIDE</t>
  </si>
  <si>
    <t>Total</t>
  </si>
  <si>
    <t>TC</t>
  </si>
  <si>
    <t>VH</t>
  </si>
  <si>
    <t>FICHE DE MOUVEMENT</t>
  </si>
  <si>
    <t>RECEPTION</t>
  </si>
  <si>
    <t xml:space="preserve">N° </t>
  </si>
  <si>
    <t>N° CRN</t>
  </si>
  <si>
    <t>Date R</t>
  </si>
  <si>
    <t>N° Conteneur</t>
  </si>
  <si>
    <t>N° Scellé</t>
  </si>
  <si>
    <t>Vol</t>
  </si>
  <si>
    <t>SORTIE</t>
  </si>
  <si>
    <t>Date S</t>
  </si>
  <si>
    <t>IMM</t>
  </si>
  <si>
    <t>VISITE</t>
  </si>
  <si>
    <t>Date V</t>
  </si>
  <si>
    <t>AN° Scellé</t>
  </si>
  <si>
    <t>NO° Scellé</t>
  </si>
  <si>
    <t>ECMU814116 /8</t>
  </si>
  <si>
    <t>J0695804</t>
  </si>
  <si>
    <t>PONU804908 /6</t>
  </si>
  <si>
    <t>TLLU805438 /1</t>
  </si>
  <si>
    <t>HMMU433444 /9</t>
  </si>
  <si>
    <t>SEGU585325 /8</t>
  </si>
  <si>
    <t>26H0108168</t>
  </si>
  <si>
    <t>26H0108169</t>
  </si>
  <si>
    <t>00373-517-31</t>
  </si>
  <si>
    <t>ECMU809447 /2</t>
  </si>
  <si>
    <t>MSCU632217 /1</t>
  </si>
  <si>
    <t>FJ28615512</t>
  </si>
  <si>
    <t>20</t>
  </si>
  <si>
    <t>MSMU672588 /1</t>
  </si>
  <si>
    <t>FX48439012</t>
  </si>
  <si>
    <t>40</t>
  </si>
  <si>
    <t>MSMU723245 /2</t>
  </si>
  <si>
    <t>FX48439190</t>
  </si>
  <si>
    <t>SEKU180289 /5</t>
  </si>
  <si>
    <t>FX48675347</t>
  </si>
  <si>
    <t>SEKU180293 /5</t>
  </si>
  <si>
    <t>FX48675348</t>
  </si>
  <si>
    <t>0171ICS0101</t>
  </si>
  <si>
    <t>0171ICS0106</t>
  </si>
  <si>
    <t>0171ICS0015</t>
  </si>
  <si>
    <t>CAAU640372 /2</t>
  </si>
  <si>
    <t>FFAU501814 /0</t>
  </si>
  <si>
    <t>00380-506-31</t>
  </si>
  <si>
    <t>00217-507-31</t>
  </si>
  <si>
    <t>ARKU150130 /6</t>
  </si>
  <si>
    <t>1441385</t>
  </si>
  <si>
    <t>00141-525-31</t>
  </si>
  <si>
    <t>HASU492916 /6</t>
  </si>
  <si>
    <t>HASU5156746 /8</t>
  </si>
  <si>
    <t>MRSU698006 /4</t>
  </si>
  <si>
    <t>CAIU634538 /3</t>
  </si>
  <si>
    <t>J1803692</t>
  </si>
  <si>
    <t>00582-510-31</t>
  </si>
  <si>
    <t>001766-508-31</t>
  </si>
  <si>
    <t>ECMU614116 /8</t>
  </si>
  <si>
    <t>06230-586-48</t>
  </si>
  <si>
    <t>HDMU321504 /6</t>
  </si>
  <si>
    <t>25H1013125</t>
  </si>
  <si>
    <t>HDMU341436 /7</t>
  </si>
  <si>
    <t>25H1041732</t>
  </si>
  <si>
    <t>HDMU342017 /0</t>
  </si>
  <si>
    <t>25H1175272</t>
  </si>
  <si>
    <t>HDMU342266 /0</t>
  </si>
  <si>
    <t>25H1175275</t>
  </si>
  <si>
    <t>KOCU430655 /1</t>
  </si>
  <si>
    <t>26H0234922</t>
  </si>
  <si>
    <t>TIIU600821 /4</t>
  </si>
  <si>
    <t>26H0236033</t>
  </si>
  <si>
    <t>00140-525-31</t>
  </si>
  <si>
    <t>00362-516-31</t>
  </si>
  <si>
    <t>00325-516-31</t>
  </si>
  <si>
    <t>00125-523-31</t>
  </si>
  <si>
    <t>00296-515-31</t>
  </si>
  <si>
    <t>00139-525-31</t>
  </si>
  <si>
    <t>TCNU857774 /0</t>
  </si>
  <si>
    <t>CN6455438</t>
  </si>
  <si>
    <t>CAAU692306 /7</t>
  </si>
  <si>
    <t>CN6229789</t>
  </si>
  <si>
    <t>LB0268981</t>
  </si>
  <si>
    <t>YMLU329259 /5</t>
  </si>
  <si>
    <t>LB0268982</t>
  </si>
  <si>
    <t>TTNU375141 /0</t>
  </si>
  <si>
    <t>LB0268826</t>
  </si>
  <si>
    <t>TEMU349977 /4</t>
  </si>
  <si>
    <t>LB0268825</t>
  </si>
  <si>
    <t>TEMU346844 /9</t>
  </si>
  <si>
    <t>LB0268771</t>
  </si>
  <si>
    <t>TDTU171047 /5</t>
  </si>
  <si>
    <t>LB0268871</t>
  </si>
  <si>
    <t>TDRU255456 /0</t>
  </si>
  <si>
    <t>LB0268773</t>
  </si>
  <si>
    <t>SLDU283019 /1</t>
  </si>
  <si>
    <t>LB0268987</t>
  </si>
  <si>
    <t>PCIU306800 /4</t>
  </si>
  <si>
    <t>LB0268829</t>
  </si>
  <si>
    <t>OOLU288929 /7</t>
  </si>
  <si>
    <t>LB0268828</t>
  </si>
  <si>
    <t>OOLU161730 /8</t>
  </si>
  <si>
    <t>LB0268983</t>
  </si>
  <si>
    <t>MFCU260329 /9</t>
  </si>
  <si>
    <t>LB0268776</t>
  </si>
  <si>
    <t>MBSU281359 /8</t>
  </si>
  <si>
    <t>LB0268821</t>
  </si>
  <si>
    <t>MBSU281322 /1</t>
  </si>
  <si>
    <t>LB0268775</t>
  </si>
  <si>
    <t>MBSU281306 /8</t>
  </si>
  <si>
    <t>LB0268872</t>
  </si>
  <si>
    <t>MBSU281304 /7</t>
  </si>
  <si>
    <t>LB0268988</t>
  </si>
  <si>
    <t>MBSU281295 /0</t>
  </si>
  <si>
    <t>LB0268823</t>
  </si>
  <si>
    <t>MBSU281261 /0</t>
  </si>
  <si>
    <t>LB0268989</t>
  </si>
  <si>
    <t>MBSU281245 /7</t>
  </si>
  <si>
    <t>LB0268824</t>
  </si>
  <si>
    <t>MBSU281087 /6</t>
  </si>
  <si>
    <t>LB0268990</t>
  </si>
  <si>
    <t>MBSU280824 /6</t>
  </si>
  <si>
    <t>LB0268985</t>
  </si>
  <si>
    <t>MBSU280770 /1</t>
  </si>
  <si>
    <t>LB0268986</t>
  </si>
  <si>
    <t>MBSU280656 /2</t>
  </si>
  <si>
    <t>LB0268827</t>
  </si>
  <si>
    <t>MBSU280648 /0</t>
  </si>
  <si>
    <t>LB0268822</t>
  </si>
  <si>
    <t>KKTU710450 /3</t>
  </si>
  <si>
    <t>0040ICS0002</t>
  </si>
  <si>
    <t>25H1489025</t>
  </si>
  <si>
    <t>25H1489014</t>
  </si>
  <si>
    <t xml:space="preserve">0764ICS0062 </t>
  </si>
  <si>
    <t>HMMU424163 /9</t>
  </si>
  <si>
    <t>HMMU498102 /3</t>
  </si>
  <si>
    <t>MRSU215858 /4</t>
  </si>
  <si>
    <t>CN8343648</t>
  </si>
  <si>
    <t>MSNU928137 /8</t>
  </si>
  <si>
    <t>FX47338080</t>
  </si>
  <si>
    <t>MSDU997113 /6</t>
  </si>
  <si>
    <t>0</t>
  </si>
  <si>
    <t>MSMU661001 /2</t>
  </si>
  <si>
    <t>0674611</t>
  </si>
  <si>
    <t>UETU703460 /0</t>
  </si>
  <si>
    <t>0674567</t>
  </si>
  <si>
    <t>00096-511-31</t>
  </si>
  <si>
    <t>00463-509-31</t>
  </si>
  <si>
    <t>00090-512-31</t>
  </si>
  <si>
    <t>MEDU636673 /0</t>
  </si>
  <si>
    <t>LG00690422</t>
  </si>
  <si>
    <t>BMOU474366 /5</t>
  </si>
  <si>
    <t>5878917</t>
  </si>
  <si>
    <t>MEDU723902 /6</t>
  </si>
  <si>
    <t>1128635</t>
  </si>
  <si>
    <t>MEDU798835 /9</t>
  </si>
  <si>
    <t>1128684</t>
  </si>
  <si>
    <t>MSDU534494 /5</t>
  </si>
  <si>
    <t>1146995</t>
  </si>
  <si>
    <t>SEGU549541 /0</t>
  </si>
  <si>
    <t>1128683</t>
  </si>
  <si>
    <t>TGBU550533 /0</t>
  </si>
  <si>
    <t>1128686</t>
  </si>
  <si>
    <t>TRHU681016 /3</t>
  </si>
  <si>
    <t>1146994</t>
  </si>
  <si>
    <t>CAAU489835 /0</t>
  </si>
  <si>
    <t>OM0092412</t>
  </si>
  <si>
    <t>CAAU608029 /7</t>
  </si>
  <si>
    <t>OM0092455</t>
  </si>
  <si>
    <t>GCXU572967 /8</t>
  </si>
  <si>
    <t>OM0092415</t>
  </si>
  <si>
    <t>MRSU870794 /8</t>
  </si>
  <si>
    <t>OM0092440</t>
  </si>
  <si>
    <t>TCKU701928 /8</t>
  </si>
  <si>
    <t>OM0092557</t>
  </si>
  <si>
    <t>TCNU297401 /5</t>
  </si>
  <si>
    <t>OM0092479</t>
  </si>
  <si>
    <t>MRKU353739 /0</t>
  </si>
  <si>
    <t>CN9008091</t>
  </si>
  <si>
    <t>MRKU733342 /9</t>
  </si>
  <si>
    <t>CN7978124</t>
  </si>
  <si>
    <t>0178ICS0007</t>
  </si>
  <si>
    <t>0178ICS0003</t>
  </si>
  <si>
    <t>0178ICS0056</t>
  </si>
  <si>
    <t>0106ICS0007</t>
  </si>
  <si>
    <t>0106ICS0044</t>
  </si>
  <si>
    <t>0106ICS0058</t>
  </si>
  <si>
    <t>CRTU760967 /9</t>
  </si>
  <si>
    <t>FLAT</t>
  </si>
  <si>
    <t>MSCU255953 /0</t>
  </si>
  <si>
    <t>FJ25931782</t>
  </si>
  <si>
    <t>MSDU600819 /0</t>
  </si>
  <si>
    <t>FJ25931784</t>
  </si>
  <si>
    <t>MSDU749894 /0</t>
  </si>
  <si>
    <t>FJ25931785</t>
  </si>
  <si>
    <t>TCLU600116 /8</t>
  </si>
  <si>
    <t>MSNU975917 /4</t>
  </si>
  <si>
    <t>00005-520-31</t>
  </si>
  <si>
    <t>02175-588-31</t>
  </si>
  <si>
    <t>TIIU809713 /9</t>
  </si>
  <si>
    <t>M1726190</t>
  </si>
  <si>
    <t>MSDU612394 /9</t>
  </si>
  <si>
    <t>TCKU725483 /6</t>
  </si>
  <si>
    <t>BD0235592</t>
  </si>
  <si>
    <t>00235-509-31</t>
  </si>
  <si>
    <t>OOCU568279 /5</t>
  </si>
  <si>
    <t xml:space="preserve">CMAU229574 /9 </t>
  </si>
  <si>
    <t>M7399417</t>
  </si>
  <si>
    <t xml:space="preserve">CMAU238193 /4 </t>
  </si>
  <si>
    <t>M7399419</t>
  </si>
  <si>
    <t>ECMU294199 /1</t>
  </si>
  <si>
    <t>M7399384</t>
  </si>
  <si>
    <t>ECMU295618 /4</t>
  </si>
  <si>
    <t>M7399466</t>
  </si>
  <si>
    <t xml:space="preserve">TEMU032969 /2 </t>
  </si>
  <si>
    <t>M7349446</t>
  </si>
  <si>
    <t>TCLU9579756</t>
  </si>
  <si>
    <t>M1653661</t>
  </si>
  <si>
    <t>TXGU4968523</t>
  </si>
  <si>
    <t>FJ28506777</t>
  </si>
  <si>
    <t>CAIU7122168</t>
  </si>
  <si>
    <t>FJ28489616</t>
  </si>
  <si>
    <t>0869ICS0102</t>
  </si>
  <si>
    <t>0181ICS0146</t>
  </si>
  <si>
    <t>0181ICS0030</t>
  </si>
  <si>
    <t>TCNU338016 /8</t>
  </si>
  <si>
    <t>CMAU965494 /3</t>
  </si>
  <si>
    <t>FX33492438</t>
  </si>
  <si>
    <t>00204-598-31</t>
  </si>
  <si>
    <t>TCNU628382 /9</t>
  </si>
  <si>
    <t>00139-513-31</t>
  </si>
  <si>
    <t>UETU7239787</t>
  </si>
  <si>
    <t>972218</t>
  </si>
  <si>
    <t>TRHU7683171</t>
  </si>
  <si>
    <t>972213</t>
  </si>
  <si>
    <t>MSMU7919393</t>
  </si>
  <si>
    <t>FX49468610</t>
  </si>
  <si>
    <t>BMOU6940792</t>
  </si>
  <si>
    <t>FX48529707</t>
  </si>
  <si>
    <t>0892ICS0085</t>
  </si>
  <si>
    <t>0892ICS0087</t>
  </si>
  <si>
    <t>0182ICS0024</t>
  </si>
  <si>
    <t>0182ICS0041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</si>
  <si>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</si>
  <si>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000068-515-31</t>
  </si>
  <si>
    <t>00133-515-31</t>
  </si>
  <si>
    <t>00385-516-31</t>
  </si>
  <si>
    <t>00701-509-31</t>
  </si>
  <si>
    <t>00067-515-31</t>
  </si>
  <si>
    <t>00108-515-31</t>
  </si>
  <si>
    <t>00259-518-31</t>
  </si>
  <si>
    <t>CMAU220385 /0</t>
  </si>
  <si>
    <t>1730449</t>
  </si>
  <si>
    <t>CMAU455459 /8</t>
  </si>
  <si>
    <t>1730443</t>
  </si>
  <si>
    <t>CMAU480173 /8</t>
  </si>
  <si>
    <t>1730445</t>
  </si>
  <si>
    <t>CMAU573921 /4</t>
  </si>
  <si>
    <t>1730441</t>
  </si>
  <si>
    <t>CMAU786292 /7</t>
  </si>
  <si>
    <t>1730447</t>
  </si>
  <si>
    <t>TCNU415361 /5</t>
  </si>
  <si>
    <t>1730400</t>
  </si>
  <si>
    <t>00311-515-31</t>
  </si>
  <si>
    <t>00089-516-31</t>
  </si>
  <si>
    <t>00177-525-31</t>
  </si>
  <si>
    <t>00035-524-31</t>
  </si>
  <si>
    <t>00005-517-31</t>
  </si>
  <si>
    <t>000042-524-31</t>
  </si>
  <si>
    <t>CAIU6645586</t>
  </si>
  <si>
    <t xml:space="preserve">24H1702427 </t>
  </si>
  <si>
    <t>00782ICS0012</t>
  </si>
  <si>
    <t>TEMU359990 /0</t>
  </si>
  <si>
    <t>FX46306546</t>
  </si>
  <si>
    <t>00068-515-31</t>
  </si>
  <si>
    <t>01447-590-31</t>
  </si>
  <si>
    <t>02067-586-31</t>
  </si>
  <si>
    <t>02119-587-31</t>
  </si>
  <si>
    <t>02233-585-31</t>
  </si>
  <si>
    <t>00154-517-31</t>
  </si>
  <si>
    <t>MSDUI612394 /9</t>
  </si>
  <si>
    <t>00154-517-32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</si>
</sst>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##&quot;/&quot;##&quot;/&quot;####"/>
  </numFmts>
  <fonts count="20" x14ac:knownFonts="1">
    <font>
      <sz val="11"/>
      <color theme="1"/>
      <name val="Aptos Narrow"/>
      <family val="2"/>
      <scheme val="minor"/>
    </font>
    <font>
      <sz val="10"/>
      <color theme="1"/>
      <name val="Segoe UI"/>
      <family val="2"/>
    </font>
    <font>
      <b/>
      <sz val="11"/>
      <color rgb="FFFFFFFF"/>
      <name val="Segoe UI"/>
      <family val="2"/>
    </font>
    <font>
      <b/>
      <sz val="10"/>
      <color rgb="FF1A1A1A"/>
      <name val="Segoe UI"/>
      <family val="2"/>
    </font>
    <font>
      <b/>
      <sz val="11"/>
      <color rgb="FF2C3E50"/>
      <name val="Segoe UI"/>
      <family val="2"/>
    </font>
    <font>
      <sz val="10"/>
      <name val="Calibri"/>
      <family val="2"/>
    </font>
    <font>
      <b/>
      <sz val="12"/>
      <name val="Calibri"/>
      <family val="2"/>
    </font>
    <font>
      <b/>
      <sz val="10"/>
      <color rgb="FFFFFFFF"/>
      <name val="Segoe UI"/>
      <family val="2"/>
    </font>
    <font>
      <b/>
      <sz val="16"/>
      <name val="Segoe UI"/>
      <family val="2"/>
    </font>
    <font>
      <b/>
      <sz val="11"/>
      <name val="Calibri"/>
      <family val="2"/>
    </font>
    <font>
      <b/>
      <sz val="10"/>
      <color rgb="FF2C3E50"/>
      <name val="Segoe UI"/>
      <family val="2"/>
    </font>
    <font>
      <sz val="10"/>
      <name val="Segoe UI"/>
      <family val="2"/>
    </font>
    <font>
      <sz val="11"/>
      <color rgb="FF000000"/>
      <name val="Calibri"/>
      <family val="2"/>
    </font>
    <font>
      <sz val="10"/>
      <color rgb="FF000000"/>
      <name val="Segoe UI"/>
      <family val="2"/>
    </font>
    <font>
      <sz val="10"/>
      <color rgb="FF334155"/>
      <name val="Segoe UI"/>
      <family val="2"/>
    </font>
    <font>
      <sz val="10"/>
      <name val="Calibri"/>
      <family val="2"/>
    </font>
    <font>
      <sz val="10"/>
      <color rgb="FF000000"/>
      <name val="Segoe UI"/>
      <family val="2"/>
    </font>
    <font>
      <sz val="11"/>
      <color rgb="FF000000"/>
      <name val="Calibri"/>
      <family val="2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8F9F9"/>
        <bgColor rgb="FFF8F9F9"/>
      </patternFill>
    </fill>
    <fill>
      <patternFill patternType="solid">
        <fgColor rgb="FFD6EAF8"/>
        <bgColor rgb="FFD6EAF8"/>
      </patternFill>
    </fill>
    <fill>
      <patternFill patternType="solid">
        <fgColor rgb="FFFCF3CF"/>
        <bgColor rgb="FFFCF3CF"/>
      </patternFill>
    </fill>
    <fill>
      <patternFill patternType="solid">
        <fgColor rgb="FFFFC000"/>
        <bgColor indexed="64"/>
      </patternFill>
    </fill>
    <fill>
      <patternFill patternType="solid">
        <fgColor rgb="FFED0000"/>
        <bgColor rgb="FF2C3E50"/>
      </patternFill>
    </fill>
    <fill>
      <patternFill patternType="solid">
        <fgColor rgb="FF2C3E50"/>
        <bgColor rgb="FF2C3E50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3" fontId="3" fillId="5" borderId="1" xfId="0" applyNumberFormat="1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6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0" fontId="6" fillId="6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14" fontId="9" fillId="0" borderId="0" xfId="0" applyNumberFormat="1" applyFont="1" applyAlignment="1">
      <alignment horizontal="center" vertical="center"/>
    </xf>
    <xf numFmtId="0" fontId="10" fillId="0" borderId="0" xfId="0" applyFont="1"/>
    <xf numFmtId="0" fontId="7" fillId="8" borderId="2" xfId="0" applyFont="1" applyFill="1" applyBorder="1" applyAlignment="1">
      <alignment horizontal="center" vertical="center" wrapText="1"/>
    </xf>
    <xf numFmtId="0" fontId="7" fillId="8" borderId="3" xfId="0" applyFont="1" applyFill="1" applyBorder="1" applyAlignment="1">
      <alignment horizontal="center" vertical="center" wrapText="1"/>
    </xf>
    <xf numFmtId="0" fontId="7" fillId="8" borderId="4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165" fontId="11" fillId="0" borderId="5" xfId="0" applyNumberFormat="1" applyFont="1" applyBorder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14" fontId="13" fillId="0" borderId="5" xfId="0" applyNumberFormat="1" applyFont="1" applyBorder="1" applyAlignment="1">
      <alignment vertical="center"/>
    </xf>
    <xf numFmtId="0" fontId="12" fillId="0" borderId="5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0" fontId="11" fillId="0" borderId="5" xfId="0" applyFont="1" applyBorder="1" applyAlignment="1">
      <alignment horizontal="center" vertical="center"/>
    </xf>
    <xf numFmtId="0" fontId="11" fillId="9" borderId="5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/>
    </xf>
    <xf numFmtId="0" fontId="0" fillId="0" borderId="0" xfId="0" applyAlignment="1">
      <alignment vertical="center" wrapText="1"/>
    </xf>
    <xf numFmtId="0" fontId="1" fillId="0" borderId="5" xfId="0" applyFont="1" applyBorder="1" applyAlignment="1">
      <alignment horizontal="center"/>
    </xf>
    <xf numFmtId="0" fontId="11" fillId="0" borderId="5" xfId="0" applyFont="1" applyBorder="1" applyAlignment="1">
      <alignment horizontal="center" vertical="center" wrapText="1"/>
    </xf>
    <xf numFmtId="0" fontId="0" fillId="0" borderId="5" xfId="0" applyBorder="1"/>
    <xf numFmtId="0" fontId="11" fillId="0" borderId="0" xfId="0" applyFont="1" applyAlignment="1">
      <alignment horizontal="center" vertical="center"/>
    </xf>
    <xf numFmtId="165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14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11" fillId="0" borderId="5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14" fontId="13" fillId="0" borderId="5" xfId="0" applyNumberFormat="1" applyFont="1" applyBorder="1" applyAlignment="1">
      <alignment horizontal="center" vertical="center"/>
    </xf>
    <xf numFmtId="14" fontId="11" fillId="0" borderId="5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2" fillId="0" borderId="5" xfId="0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5" fillId="0" borderId="5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/>
    </xf>
    <xf numFmtId="0" fontId="16" fillId="0" borderId="5" xfId="0" applyFont="1" applyBorder="1" applyAlignment="1">
      <alignment horizontal="center" vertical="center" wrapText="1"/>
    </xf>
    <xf numFmtId="165" fontId="11" fillId="10" borderId="5" xfId="0" applyNumberFormat="1" applyFont="1" applyFill="1" applyBorder="1" applyAlignment="1">
      <alignment horizontal="center" vertical="center"/>
    </xf>
    <xf numFmtId="0" fontId="11" fillId="0" borderId="5" xfId="0" applyFont="1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18" fillId="0" borderId="5" xfId="0" applyFont="1" applyBorder="1" applyAlignment="1">
      <alignment horizontal="center"/>
    </xf>
    <xf numFmtId="0" fontId="13" fillId="0" borderId="0" xfId="0" applyFont="1" applyAlignment="1">
      <alignment horizontal="center" vertical="center" wrapText="1"/>
    </xf>
    <xf numFmtId="0" fontId="1" fillId="0" borderId="5" xfId="0" applyFont="1" applyBorder="1" applyAlignment="1">
      <alignment vertical="center" wrapText="1"/>
    </xf>
    <xf numFmtId="14" fontId="11" fillId="0" borderId="5" xfId="0" applyNumberFormat="1" applyFont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14" fontId="11" fillId="0" borderId="7" xfId="0" applyNumberFormat="1" applyFont="1" applyBorder="1" applyAlignment="1">
      <alignment horizontal="center" vertical="center"/>
    </xf>
    <xf numFmtId="14" fontId="11" fillId="0" borderId="8" xfId="0" applyNumberFormat="1" applyFont="1" applyBorder="1" applyAlignment="1">
      <alignment horizontal="center" vertical="center"/>
    </xf>
    <xf numFmtId="14" fontId="11" fillId="0" borderId="9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0</xdr:rowOff>
    </xdr:from>
    <xdr:to>
      <xdr:col>2</xdr:col>
      <xdr:colOff>933450</xdr:colOff>
      <xdr:row>2</xdr:row>
      <xdr:rowOff>114297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1113887-0B1F-4EA7-BE9B-FAED5B7DF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0"/>
          <a:ext cx="2000250" cy="49529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0</xdr:rowOff>
    </xdr:from>
    <xdr:to>
      <xdr:col>2</xdr:col>
      <xdr:colOff>933450</xdr:colOff>
      <xdr:row>2</xdr:row>
      <xdr:rowOff>133347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3BCA99A-AAF0-44F7-96D6-622ACC1774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0"/>
          <a:ext cx="2000250" cy="5143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0</xdr:rowOff>
    </xdr:from>
    <xdr:to>
      <xdr:col>2</xdr:col>
      <xdr:colOff>933450</xdr:colOff>
      <xdr:row>2</xdr:row>
      <xdr:rowOff>152397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888A717-941B-42BF-A098-CE87885688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0"/>
          <a:ext cx="2000250" cy="53339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133347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B6656C31-123B-4246-BE51-3C02C2C4C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5333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152397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E27370C-0E26-48E3-BE53-BCE14CC1D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53339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85725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EA8FB49-65EA-4CB3-9802-6148FD0498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48577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104775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0BB04293-D7FF-441C-A0B4-275974B8DE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48577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104775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BF59B7B3-F4C9-42B7-B149-82B3A9E7D1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48577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104775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41FBF36A-3D19-4FFB-8D35-F7087D29E1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48577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123825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873EF647-D77E-40A3-B524-61B41D808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50482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142875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F12FD6AF-C560-4CFF-95D7-300E7F5E35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523875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D077A503-8795-44BA-80A9-941A9CAC4D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54292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180975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D31F7092-7058-4FC4-9C1E-C6065A7B9B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561975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3</xdr:row>
      <xdr:rowOff>9525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88148696-BF96-4DFD-988D-6F715650F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58102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04B694-3CF0-4236-B0D3-C3AB4D8B016D}">
  <we:reference id="wa200007447" version="1.1.6.7" store="fr-FR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4E8F3-6789-4A30-A0C0-D561ABF2356F}">
  <sheetPr codeName="Feuil1"/>
  <dimension ref="A1:F24"/>
  <sheetViews>
    <sheetView tabSelected="1" workbookViewId="0">
      <selection activeCell="C15" sqref="C15"/>
    </sheetView>
  </sheetViews>
  <sheetFormatPr baseColWidth="10" defaultColWidth="9.140625" defaultRowHeight="15" x14ac:dyDescent="0.25"/>
  <cols>
    <col min="1" max="1" width="37.42578125" customWidth="1"/>
    <col min="2" max="2" width="18" bestFit="1" customWidth="1"/>
    <col min="3" max="3" width="17.42578125" bestFit="1" customWidth="1"/>
    <col min="4" max="4" width="20.28515625" bestFit="1" customWidth="1"/>
    <col min="5" max="5" width="4.85546875" customWidth="1"/>
    <col min="6" max="6" width="15.42578125" customWidth="1"/>
  </cols>
  <sheetData>
    <row r="1" spans="1:6" ht="33" x14ac:dyDescent="0.25">
      <c r="A1" s="1" t="s">
        <v>0</v>
      </c>
      <c r="B1" s="1" t="s">
        <v>1</v>
      </c>
      <c r="C1" s="1" t="s">
        <v>2</v>
      </c>
      <c r="D1" s="1" t="s">
        <v>3</v>
      </c>
      <c r="E1" s="1"/>
      <c r="F1" s="1" t="s">
        <v>4</v>
      </c>
    </row>
    <row r="2" spans="1:6" ht="16.5" x14ac:dyDescent="0.25">
      <c r="A2" s="2">
        <v>46296</v>
      </c>
      <c r="B2" s="3">
        <f>'01-10'!H1</f>
        <v>0</v>
      </c>
      <c r="C2" s="3">
        <f>'01-10'!H2</f>
        <v>1</v>
      </c>
      <c r="D2" s="4">
        <f t="shared" ref="D2:D7" si="0">B2+C2</f>
        <v>1</v>
      </c>
      <c r="F2" s="3"/>
    </row>
    <row r="3" spans="1:6" ht="16.5" x14ac:dyDescent="0.25">
      <c r="A3" s="2">
        <v>46299</v>
      </c>
      <c r="B3" s="3">
        <f>'04-10'!H1</f>
        <v>5</v>
      </c>
      <c r="C3" s="3">
        <f>'04-10'!H2</f>
        <v>3</v>
      </c>
      <c r="D3" s="4">
        <f t="shared" si="0"/>
        <v>8</v>
      </c>
      <c r="F3" s="3"/>
    </row>
    <row r="4" spans="1:6" ht="16.5" x14ac:dyDescent="0.25">
      <c r="A4" s="2">
        <v>46300</v>
      </c>
      <c r="B4" s="3">
        <f>'05-10'!H1</f>
        <v>0</v>
      </c>
      <c r="C4" s="3">
        <f>'05-10'!H2</f>
        <v>9</v>
      </c>
      <c r="D4" s="4">
        <f t="shared" si="0"/>
        <v>9</v>
      </c>
      <c r="F4" s="3"/>
    </row>
    <row r="5" spans="1:6" ht="16.5" x14ac:dyDescent="0.25">
      <c r="A5" s="2">
        <v>46301</v>
      </c>
      <c r="B5" s="3">
        <f>'06-10'!H1</f>
        <v>14</v>
      </c>
      <c r="C5" s="3">
        <f>'06-10'!H2</f>
        <v>0</v>
      </c>
      <c r="D5" s="4">
        <f t="shared" si="0"/>
        <v>14</v>
      </c>
      <c r="F5" s="3"/>
    </row>
    <row r="6" spans="1:6" ht="16.5" x14ac:dyDescent="0.25">
      <c r="A6" s="2">
        <v>46302</v>
      </c>
      <c r="B6" s="3">
        <f>'07-10'!H1</f>
        <v>12</v>
      </c>
      <c r="C6" s="3">
        <f>'07-10'!H2</f>
        <v>0</v>
      </c>
      <c r="D6" s="4">
        <f t="shared" si="0"/>
        <v>12</v>
      </c>
      <c r="F6" s="3"/>
    </row>
    <row r="7" spans="1:6" ht="16.5" x14ac:dyDescent="0.25">
      <c r="A7" s="2">
        <v>46303</v>
      </c>
      <c r="B7" s="3">
        <f>'08-10'!H1</f>
        <v>0</v>
      </c>
      <c r="C7" s="3">
        <f>'08-10'!H2</f>
        <v>2</v>
      </c>
      <c r="D7" s="4">
        <f t="shared" si="0"/>
        <v>2</v>
      </c>
      <c r="F7" s="3"/>
    </row>
    <row r="8" spans="1:6" ht="16.5" x14ac:dyDescent="0.25">
      <c r="A8" s="2">
        <v>46306</v>
      </c>
      <c r="B8" s="3">
        <f>'11-10'!H1</f>
        <v>16</v>
      </c>
      <c r="C8" s="3">
        <f>'11-10'!H2</f>
        <v>3</v>
      </c>
      <c r="D8" s="4">
        <f>B8+C8</f>
        <v>19</v>
      </c>
      <c r="F8" s="3"/>
    </row>
    <row r="9" spans="1:6" ht="16.5" x14ac:dyDescent="0.25">
      <c r="A9" s="2">
        <v>46307</v>
      </c>
      <c r="B9" s="3">
        <f>'12-10'!H1</f>
        <v>0</v>
      </c>
      <c r="C9" s="3">
        <f>'12-10'!H2</f>
        <v>1</v>
      </c>
      <c r="D9" s="4">
        <f>B9+C9</f>
        <v>1</v>
      </c>
      <c r="F9" s="3"/>
    </row>
    <row r="10" spans="1:6" ht="16.5" x14ac:dyDescent="0.25">
      <c r="A10" s="2">
        <v>46308</v>
      </c>
      <c r="B10" s="3">
        <f>'13-10'!H1</f>
        <v>3</v>
      </c>
      <c r="C10" s="3">
        <f>'13-10'!H2</f>
        <v>0</v>
      </c>
      <c r="D10" s="4">
        <f>B10+C10</f>
        <v>3</v>
      </c>
      <c r="F10" s="3"/>
    </row>
    <row r="11" spans="1:6" ht="16.5" x14ac:dyDescent="0.25">
      <c r="A11" s="2">
        <v>46309</v>
      </c>
      <c r="B11" s="3">
        <f>'14-10'!H1</f>
        <v>0</v>
      </c>
      <c r="C11" s="3">
        <f>'14-10'!H2</f>
        <v>3</v>
      </c>
      <c r="D11" s="4">
        <f>B11+C11</f>
        <v>3</v>
      </c>
      <c r="F11" s="3"/>
    </row>
    <row r="12" spans="1:6" ht="16.5" x14ac:dyDescent="0.25">
      <c r="A12" s="2">
        <v>46310</v>
      </c>
      <c r="B12" s="3">
        <f>'15-10'!H1</f>
        <v>4</v>
      </c>
      <c r="C12" s="3">
        <f>'15-10'!H2</f>
        <v>14</v>
      </c>
      <c r="D12" s="4">
        <f>B12+C12</f>
        <v>18</v>
      </c>
      <c r="F12" s="3"/>
    </row>
    <row r="13" spans="1:6" ht="16.5" x14ac:dyDescent="0.25">
      <c r="A13" s="2">
        <v>46313</v>
      </c>
      <c r="B13" s="3">
        <f>'18-10'!H1</f>
        <v>1</v>
      </c>
      <c r="C13" s="3">
        <f>'18-10'!H2</f>
        <v>7</v>
      </c>
      <c r="D13" s="4">
        <f>B13+C13</f>
        <v>8</v>
      </c>
      <c r="F13" s="3"/>
    </row>
    <row r="14" spans="1:6" ht="16.5" x14ac:dyDescent="0.25">
      <c r="A14" s="2">
        <v>46314</v>
      </c>
      <c r="B14" s="3">
        <f>'19-10'!H1</f>
        <v>0</v>
      </c>
      <c r="C14" s="3">
        <f>'19-10'!H2</f>
        <v>12</v>
      </c>
      <c r="D14" s="4">
        <f>B14+C14</f>
        <v>12</v>
      </c>
      <c r="F14" s="3"/>
    </row>
    <row r="15" spans="1:6" ht="16.5" x14ac:dyDescent="0.25">
      <c r="A15" s="2">
        <v>46315</v>
      </c>
      <c r="B15" s="3">
        <f>'20-10'!H1</f>
        <v>0</v>
      </c>
      <c r="C15" s="3">
        <f>'20-10'!H2</f>
        <v>0</v>
      </c>
      <c r="D15" s="4">
        <f>B15+C15</f>
        <v>0</v>
      </c>
      <c r="F15" s="3"/>
    </row>
    <row r="16" spans="1:6" ht="16.5" x14ac:dyDescent="0.25">
      <c r="A16" s="2"/>
      <c r="B16" s="3"/>
      <c r="C16" s="3"/>
      <c r="D16" s="4"/>
      <c r="F16" s="3"/>
    </row>
    <row r="17" spans="1:6" ht="16.5" x14ac:dyDescent="0.25">
      <c r="A17" s="2"/>
      <c r="B17" s="3"/>
      <c r="C17" s="3"/>
      <c r="D17" s="4"/>
      <c r="F17" s="3"/>
    </row>
    <row r="18" spans="1:6" ht="16.5" x14ac:dyDescent="0.25">
      <c r="A18" s="2"/>
      <c r="B18" s="3"/>
      <c r="C18" s="3"/>
      <c r="D18" s="4"/>
      <c r="F18" s="3"/>
    </row>
    <row r="19" spans="1:6" ht="16.5" x14ac:dyDescent="0.25">
      <c r="A19" s="2"/>
      <c r="B19" s="3"/>
      <c r="C19" s="3"/>
      <c r="D19" s="4"/>
      <c r="F19" s="3"/>
    </row>
    <row r="20" spans="1:6" ht="16.5" x14ac:dyDescent="0.25">
      <c r="A20" s="2"/>
      <c r="B20" s="3"/>
      <c r="C20" s="3"/>
      <c r="D20" s="4"/>
      <c r="F20" s="3"/>
    </row>
    <row r="21" spans="1:6" ht="16.5" x14ac:dyDescent="0.25">
      <c r="A21" s="2"/>
      <c r="B21" s="3"/>
      <c r="C21" s="3"/>
      <c r="D21" s="4"/>
      <c r="F21" s="3"/>
    </row>
    <row r="22" spans="1:6" ht="16.5" x14ac:dyDescent="0.25">
      <c r="A22" s="2"/>
      <c r="B22" s="3"/>
      <c r="C22" s="3"/>
      <c r="D22" s="4"/>
      <c r="F22" s="3"/>
    </row>
    <row r="23" spans="1:6" ht="16.5" x14ac:dyDescent="0.25">
      <c r="A23" s="2"/>
      <c r="B23" s="3"/>
      <c r="C23" s="3"/>
      <c r="D23" s="4"/>
      <c r="F23" s="3"/>
    </row>
    <row r="24" spans="1:6" ht="16.5" x14ac:dyDescent="0.25">
      <c r="A24" s="1" t="s">
        <v>5</v>
      </c>
      <c r="B24" s="5">
        <f>SUM(B2:B23)</f>
        <v>55</v>
      </c>
      <c r="C24" s="5">
        <f>SUM(C2:C23)</f>
        <v>55</v>
      </c>
      <c r="D24" s="5">
        <f>SUM(D2:D19)</f>
        <v>110</v>
      </c>
      <c r="E24" s="5"/>
      <c r="F24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27B32-66FD-4821-B5A5-DCC3BF3FE01D}">
  <sheetPr codeName="Feuil2"/>
  <dimension ref="A1:M42"/>
  <sheetViews>
    <sheetView topLeftCell="A3" workbookViewId="0">
      <selection sqref="A1:XFD1048576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1</v>
      </c>
      <c r="I2" s="9" t="s">
        <v>6</v>
      </c>
      <c r="J2" s="10">
        <f>COUNTIF(E20:E29,"VIDE")</f>
        <v>0</v>
      </c>
    </row>
    <row r="3" spans="1:10" s="7" customFormat="1" ht="25.5" x14ac:dyDescent="0.25">
      <c r="A3" s="65" t="s">
        <v>8</v>
      </c>
      <c r="B3" s="65"/>
      <c r="C3" s="65"/>
      <c r="D3" s="65"/>
      <c r="E3" s="65"/>
      <c r="F3" s="65"/>
      <c r="G3" s="65"/>
      <c r="H3" s="6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46296</v>
      </c>
    </row>
    <row r="6" spans="1:10" s="7" customFormat="1" thickBot="1" x14ac:dyDescent="0.3">
      <c r="A6" s="6"/>
      <c r="B6" s="13"/>
    </row>
    <row r="7" spans="1:10" s="7" customFormat="1" thickBot="1" x14ac:dyDescent="0.3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8"/>
      <c r="C8" s="19"/>
      <c r="D8" s="48"/>
      <c r="E8" s="48"/>
      <c r="F8" s="24"/>
      <c r="G8" s="20"/>
    </row>
    <row r="9" spans="1:10" ht="15.75" x14ac:dyDescent="0.25">
      <c r="A9" s="17">
        <v>2</v>
      </c>
      <c r="B9" s="22"/>
      <c r="C9" s="19"/>
      <c r="D9" s="23"/>
      <c r="E9" s="24"/>
      <c r="F9" s="24"/>
      <c r="G9" s="20"/>
    </row>
    <row r="10" spans="1:10" ht="15.75" x14ac:dyDescent="0.25">
      <c r="A10" s="17">
        <v>3</v>
      </c>
      <c r="B10" s="22"/>
      <c r="C10" s="19"/>
      <c r="D10" s="24"/>
      <c r="E10" s="24"/>
      <c r="F10" s="24"/>
      <c r="G10" s="20"/>
    </row>
    <row r="11" spans="1:10" ht="15.75" x14ac:dyDescent="0.25">
      <c r="A11" s="17">
        <v>4</v>
      </c>
      <c r="B11" s="22"/>
      <c r="C11" s="19"/>
      <c r="D11" s="24"/>
      <c r="E11" s="24"/>
      <c r="F11" s="24"/>
      <c r="G11" s="20"/>
    </row>
    <row r="12" spans="1:10" ht="15.75" x14ac:dyDescent="0.25">
      <c r="A12" s="17">
        <v>5</v>
      </c>
      <c r="B12" s="22"/>
      <c r="C12" s="19"/>
      <c r="D12" s="24"/>
      <c r="E12" s="25"/>
      <c r="F12" s="24"/>
      <c r="G12" s="20"/>
    </row>
    <row r="13" spans="1:10" ht="15.75" x14ac:dyDescent="0.25">
      <c r="A13" s="17">
        <v>6</v>
      </c>
      <c r="B13" s="22"/>
      <c r="C13" s="19"/>
      <c r="D13" s="24"/>
      <c r="E13" s="25"/>
      <c r="F13" s="24"/>
      <c r="G13" s="20"/>
    </row>
    <row r="14" spans="1:10" ht="15.75" x14ac:dyDescent="0.25">
      <c r="A14" s="17">
        <v>7</v>
      </c>
      <c r="B14" s="22"/>
      <c r="C14" s="19"/>
      <c r="D14" s="24"/>
      <c r="E14" s="25"/>
      <c r="F14" s="24"/>
      <c r="G14" s="20"/>
    </row>
    <row r="15" spans="1:10" ht="15.75" x14ac:dyDescent="0.25">
      <c r="A15" s="17">
        <v>8</v>
      </c>
      <c r="B15" s="22"/>
      <c r="C15" s="19"/>
      <c r="D15" s="26"/>
      <c r="E15" s="25"/>
      <c r="F15" s="24"/>
      <c r="G15" s="20"/>
    </row>
    <row r="16" spans="1:10" ht="15.75" x14ac:dyDescent="0.25">
      <c r="A16" s="6"/>
      <c r="B16" s="20"/>
      <c r="C16" s="7"/>
      <c r="D16" s="27"/>
      <c r="E16" s="27"/>
      <c r="F16" s="27"/>
      <c r="G16" s="7"/>
    </row>
    <row r="17" spans="1:13" ht="15.75" x14ac:dyDescent="0.25">
      <c r="A17" s="6"/>
      <c r="B17" s="11" t="s">
        <v>16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17</v>
      </c>
      <c r="C19" s="15" t="s">
        <v>18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8">
        <v>1</v>
      </c>
      <c r="B20" s="19">
        <v>1102026</v>
      </c>
      <c r="C20" s="29" t="s">
        <v>31</v>
      </c>
      <c r="D20" s="30" t="s">
        <v>32</v>
      </c>
      <c r="E20" s="31">
        <v>3611</v>
      </c>
      <c r="F20" s="31">
        <v>45</v>
      </c>
    </row>
    <row r="21" spans="1:13" ht="15.75" customHeight="1" x14ac:dyDescent="0.25">
      <c r="A21" s="28">
        <v>2</v>
      </c>
      <c r="B21" s="19"/>
      <c r="C21" s="29"/>
      <c r="D21" s="32"/>
      <c r="E21" s="32"/>
      <c r="F21" s="28"/>
      <c r="I21" s="33"/>
      <c r="J21" s="33"/>
      <c r="K21" s="33"/>
      <c r="L21" s="33"/>
      <c r="M21" s="33"/>
    </row>
    <row r="22" spans="1:13" ht="15.75" customHeight="1" x14ac:dyDescent="0.25">
      <c r="A22" s="28">
        <v>3</v>
      </c>
      <c r="B22" s="19"/>
      <c r="C22" s="29"/>
      <c r="D22" s="32"/>
      <c r="E22" s="32"/>
      <c r="F22" s="29"/>
      <c r="I22" s="33"/>
      <c r="J22" s="33"/>
      <c r="K22" s="33"/>
      <c r="L22" s="33"/>
      <c r="M22" s="33"/>
    </row>
    <row r="23" spans="1:13" ht="15.75" customHeight="1" x14ac:dyDescent="0.25">
      <c r="A23" s="28">
        <v>4</v>
      </c>
      <c r="B23" s="19"/>
      <c r="C23" s="29"/>
      <c r="D23" s="32"/>
      <c r="E23" s="32"/>
      <c r="F23" s="29"/>
      <c r="I23" s="33"/>
      <c r="J23" s="33"/>
      <c r="K23" s="33"/>
      <c r="L23" s="33"/>
      <c r="M23" s="33"/>
    </row>
    <row r="24" spans="1:13" ht="15.75" customHeight="1" x14ac:dyDescent="0.25">
      <c r="A24" s="28">
        <v>5</v>
      </c>
      <c r="B24" s="19"/>
      <c r="C24" s="29"/>
      <c r="D24" s="32"/>
      <c r="E24" s="32"/>
      <c r="F24" s="29"/>
      <c r="I24" s="33"/>
      <c r="J24" s="33"/>
      <c r="K24" s="33"/>
      <c r="L24" s="33"/>
      <c r="M24" s="33"/>
    </row>
    <row r="25" spans="1:13" ht="15.75" customHeight="1" x14ac:dyDescent="0.25">
      <c r="A25" s="28">
        <v>6</v>
      </c>
      <c r="B25" s="19"/>
      <c r="C25" s="29"/>
      <c r="D25" s="32"/>
      <c r="E25" s="32"/>
      <c r="F25" s="29"/>
      <c r="I25" s="33"/>
      <c r="J25" s="33"/>
      <c r="K25" s="33"/>
      <c r="L25" s="33"/>
      <c r="M25" s="33"/>
    </row>
    <row r="26" spans="1:13" ht="15.75" customHeight="1" x14ac:dyDescent="0.25">
      <c r="A26" s="28">
        <v>7</v>
      </c>
      <c r="B26" s="19"/>
      <c r="C26" s="29"/>
      <c r="D26" s="28"/>
      <c r="E26" s="32"/>
      <c r="F26" s="29"/>
      <c r="I26" s="33"/>
      <c r="J26" s="33"/>
      <c r="K26" s="33"/>
      <c r="L26" s="33"/>
      <c r="M26" s="33"/>
    </row>
    <row r="27" spans="1:13" x14ac:dyDescent="0.25">
      <c r="A27" s="28">
        <v>8</v>
      </c>
      <c r="B27" s="19"/>
      <c r="C27" s="29"/>
      <c r="D27" s="34"/>
      <c r="E27" s="32"/>
      <c r="F27" s="29"/>
    </row>
    <row r="28" spans="1:13" x14ac:dyDescent="0.25">
      <c r="A28" s="28">
        <v>9</v>
      </c>
      <c r="B28" s="19"/>
      <c r="C28" s="29"/>
      <c r="D28" s="30"/>
      <c r="E28" s="32"/>
      <c r="F28" s="29"/>
    </row>
    <row r="29" spans="1:13" x14ac:dyDescent="0.25">
      <c r="A29" s="28">
        <v>10</v>
      </c>
      <c r="B29" s="19"/>
      <c r="C29" s="35"/>
      <c r="D29" s="34"/>
      <c r="E29" s="32"/>
      <c r="F29" s="28"/>
    </row>
    <row r="30" spans="1:13" ht="15.75" customHeight="1" x14ac:dyDescent="0.25">
      <c r="A30" s="28">
        <v>11</v>
      </c>
      <c r="B30" s="19"/>
      <c r="C30" s="35"/>
      <c r="D30" s="36"/>
      <c r="E30" s="32"/>
      <c r="F30" s="28"/>
    </row>
    <row r="31" spans="1:13" ht="15.75" customHeight="1" x14ac:dyDescent="0.25">
      <c r="A31" s="37"/>
      <c r="B31" s="38"/>
      <c r="C31" s="39"/>
      <c r="D31"/>
      <c r="E31" s="40"/>
      <c r="F31" s="37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28">
        <v>1</v>
      </c>
      <c r="B35" s="19">
        <v>1102026</v>
      </c>
      <c r="C35" s="34" t="s">
        <v>23</v>
      </c>
      <c r="D35" s="30" t="s">
        <v>24</v>
      </c>
      <c r="E35" s="41">
        <v>3614</v>
      </c>
      <c r="F35" s="41">
        <v>45</v>
      </c>
    </row>
    <row r="36" spans="1:6" ht="15.75" customHeight="1" x14ac:dyDescent="0.25">
      <c r="A36" s="28">
        <v>2</v>
      </c>
      <c r="B36" s="19">
        <v>1102026</v>
      </c>
      <c r="C36" s="30" t="s">
        <v>25</v>
      </c>
      <c r="D36" s="31"/>
      <c r="E36" s="41">
        <v>3615</v>
      </c>
      <c r="F36" s="41">
        <v>40</v>
      </c>
    </row>
    <row r="37" spans="1:6" ht="15.75" customHeight="1" x14ac:dyDescent="0.25">
      <c r="A37" s="28">
        <v>3</v>
      </c>
      <c r="B37" s="19">
        <v>1102026</v>
      </c>
      <c r="C37" s="34" t="s">
        <v>26</v>
      </c>
      <c r="D37" s="31"/>
      <c r="E37" s="41">
        <v>3616</v>
      </c>
      <c r="F37" s="41">
        <v>40</v>
      </c>
    </row>
    <row r="38" spans="1:6" ht="15.75" customHeight="1" x14ac:dyDescent="0.25">
      <c r="A38" s="28">
        <v>4</v>
      </c>
      <c r="B38" s="19">
        <v>1102026</v>
      </c>
      <c r="C38" s="34" t="s">
        <v>27</v>
      </c>
      <c r="D38" s="34" t="s">
        <v>29</v>
      </c>
      <c r="E38" s="41">
        <v>3617</v>
      </c>
      <c r="F38" s="41">
        <v>40</v>
      </c>
    </row>
    <row r="39" spans="1:6" ht="15.75" customHeight="1" x14ac:dyDescent="0.25">
      <c r="A39" s="28">
        <v>5</v>
      </c>
      <c r="B39" s="19">
        <v>1102026</v>
      </c>
      <c r="C39" s="34" t="s">
        <v>28</v>
      </c>
      <c r="D39" s="34" t="s">
        <v>30</v>
      </c>
      <c r="E39" s="41">
        <v>3618</v>
      </c>
      <c r="F39" s="41">
        <v>40</v>
      </c>
    </row>
    <row r="40" spans="1:6" x14ac:dyDescent="0.25">
      <c r="A40" s="42">
        <v>6</v>
      </c>
      <c r="B40" s="19"/>
      <c r="C40" s="28"/>
      <c r="D40" s="43"/>
      <c r="E40" s="31"/>
      <c r="F40" s="31"/>
    </row>
    <row r="41" spans="1:6" x14ac:dyDescent="0.25">
      <c r="A41" s="42">
        <v>7</v>
      </c>
      <c r="B41" s="19"/>
      <c r="C41" s="31"/>
      <c r="D41" s="28"/>
      <c r="E41" s="31"/>
      <c r="F41" s="28"/>
    </row>
    <row r="42" spans="1:6" x14ac:dyDescent="0.25">
      <c r="F42" s="44"/>
    </row>
  </sheetData>
  <mergeCells count="1">
    <mergeCell ref="A3:H3"/>
  </mergeCells>
  <dataValidations count="2">
    <dataValidation type="list" allowBlank="1" showInputMessage="1" showErrorMessage="1" sqref="F8:F15" xr:uid="{E4792156-D329-4B1D-9561-18D927C5909F}">
      <formula1>"20,40,45,50"</formula1>
      <formula2>0</formula2>
    </dataValidation>
    <dataValidation type="list" allowBlank="1" showInputMessage="1" showErrorMessage="1" sqref="F41 F16" xr:uid="{E580AEA6-B8E2-400E-9C98-01310A5A125D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F543D-4975-46C5-B25F-16F918CE2918}">
  <sheetPr codeName="Feuil3"/>
  <dimension ref="A1:M42"/>
  <sheetViews>
    <sheetView workbookViewId="0">
      <selection activeCell="I7" sqref="I7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5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3</v>
      </c>
      <c r="I2" s="9" t="s">
        <v>6</v>
      </c>
      <c r="J2" s="10">
        <f>COUNTIF(E20:E29,"VIDE")</f>
        <v>0</v>
      </c>
    </row>
    <row r="3" spans="1:10" s="7" customFormat="1" ht="25.5" x14ac:dyDescent="0.25">
      <c r="A3" s="65" t="s">
        <v>8</v>
      </c>
      <c r="B3" s="65"/>
      <c r="C3" s="65"/>
      <c r="D3" s="65"/>
      <c r="E3" s="65"/>
      <c r="F3" s="65"/>
      <c r="G3" s="65"/>
      <c r="H3" s="6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46299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28" t="s">
        <v>45</v>
      </c>
      <c r="C8" s="19">
        <v>4102026</v>
      </c>
      <c r="D8" s="26" t="s">
        <v>33</v>
      </c>
      <c r="E8" s="26" t="s">
        <v>34</v>
      </c>
      <c r="F8" s="24" t="s">
        <v>35</v>
      </c>
      <c r="G8" s="20"/>
    </row>
    <row r="9" spans="1:10" ht="15.75" x14ac:dyDescent="0.25">
      <c r="A9" s="17">
        <v>2</v>
      </c>
      <c r="B9" s="46" t="s">
        <v>46</v>
      </c>
      <c r="C9" s="19">
        <v>4102026</v>
      </c>
      <c r="D9" s="24" t="s">
        <v>36</v>
      </c>
      <c r="E9" s="24" t="s">
        <v>37</v>
      </c>
      <c r="F9" s="24" t="s">
        <v>38</v>
      </c>
      <c r="G9" s="20"/>
    </row>
    <row r="10" spans="1:10" ht="15.75" x14ac:dyDescent="0.25">
      <c r="A10" s="17">
        <v>3</v>
      </c>
      <c r="B10" s="46" t="s">
        <v>46</v>
      </c>
      <c r="C10" s="19">
        <v>4102026</v>
      </c>
      <c r="D10" s="24" t="s">
        <v>39</v>
      </c>
      <c r="E10" s="24" t="s">
        <v>40</v>
      </c>
      <c r="F10" s="24" t="s">
        <v>38</v>
      </c>
      <c r="G10" s="20"/>
    </row>
    <row r="11" spans="1:10" ht="15.75" x14ac:dyDescent="0.25">
      <c r="A11" s="17">
        <v>4</v>
      </c>
      <c r="B11" s="46" t="s">
        <v>47</v>
      </c>
      <c r="C11" s="19">
        <v>4102026</v>
      </c>
      <c r="D11" s="24" t="s">
        <v>41</v>
      </c>
      <c r="E11" s="24" t="s">
        <v>42</v>
      </c>
      <c r="F11" s="24" t="s">
        <v>35</v>
      </c>
      <c r="G11" s="20"/>
    </row>
    <row r="12" spans="1:10" ht="15.75" x14ac:dyDescent="0.25">
      <c r="A12" s="17">
        <v>5</v>
      </c>
      <c r="B12" s="46" t="s">
        <v>47</v>
      </c>
      <c r="C12" s="19">
        <v>4102026</v>
      </c>
      <c r="D12" s="24" t="s">
        <v>43</v>
      </c>
      <c r="E12" s="25" t="s">
        <v>44</v>
      </c>
      <c r="F12" s="24" t="s">
        <v>35</v>
      </c>
      <c r="G12" s="20"/>
    </row>
    <row r="13" spans="1:10" ht="15.75" x14ac:dyDescent="0.25">
      <c r="A13" s="17">
        <v>6</v>
      </c>
      <c r="B13" s="45"/>
      <c r="C13" s="19"/>
      <c r="D13" s="24"/>
      <c r="E13" s="25"/>
      <c r="F13" s="24"/>
      <c r="G13" s="20"/>
    </row>
    <row r="14" spans="1:10" ht="15.75" x14ac:dyDescent="0.25">
      <c r="A14" s="17">
        <v>7</v>
      </c>
      <c r="B14" s="22"/>
      <c r="C14" s="19"/>
      <c r="D14" s="24"/>
      <c r="E14" s="25"/>
      <c r="F14" s="24"/>
      <c r="G14" s="20"/>
    </row>
    <row r="15" spans="1:10" ht="15.75" x14ac:dyDescent="0.25">
      <c r="A15" s="17">
        <v>8</v>
      </c>
      <c r="B15" s="22"/>
      <c r="C15" s="19"/>
      <c r="D15" s="26"/>
      <c r="E15" s="25"/>
      <c r="F15" s="24"/>
      <c r="G15" s="20"/>
    </row>
    <row r="16" spans="1:10" ht="15.75" x14ac:dyDescent="0.25">
      <c r="A16" s="6"/>
      <c r="B16" s="20"/>
      <c r="C16" s="7"/>
      <c r="D16" s="27"/>
      <c r="E16" s="27"/>
      <c r="F16" s="27"/>
      <c r="G16" s="7"/>
    </row>
    <row r="17" spans="1:13" ht="15.75" x14ac:dyDescent="0.25">
      <c r="A17" s="6"/>
      <c r="B17" s="11" t="s">
        <v>16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17</v>
      </c>
      <c r="C19" s="15" t="s">
        <v>18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8">
        <v>1</v>
      </c>
      <c r="B20" s="19">
        <v>4102026</v>
      </c>
      <c r="C20" s="29" t="s">
        <v>51</v>
      </c>
      <c r="D20" s="30" t="s">
        <v>48</v>
      </c>
      <c r="E20" s="31">
        <v>3666</v>
      </c>
      <c r="F20" s="31">
        <v>40</v>
      </c>
    </row>
    <row r="21" spans="1:13" ht="15.75" customHeight="1" x14ac:dyDescent="0.25">
      <c r="A21" s="28">
        <v>2</v>
      </c>
      <c r="B21" s="19">
        <v>4102026</v>
      </c>
      <c r="C21" s="29" t="s">
        <v>50</v>
      </c>
      <c r="D21" s="34" t="s">
        <v>49</v>
      </c>
      <c r="E21" s="47">
        <v>3669</v>
      </c>
      <c r="F21" s="31">
        <v>40</v>
      </c>
      <c r="I21" s="33"/>
      <c r="J21" s="33"/>
      <c r="K21" s="33"/>
      <c r="L21" s="33"/>
      <c r="M21" s="33"/>
    </row>
    <row r="22" spans="1:13" ht="15.75" customHeight="1" x14ac:dyDescent="0.25">
      <c r="A22" s="28">
        <v>3</v>
      </c>
      <c r="B22" s="19">
        <v>4102026</v>
      </c>
      <c r="C22" s="29" t="s">
        <v>54</v>
      </c>
      <c r="D22" s="26" t="s">
        <v>52</v>
      </c>
      <c r="E22" s="26" t="s">
        <v>53</v>
      </c>
      <c r="F22" s="24">
        <v>20</v>
      </c>
      <c r="I22" s="33"/>
      <c r="J22" s="33"/>
      <c r="K22" s="33"/>
      <c r="L22" s="33"/>
      <c r="M22" s="33"/>
    </row>
    <row r="23" spans="1:13" ht="15.75" customHeight="1" x14ac:dyDescent="0.25">
      <c r="A23" s="28">
        <v>4</v>
      </c>
      <c r="B23" s="19"/>
      <c r="C23" s="29"/>
      <c r="D23" s="32"/>
      <c r="E23" s="32"/>
      <c r="F23" s="29"/>
      <c r="I23" s="33"/>
      <c r="J23" s="33"/>
      <c r="K23" s="33"/>
      <c r="L23" s="33"/>
      <c r="M23" s="33"/>
    </row>
    <row r="24" spans="1:13" ht="15.75" customHeight="1" x14ac:dyDescent="0.25">
      <c r="A24" s="28">
        <v>5</v>
      </c>
      <c r="B24" s="19"/>
      <c r="C24" s="29"/>
      <c r="D24" s="32"/>
      <c r="E24" s="32"/>
      <c r="F24" s="29"/>
      <c r="I24" s="33"/>
      <c r="J24" s="33"/>
      <c r="K24" s="33"/>
      <c r="L24" s="33"/>
      <c r="M24" s="33"/>
    </row>
    <row r="25" spans="1:13" ht="15.75" customHeight="1" x14ac:dyDescent="0.25">
      <c r="A25" s="28">
        <v>6</v>
      </c>
      <c r="B25" s="19"/>
      <c r="C25" s="29"/>
      <c r="D25" s="32"/>
      <c r="E25" s="32"/>
      <c r="F25" s="29"/>
      <c r="I25" s="33"/>
      <c r="J25" s="33"/>
      <c r="K25" s="33"/>
      <c r="L25" s="33"/>
      <c r="M25" s="33"/>
    </row>
    <row r="26" spans="1:13" ht="15.75" customHeight="1" x14ac:dyDescent="0.25">
      <c r="A26" s="28">
        <v>7</v>
      </c>
      <c r="B26" s="19"/>
      <c r="C26" s="29"/>
      <c r="D26" s="28"/>
      <c r="E26" s="32"/>
      <c r="F26" s="29"/>
      <c r="I26" s="33"/>
      <c r="J26" s="33"/>
      <c r="K26" s="33"/>
      <c r="L26" s="33"/>
      <c r="M26" s="33"/>
    </row>
    <row r="27" spans="1:13" x14ac:dyDescent="0.25">
      <c r="A27" s="28">
        <v>8</v>
      </c>
      <c r="B27" s="19"/>
      <c r="C27" s="29"/>
      <c r="D27" s="34"/>
      <c r="E27" s="32"/>
      <c r="F27" s="29"/>
    </row>
    <row r="28" spans="1:13" x14ac:dyDescent="0.25">
      <c r="A28" s="28">
        <v>9</v>
      </c>
      <c r="B28" s="19"/>
      <c r="C28" s="29"/>
      <c r="D28" s="30"/>
      <c r="E28" s="32"/>
      <c r="F28" s="29"/>
    </row>
    <row r="29" spans="1:13" x14ac:dyDescent="0.25">
      <c r="A29" s="28">
        <v>10</v>
      </c>
      <c r="B29" s="19"/>
      <c r="C29" s="35"/>
      <c r="D29" s="34"/>
      <c r="E29" s="32"/>
      <c r="F29" s="28"/>
    </row>
    <row r="30" spans="1:13" ht="15.75" customHeight="1" x14ac:dyDescent="0.25">
      <c r="A30" s="28">
        <v>11</v>
      </c>
      <c r="B30" s="19"/>
      <c r="C30" s="35"/>
      <c r="D30" s="36"/>
      <c r="E30" s="32"/>
      <c r="F30" s="28"/>
    </row>
    <row r="31" spans="1:13" ht="15.75" customHeight="1" x14ac:dyDescent="0.25">
      <c r="A31" s="37"/>
      <c r="B31" s="38"/>
      <c r="C31" s="39"/>
      <c r="D31"/>
      <c r="E31" s="40"/>
      <c r="F31" s="37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28">
        <v>1</v>
      </c>
      <c r="B35" s="19"/>
      <c r="C35" s="34"/>
      <c r="D35" s="30"/>
      <c r="E35" s="41"/>
      <c r="F35" s="41"/>
    </row>
    <row r="36" spans="1:6" ht="15.75" customHeight="1" x14ac:dyDescent="0.25">
      <c r="A36" s="28">
        <v>2</v>
      </c>
      <c r="B36" s="19"/>
      <c r="C36" s="30"/>
      <c r="D36" s="31"/>
      <c r="E36" s="41"/>
      <c r="F36" s="41"/>
    </row>
    <row r="37" spans="1:6" ht="15.75" customHeight="1" x14ac:dyDescent="0.25">
      <c r="A37" s="28">
        <v>3</v>
      </c>
      <c r="B37" s="19"/>
      <c r="C37" s="34"/>
      <c r="D37" s="31"/>
      <c r="E37" s="41"/>
      <c r="F37" s="41"/>
    </row>
    <row r="38" spans="1:6" ht="15.75" customHeight="1" x14ac:dyDescent="0.25">
      <c r="A38" s="28">
        <v>4</v>
      </c>
      <c r="B38" s="19"/>
      <c r="C38" s="34"/>
      <c r="D38" s="34"/>
      <c r="E38" s="41"/>
      <c r="F38" s="41"/>
    </row>
    <row r="39" spans="1:6" ht="15.75" customHeight="1" x14ac:dyDescent="0.25">
      <c r="A39" s="28">
        <v>5</v>
      </c>
      <c r="B39" s="19"/>
      <c r="C39" s="34"/>
      <c r="D39" s="34"/>
      <c r="E39" s="41"/>
      <c r="F39" s="41"/>
    </row>
    <row r="40" spans="1:6" x14ac:dyDescent="0.25">
      <c r="A40" s="31">
        <v>6</v>
      </c>
      <c r="B40" s="19"/>
      <c r="C40" s="28"/>
      <c r="D40" s="43"/>
      <c r="E40" s="31"/>
      <c r="F40" s="31"/>
    </row>
    <row r="41" spans="1:6" x14ac:dyDescent="0.25">
      <c r="A41" s="31">
        <v>7</v>
      </c>
      <c r="B41" s="19"/>
      <c r="C41" s="31"/>
      <c r="D41" s="28"/>
      <c r="E41" s="31"/>
      <c r="F41" s="28"/>
    </row>
    <row r="42" spans="1:6" x14ac:dyDescent="0.25">
      <c r="F42" s="44"/>
    </row>
  </sheetData>
  <mergeCells count="1">
    <mergeCell ref="A3:H3"/>
  </mergeCells>
  <dataValidations count="2">
    <dataValidation type="list" allowBlank="1" showInputMessage="1" showErrorMessage="1" sqref="F41 F16" xr:uid="{2C47AF88-9A31-4D84-B329-10A92F3AA1C7}">
      <formula1>"20,40,45,50"</formula1>
    </dataValidation>
    <dataValidation type="list" allowBlank="1" showInputMessage="1" showErrorMessage="1" sqref="F8:F15 F21:F22" xr:uid="{06CE73C6-C0D9-4337-9429-05602BB111C3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CDFBC-7B67-49C8-BC1D-EC76810F57FF}">
  <sheetPr codeName="Feuil4"/>
  <dimension ref="A1:M42"/>
  <sheetViews>
    <sheetView workbookViewId="0">
      <selection activeCell="F38" activeCellId="2" sqref="C38 E38 F38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9</v>
      </c>
      <c r="I2" s="9" t="s">
        <v>6</v>
      </c>
      <c r="J2" s="10">
        <f>COUNTIF(E20:E29,"VIDE")</f>
        <v>0</v>
      </c>
    </row>
    <row r="3" spans="1:10" s="7" customFormat="1" ht="25.5" x14ac:dyDescent="0.25">
      <c r="A3" s="65" t="s">
        <v>8</v>
      </c>
      <c r="B3" s="65"/>
      <c r="C3" s="65"/>
      <c r="D3" s="65"/>
      <c r="E3" s="65"/>
      <c r="F3" s="65"/>
      <c r="G3" s="65"/>
      <c r="H3" s="6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46300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28"/>
      <c r="C8" s="19"/>
      <c r="D8" s="26"/>
      <c r="E8" s="26"/>
      <c r="F8" s="24"/>
      <c r="G8" s="20"/>
    </row>
    <row r="9" spans="1:10" ht="15.75" x14ac:dyDescent="0.25">
      <c r="A9" s="17">
        <v>2</v>
      </c>
      <c r="B9" s="46"/>
      <c r="C9" s="19"/>
      <c r="D9" s="24"/>
      <c r="E9" s="24"/>
      <c r="F9" s="24"/>
      <c r="G9" s="20"/>
    </row>
    <row r="10" spans="1:10" ht="15.75" x14ac:dyDescent="0.25">
      <c r="A10" s="17">
        <v>3</v>
      </c>
      <c r="B10" s="46"/>
      <c r="C10" s="19"/>
      <c r="D10" s="24"/>
      <c r="E10" s="24"/>
      <c r="F10" s="24"/>
      <c r="G10" s="20"/>
    </row>
    <row r="11" spans="1:10" ht="15.75" x14ac:dyDescent="0.25">
      <c r="A11" s="17">
        <v>4</v>
      </c>
      <c r="B11" s="46"/>
      <c r="C11" s="19"/>
      <c r="D11" s="24"/>
      <c r="E11" s="24"/>
      <c r="F11" s="24"/>
      <c r="G11" s="20"/>
    </row>
    <row r="12" spans="1:10" ht="15.75" x14ac:dyDescent="0.25">
      <c r="A12" s="17">
        <v>5</v>
      </c>
      <c r="B12" s="46"/>
      <c r="C12" s="19"/>
      <c r="D12" s="24"/>
      <c r="E12" s="25"/>
      <c r="F12" s="24"/>
      <c r="G12" s="20"/>
    </row>
    <row r="13" spans="1:10" ht="15.75" x14ac:dyDescent="0.25">
      <c r="A13" s="17">
        <v>6</v>
      </c>
      <c r="B13" s="45"/>
      <c r="C13" s="19"/>
      <c r="D13" s="24"/>
      <c r="E13" s="25"/>
      <c r="F13" s="24"/>
      <c r="G13" s="20"/>
    </row>
    <row r="14" spans="1:10" ht="15.75" x14ac:dyDescent="0.25">
      <c r="A14" s="17">
        <v>7</v>
      </c>
      <c r="B14" s="22"/>
      <c r="C14" s="19"/>
      <c r="D14" s="24"/>
      <c r="E14" s="25"/>
      <c r="F14" s="24"/>
      <c r="G14" s="20"/>
    </row>
    <row r="15" spans="1:10" ht="15.75" x14ac:dyDescent="0.25">
      <c r="A15" s="17">
        <v>8</v>
      </c>
      <c r="B15" s="22"/>
      <c r="C15" s="19"/>
      <c r="D15" s="26"/>
      <c r="E15" s="25"/>
      <c r="F15" s="24"/>
      <c r="G15" s="20"/>
    </row>
    <row r="16" spans="1:10" ht="15.75" x14ac:dyDescent="0.25">
      <c r="A16" s="6"/>
      <c r="B16" s="20"/>
      <c r="C16" s="7"/>
      <c r="D16" s="27"/>
      <c r="E16" s="27"/>
      <c r="F16" s="27"/>
      <c r="G16" s="7"/>
    </row>
    <row r="17" spans="1:13" ht="15.75" x14ac:dyDescent="0.25">
      <c r="A17" s="6"/>
      <c r="B17" s="11" t="s">
        <v>16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17</v>
      </c>
      <c r="C19" s="15" t="s">
        <v>18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8">
        <v>1</v>
      </c>
      <c r="B20" s="19">
        <v>5102026</v>
      </c>
      <c r="C20" s="29" t="s">
        <v>61</v>
      </c>
      <c r="D20" s="34" t="s">
        <v>27</v>
      </c>
      <c r="E20" s="41">
        <v>3617</v>
      </c>
      <c r="F20" s="31">
        <v>40</v>
      </c>
    </row>
    <row r="21" spans="1:13" ht="15.75" customHeight="1" x14ac:dyDescent="0.25">
      <c r="A21" s="28">
        <v>2</v>
      </c>
      <c r="B21" s="19">
        <v>5102026</v>
      </c>
      <c r="C21" s="29" t="s">
        <v>60</v>
      </c>
      <c r="D21" s="34" t="s">
        <v>28</v>
      </c>
      <c r="E21" s="41">
        <v>3618</v>
      </c>
      <c r="F21" s="31">
        <v>40</v>
      </c>
      <c r="I21" s="33"/>
      <c r="J21" s="33"/>
      <c r="K21" s="33"/>
      <c r="L21" s="33"/>
      <c r="M21" s="33"/>
    </row>
    <row r="22" spans="1:13" ht="15.75" customHeight="1" x14ac:dyDescent="0.25">
      <c r="A22" s="28">
        <v>3</v>
      </c>
      <c r="B22" s="19">
        <v>5102026</v>
      </c>
      <c r="C22" s="29" t="s">
        <v>63</v>
      </c>
      <c r="D22" s="32" t="s">
        <v>62</v>
      </c>
      <c r="E22" s="32">
        <v>3614</v>
      </c>
      <c r="F22" s="29">
        <v>45</v>
      </c>
      <c r="I22" s="33"/>
      <c r="J22" s="33"/>
      <c r="K22" s="33"/>
      <c r="L22" s="33"/>
      <c r="M22" s="33"/>
    </row>
    <row r="23" spans="1:13" ht="15.75" customHeight="1" x14ac:dyDescent="0.25">
      <c r="A23" s="28">
        <v>4</v>
      </c>
      <c r="B23" s="19">
        <v>5102026</v>
      </c>
      <c r="C23" s="29" t="s">
        <v>77</v>
      </c>
      <c r="D23" s="26" t="s">
        <v>64</v>
      </c>
      <c r="E23" s="24" t="s">
        <v>65</v>
      </c>
      <c r="F23" s="24" t="s">
        <v>35</v>
      </c>
      <c r="I23" s="33"/>
      <c r="J23" s="33"/>
      <c r="K23" s="33"/>
      <c r="L23" s="33"/>
      <c r="M23" s="33"/>
    </row>
    <row r="24" spans="1:13" ht="15.75" customHeight="1" x14ac:dyDescent="0.25">
      <c r="A24" s="28">
        <v>5</v>
      </c>
      <c r="B24" s="19">
        <v>5102026</v>
      </c>
      <c r="C24" s="29" t="s">
        <v>78</v>
      </c>
      <c r="D24" s="26" t="s">
        <v>66</v>
      </c>
      <c r="E24" s="24" t="s">
        <v>67</v>
      </c>
      <c r="F24" s="24" t="s">
        <v>38</v>
      </c>
      <c r="I24" s="33"/>
      <c r="J24" s="33"/>
      <c r="K24" s="33"/>
      <c r="L24" s="33"/>
      <c r="M24" s="33"/>
    </row>
    <row r="25" spans="1:13" ht="15.75" customHeight="1" x14ac:dyDescent="0.25">
      <c r="A25" s="28">
        <v>6</v>
      </c>
      <c r="B25" s="19">
        <v>5102026</v>
      </c>
      <c r="C25" s="29" t="s">
        <v>76</v>
      </c>
      <c r="D25" s="24" t="s">
        <v>68</v>
      </c>
      <c r="E25" s="24" t="s">
        <v>69</v>
      </c>
      <c r="F25" s="24" t="s">
        <v>38</v>
      </c>
      <c r="I25" s="33"/>
      <c r="J25" s="33"/>
      <c r="K25" s="33"/>
      <c r="L25" s="33"/>
      <c r="M25" s="33"/>
    </row>
    <row r="26" spans="1:13" ht="15.75" customHeight="1" x14ac:dyDescent="0.25">
      <c r="A26" s="28">
        <v>7</v>
      </c>
      <c r="B26" s="19">
        <v>5102026</v>
      </c>
      <c r="C26" s="29" t="s">
        <v>79</v>
      </c>
      <c r="D26" s="24" t="s">
        <v>70</v>
      </c>
      <c r="E26" s="24" t="s">
        <v>71</v>
      </c>
      <c r="F26" s="24" t="s">
        <v>38</v>
      </c>
      <c r="I26" s="33"/>
      <c r="J26" s="33"/>
      <c r="K26" s="33"/>
      <c r="L26" s="33"/>
      <c r="M26" s="33"/>
    </row>
    <row r="27" spans="1:13" x14ac:dyDescent="0.25">
      <c r="A27" s="28">
        <v>8</v>
      </c>
      <c r="B27" s="19">
        <v>5102026</v>
      </c>
      <c r="C27" s="29" t="s">
        <v>80</v>
      </c>
      <c r="D27" s="24" t="s">
        <v>72</v>
      </c>
      <c r="E27" s="24" t="s">
        <v>73</v>
      </c>
      <c r="F27" s="24">
        <v>40</v>
      </c>
    </row>
    <row r="28" spans="1:13" x14ac:dyDescent="0.25">
      <c r="A28" s="28">
        <v>9</v>
      </c>
      <c r="B28" s="19">
        <v>5102026</v>
      </c>
      <c r="C28" s="29" t="s">
        <v>81</v>
      </c>
      <c r="D28" s="24" t="s">
        <v>74</v>
      </c>
      <c r="E28" s="24" t="s">
        <v>75</v>
      </c>
      <c r="F28" s="24">
        <v>40</v>
      </c>
    </row>
    <row r="29" spans="1:13" x14ac:dyDescent="0.25">
      <c r="A29" s="28">
        <v>10</v>
      </c>
      <c r="B29" s="19"/>
      <c r="C29" s="35"/>
      <c r="D29" s="34"/>
      <c r="E29" s="32"/>
      <c r="F29" s="28"/>
    </row>
    <row r="30" spans="1:13" ht="15.75" customHeight="1" x14ac:dyDescent="0.25">
      <c r="A30" s="28">
        <v>11</v>
      </c>
      <c r="B30" s="19"/>
      <c r="C30" s="35"/>
      <c r="D30" s="36"/>
      <c r="E30" s="32"/>
      <c r="F30" s="28"/>
    </row>
    <row r="31" spans="1:13" ht="15.75" customHeight="1" x14ac:dyDescent="0.25">
      <c r="A31" s="37"/>
      <c r="B31" s="38"/>
      <c r="C31" s="39"/>
      <c r="D31"/>
      <c r="E31" s="40"/>
      <c r="F31" s="37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28">
        <v>1</v>
      </c>
      <c r="B35" s="19">
        <v>5102026</v>
      </c>
      <c r="C35" s="34" t="s">
        <v>55</v>
      </c>
      <c r="D35" s="31">
        <v>3715</v>
      </c>
      <c r="E35" s="41">
        <v>3621</v>
      </c>
      <c r="F35" s="41">
        <v>40</v>
      </c>
    </row>
    <row r="36" spans="1:6" ht="15.75" customHeight="1" x14ac:dyDescent="0.25">
      <c r="A36" s="28">
        <v>2</v>
      </c>
      <c r="B36" s="19">
        <v>5102026</v>
      </c>
      <c r="C36" s="34" t="s">
        <v>56</v>
      </c>
      <c r="D36" s="31">
        <v>3713</v>
      </c>
      <c r="E36" s="41">
        <v>3622</v>
      </c>
      <c r="F36" s="41">
        <v>40</v>
      </c>
    </row>
    <row r="37" spans="1:6" ht="15.75" customHeight="1" x14ac:dyDescent="0.25">
      <c r="A37" s="28">
        <v>3</v>
      </c>
      <c r="B37" s="19">
        <v>5102026</v>
      </c>
      <c r="C37" s="34" t="s">
        <v>57</v>
      </c>
      <c r="D37" s="31">
        <v>3716</v>
      </c>
      <c r="E37" s="41">
        <v>3623</v>
      </c>
      <c r="F37" s="41">
        <v>40</v>
      </c>
    </row>
    <row r="38" spans="1:6" ht="15.75" customHeight="1" x14ac:dyDescent="0.25">
      <c r="A38" s="28">
        <v>4</v>
      </c>
      <c r="B38" s="19">
        <v>5102026</v>
      </c>
      <c r="C38" s="26" t="s">
        <v>58</v>
      </c>
      <c r="D38" s="26" t="s">
        <v>59</v>
      </c>
      <c r="E38" s="31">
        <v>3620</v>
      </c>
      <c r="F38" s="24" t="s">
        <v>35</v>
      </c>
    </row>
    <row r="39" spans="1:6" ht="15.75" customHeight="1" x14ac:dyDescent="0.25">
      <c r="A39" s="28">
        <v>5</v>
      </c>
      <c r="B39" s="19"/>
      <c r="C39" s="34"/>
      <c r="D39" s="34"/>
      <c r="E39" s="41"/>
      <c r="F39" s="41"/>
    </row>
    <row r="40" spans="1:6" x14ac:dyDescent="0.25">
      <c r="A40" s="31">
        <v>6</v>
      </c>
      <c r="B40" s="19"/>
      <c r="C40" s="28"/>
      <c r="D40" s="43"/>
      <c r="E40" s="31"/>
      <c r="F40" s="31"/>
    </row>
    <row r="41" spans="1:6" x14ac:dyDescent="0.25">
      <c r="A41" s="31">
        <v>7</v>
      </c>
      <c r="B41" s="19"/>
      <c r="C41" s="31"/>
      <c r="D41" s="28"/>
      <c r="E41" s="31"/>
      <c r="F41" s="28"/>
    </row>
    <row r="42" spans="1:6" x14ac:dyDescent="0.25">
      <c r="F42" s="44"/>
    </row>
  </sheetData>
  <mergeCells count="1">
    <mergeCell ref="A3:H3"/>
  </mergeCells>
  <dataValidations count="2">
    <dataValidation type="list" allowBlank="1" showInputMessage="1" showErrorMessage="1" sqref="F8:F15 F21 F38 F23:F28" xr:uid="{B1D50973-C163-457B-B6A0-81FD3FC3B9BA}">
      <formula1>"20,40,45,50"</formula1>
      <formula2>0</formula2>
    </dataValidation>
    <dataValidation type="list" allowBlank="1" showInputMessage="1" showErrorMessage="1" sqref="F41 F16" xr:uid="{D73474D1-92DB-478B-93C4-9DC05452680F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6EF8D-37CA-4A31-8D52-A76DF0BB1357}">
  <sheetPr codeName="Feuil5"/>
  <dimension ref="A1:M44"/>
  <sheetViews>
    <sheetView workbookViewId="0">
      <selection activeCell="D15" sqref="D15:F15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COUNTIF(C8:C31,"&lt;&gt;")</f>
        <v>14</v>
      </c>
      <c r="I1" s="9" t="s">
        <v>6</v>
      </c>
    </row>
    <row r="2" spans="1:10" s="7" customFormat="1" ht="15.75" x14ac:dyDescent="0.25">
      <c r="A2" s="6"/>
      <c r="F2" s="8">
        <f>COUNTIFS(B36:B37,"&lt;&gt;",C36:C37,"VH")</f>
        <v>0</v>
      </c>
      <c r="G2" s="9" t="s">
        <v>7</v>
      </c>
      <c r="H2" s="8">
        <f>COUNTA(C36:C37)-F2</f>
        <v>0</v>
      </c>
      <c r="I2" s="9" t="s">
        <v>6</v>
      </c>
      <c r="J2" s="10">
        <f>COUNTIF(E36:E37,"VIDE")</f>
        <v>0</v>
      </c>
    </row>
    <row r="3" spans="1:10" s="7" customFormat="1" ht="25.5" x14ac:dyDescent="0.25">
      <c r="A3" s="65" t="s">
        <v>8</v>
      </c>
      <c r="B3" s="65"/>
      <c r="C3" s="65"/>
      <c r="D3" s="65"/>
      <c r="E3" s="65"/>
      <c r="F3" s="65"/>
      <c r="G3" s="65"/>
      <c r="H3" s="6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46301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66" t="s">
        <v>134</v>
      </c>
      <c r="C8" s="19">
        <v>6102026</v>
      </c>
      <c r="D8" s="52" t="s">
        <v>133</v>
      </c>
      <c r="E8" s="52" t="s">
        <v>132</v>
      </c>
      <c r="F8" s="53" t="s">
        <v>35</v>
      </c>
      <c r="G8" s="20"/>
    </row>
    <row r="9" spans="1:10" ht="15.75" x14ac:dyDescent="0.25">
      <c r="A9" s="17">
        <v>2</v>
      </c>
      <c r="B9" s="67"/>
      <c r="C9" s="19">
        <v>6102026</v>
      </c>
      <c r="D9" s="54" t="s">
        <v>131</v>
      </c>
      <c r="E9" s="51" t="s">
        <v>130</v>
      </c>
      <c r="F9" s="51" t="s">
        <v>35</v>
      </c>
      <c r="G9" s="20"/>
    </row>
    <row r="10" spans="1:10" ht="15.75" x14ac:dyDescent="0.25">
      <c r="A10" s="17">
        <v>3</v>
      </c>
      <c r="B10" s="67"/>
      <c r="C10" s="19">
        <v>6102026</v>
      </c>
      <c r="D10" s="51" t="s">
        <v>129</v>
      </c>
      <c r="E10" s="51" t="s">
        <v>128</v>
      </c>
      <c r="F10" s="51" t="s">
        <v>35</v>
      </c>
      <c r="G10" s="20"/>
    </row>
    <row r="11" spans="1:10" ht="15.75" x14ac:dyDescent="0.25">
      <c r="A11" s="17">
        <v>4</v>
      </c>
      <c r="B11" s="67"/>
      <c r="C11" s="19">
        <v>6102026</v>
      </c>
      <c r="D11" s="51" t="s">
        <v>127</v>
      </c>
      <c r="E11" s="51" t="s">
        <v>126</v>
      </c>
      <c r="F11" s="51" t="s">
        <v>35</v>
      </c>
      <c r="G11" s="20"/>
    </row>
    <row r="12" spans="1:10" ht="15.75" x14ac:dyDescent="0.25">
      <c r="A12" s="17">
        <v>5</v>
      </c>
      <c r="B12" s="67"/>
      <c r="C12" s="57"/>
      <c r="D12" s="51" t="s">
        <v>125</v>
      </c>
      <c r="E12" s="55" t="s">
        <v>124</v>
      </c>
      <c r="F12" s="51" t="s">
        <v>35</v>
      </c>
      <c r="G12" s="20"/>
    </row>
    <row r="13" spans="1:10" ht="15.75" x14ac:dyDescent="0.25">
      <c r="A13" s="17">
        <v>6</v>
      </c>
      <c r="B13" s="67"/>
      <c r="C13" s="57"/>
      <c r="D13" s="51" t="s">
        <v>123</v>
      </c>
      <c r="E13" s="55" t="s">
        <v>122</v>
      </c>
      <c r="F13" s="51" t="s">
        <v>35</v>
      </c>
      <c r="G13" s="20"/>
    </row>
    <row r="14" spans="1:10" ht="15.75" x14ac:dyDescent="0.25">
      <c r="A14" s="17">
        <v>7</v>
      </c>
      <c r="B14" s="67"/>
      <c r="C14" s="57"/>
      <c r="D14" s="51" t="s">
        <v>121</v>
      </c>
      <c r="E14" s="55" t="s">
        <v>120</v>
      </c>
      <c r="F14" s="51" t="s">
        <v>35</v>
      </c>
      <c r="G14" s="20"/>
    </row>
    <row r="15" spans="1:10" ht="15.75" x14ac:dyDescent="0.25">
      <c r="A15" s="17">
        <v>8</v>
      </c>
      <c r="B15" s="67"/>
      <c r="C15" s="19">
        <v>6102026</v>
      </c>
      <c r="D15" s="56" t="s">
        <v>119</v>
      </c>
      <c r="E15" s="55" t="s">
        <v>118</v>
      </c>
      <c r="F15" s="51" t="s">
        <v>35</v>
      </c>
      <c r="G15" s="20"/>
    </row>
    <row r="16" spans="1:10" ht="15.75" x14ac:dyDescent="0.25">
      <c r="A16" s="17">
        <v>9</v>
      </c>
      <c r="B16" s="67"/>
      <c r="C16" s="57"/>
      <c r="D16" s="56" t="s">
        <v>117</v>
      </c>
      <c r="E16" s="55" t="s">
        <v>116</v>
      </c>
      <c r="F16" s="51" t="s">
        <v>35</v>
      </c>
      <c r="G16" s="20"/>
    </row>
    <row r="17" spans="1:7" ht="15.75" x14ac:dyDescent="0.25">
      <c r="A17" s="17">
        <v>10</v>
      </c>
      <c r="B17" s="67"/>
      <c r="C17" s="19">
        <v>6102026</v>
      </c>
      <c r="D17" s="56" t="s">
        <v>115</v>
      </c>
      <c r="E17" s="55" t="s">
        <v>114</v>
      </c>
      <c r="F17" s="51" t="s">
        <v>35</v>
      </c>
      <c r="G17" s="20"/>
    </row>
    <row r="18" spans="1:7" ht="15.75" x14ac:dyDescent="0.25">
      <c r="A18" s="17">
        <v>11</v>
      </c>
      <c r="B18" s="67"/>
      <c r="C18" s="57"/>
      <c r="D18" s="51" t="s">
        <v>113</v>
      </c>
      <c r="E18" s="55" t="s">
        <v>112</v>
      </c>
      <c r="F18" s="51" t="s">
        <v>35</v>
      </c>
      <c r="G18" s="20"/>
    </row>
    <row r="19" spans="1:7" ht="15.75" x14ac:dyDescent="0.25">
      <c r="A19" s="17">
        <v>12</v>
      </c>
      <c r="B19" s="67"/>
      <c r="C19" s="19">
        <v>6102026</v>
      </c>
      <c r="D19" s="51" t="s">
        <v>111</v>
      </c>
      <c r="E19" s="51" t="s">
        <v>110</v>
      </c>
      <c r="F19" s="51" t="s">
        <v>35</v>
      </c>
      <c r="G19" s="20"/>
    </row>
    <row r="20" spans="1:7" ht="15.75" x14ac:dyDescent="0.25">
      <c r="A20" s="17">
        <v>13</v>
      </c>
      <c r="B20" s="67"/>
      <c r="C20" s="57"/>
      <c r="D20" s="51" t="s">
        <v>109</v>
      </c>
      <c r="E20" s="51" t="s">
        <v>108</v>
      </c>
      <c r="F20" s="51" t="s">
        <v>35</v>
      </c>
      <c r="G20" s="20"/>
    </row>
    <row r="21" spans="1:7" ht="15.75" x14ac:dyDescent="0.25">
      <c r="A21" s="17">
        <v>14</v>
      </c>
      <c r="B21" s="67"/>
      <c r="C21" s="57"/>
      <c r="D21" s="51" t="s">
        <v>107</v>
      </c>
      <c r="E21" s="51" t="s">
        <v>106</v>
      </c>
      <c r="F21" s="51" t="s">
        <v>35</v>
      </c>
      <c r="G21" s="20"/>
    </row>
    <row r="22" spans="1:7" ht="15.75" x14ac:dyDescent="0.25">
      <c r="A22" s="17">
        <v>15</v>
      </c>
      <c r="B22" s="67"/>
      <c r="C22" s="57"/>
      <c r="D22" s="51" t="s">
        <v>105</v>
      </c>
      <c r="E22" s="51" t="s">
        <v>104</v>
      </c>
      <c r="F22" s="51" t="s">
        <v>35</v>
      </c>
      <c r="G22" s="20"/>
    </row>
    <row r="23" spans="1:7" ht="15.75" x14ac:dyDescent="0.25">
      <c r="A23" s="17">
        <v>16</v>
      </c>
      <c r="B23" s="67"/>
      <c r="C23" s="57"/>
      <c r="D23" s="56" t="s">
        <v>103</v>
      </c>
      <c r="E23" s="56" t="s">
        <v>102</v>
      </c>
      <c r="F23" s="51" t="s">
        <v>35</v>
      </c>
      <c r="G23" s="20"/>
    </row>
    <row r="24" spans="1:7" ht="15.75" x14ac:dyDescent="0.25">
      <c r="A24" s="17">
        <v>17</v>
      </c>
      <c r="B24" s="67"/>
      <c r="C24" s="19">
        <v>6102026</v>
      </c>
      <c r="D24" s="56" t="s">
        <v>101</v>
      </c>
      <c r="E24" s="56" t="s">
        <v>100</v>
      </c>
      <c r="F24" s="51" t="s">
        <v>35</v>
      </c>
      <c r="G24" s="20"/>
    </row>
    <row r="25" spans="1:7" ht="15.75" x14ac:dyDescent="0.25">
      <c r="A25" s="17">
        <v>18</v>
      </c>
      <c r="B25" s="67"/>
      <c r="C25" s="19">
        <v>6102026</v>
      </c>
      <c r="D25" s="56" t="s">
        <v>99</v>
      </c>
      <c r="E25" s="56" t="s">
        <v>98</v>
      </c>
      <c r="F25" s="51" t="s">
        <v>35</v>
      </c>
      <c r="G25" s="20"/>
    </row>
    <row r="26" spans="1:7" ht="15.75" x14ac:dyDescent="0.25">
      <c r="A26" s="17">
        <v>19</v>
      </c>
      <c r="B26" s="67"/>
      <c r="C26" s="19">
        <v>6102026</v>
      </c>
      <c r="D26" s="56" t="s">
        <v>97</v>
      </c>
      <c r="E26" s="56" t="s">
        <v>96</v>
      </c>
      <c r="F26" s="51" t="s">
        <v>35</v>
      </c>
      <c r="G26" s="20"/>
    </row>
    <row r="27" spans="1:7" ht="15.75" x14ac:dyDescent="0.25">
      <c r="A27" s="17">
        <v>20</v>
      </c>
      <c r="B27" s="67"/>
      <c r="C27" s="19">
        <v>6102026</v>
      </c>
      <c r="D27" s="56" t="s">
        <v>95</v>
      </c>
      <c r="E27" s="56" t="s">
        <v>94</v>
      </c>
      <c r="F27" s="51" t="s">
        <v>35</v>
      </c>
      <c r="G27" s="20"/>
    </row>
    <row r="28" spans="1:7" ht="15.75" x14ac:dyDescent="0.25">
      <c r="A28" s="17">
        <v>21</v>
      </c>
      <c r="B28" s="67"/>
      <c r="C28" s="57"/>
      <c r="D28" s="56" t="s">
        <v>93</v>
      </c>
      <c r="E28" s="56" t="s">
        <v>92</v>
      </c>
      <c r="F28" s="51" t="s">
        <v>35</v>
      </c>
      <c r="G28" s="20"/>
    </row>
    <row r="29" spans="1:7" ht="15.75" x14ac:dyDescent="0.25">
      <c r="A29" s="17">
        <v>22</v>
      </c>
      <c r="B29" s="67"/>
      <c r="C29" s="19">
        <v>6102026</v>
      </c>
      <c r="D29" s="56" t="s">
        <v>91</v>
      </c>
      <c r="E29" s="56" t="s">
        <v>90</v>
      </c>
      <c r="F29" s="51" t="s">
        <v>35</v>
      </c>
      <c r="G29" s="20"/>
    </row>
    <row r="30" spans="1:7" ht="15.75" x14ac:dyDescent="0.25">
      <c r="A30" s="17">
        <v>23</v>
      </c>
      <c r="B30" s="67"/>
      <c r="C30" s="19">
        <v>6102026</v>
      </c>
      <c r="D30" s="56" t="s">
        <v>89</v>
      </c>
      <c r="E30" s="56" t="s">
        <v>88</v>
      </c>
      <c r="F30" s="51" t="s">
        <v>35</v>
      </c>
      <c r="G30" s="20"/>
    </row>
    <row r="31" spans="1:7" x14ac:dyDescent="0.25">
      <c r="A31" s="17">
        <v>24</v>
      </c>
      <c r="B31" s="68"/>
      <c r="C31" s="19">
        <v>6102026</v>
      </c>
      <c r="D31" s="56" t="s">
        <v>87</v>
      </c>
      <c r="E31" s="56" t="s">
        <v>86</v>
      </c>
      <c r="F31" s="51" t="s">
        <v>35</v>
      </c>
      <c r="G31" s="7"/>
    </row>
    <row r="32" spans="1:7" x14ac:dyDescent="0.25">
      <c r="A32" s="6"/>
      <c r="B32" s="49"/>
      <c r="C32" s="7"/>
      <c r="D32" s="50"/>
      <c r="E32" s="50"/>
      <c r="F32" s="49"/>
      <c r="G32" s="7"/>
    </row>
    <row r="33" spans="1:13" ht="15.75" x14ac:dyDescent="0.25">
      <c r="A33" s="6"/>
      <c r="B33" s="11" t="s">
        <v>16</v>
      </c>
    </row>
    <row r="34" spans="1:13" ht="15.75" thickBot="1" x14ac:dyDescent="0.3">
      <c r="A34" s="6"/>
      <c r="B34" s="13"/>
      <c r="C34" s="7"/>
      <c r="D34" s="7"/>
      <c r="E34" s="7"/>
      <c r="F34" s="7"/>
    </row>
    <row r="35" spans="1:13" x14ac:dyDescent="0.25">
      <c r="A35" s="14" t="s">
        <v>10</v>
      </c>
      <c r="B35" s="15" t="s">
        <v>17</v>
      </c>
      <c r="C35" s="15" t="s">
        <v>18</v>
      </c>
      <c r="D35" s="15" t="s">
        <v>13</v>
      </c>
      <c r="E35" s="15" t="s">
        <v>14</v>
      </c>
      <c r="F35" s="16" t="s">
        <v>15</v>
      </c>
    </row>
    <row r="36" spans="1:13" x14ac:dyDescent="0.25">
      <c r="A36" s="28">
        <v>1</v>
      </c>
      <c r="B36" s="19"/>
      <c r="C36" s="29"/>
      <c r="D36" s="30"/>
      <c r="E36" s="31"/>
      <c r="F36" s="31"/>
    </row>
    <row r="37" spans="1:13" ht="15.75" customHeight="1" x14ac:dyDescent="0.25">
      <c r="A37" s="28">
        <v>2</v>
      </c>
      <c r="B37" s="19"/>
      <c r="C37" s="29"/>
      <c r="D37" s="32"/>
      <c r="E37" s="32"/>
      <c r="F37" s="28"/>
      <c r="I37" s="33"/>
      <c r="J37" s="33"/>
      <c r="K37" s="33"/>
      <c r="L37" s="33"/>
      <c r="M37" s="33"/>
    </row>
    <row r="38" spans="1:13" ht="15.75" customHeight="1" x14ac:dyDescent="0.25">
      <c r="A38" s="37"/>
      <c r="B38" s="38"/>
      <c r="C38" s="39"/>
      <c r="D38"/>
      <c r="E38" s="40"/>
      <c r="F38" s="37"/>
    </row>
    <row r="39" spans="1:13" ht="15.75" x14ac:dyDescent="0.25">
      <c r="A39" s="6"/>
      <c r="B39" s="11" t="s">
        <v>19</v>
      </c>
      <c r="E39" s="7"/>
      <c r="F39" s="7"/>
    </row>
    <row r="40" spans="1:13" ht="15.75" thickBot="1" x14ac:dyDescent="0.3">
      <c r="A40" s="6"/>
      <c r="B40" s="13"/>
      <c r="C40" s="7"/>
      <c r="D40" s="7"/>
      <c r="E40" s="7"/>
      <c r="F40" s="7"/>
    </row>
    <row r="41" spans="1:13" x14ac:dyDescent="0.25">
      <c r="A41" s="14" t="s">
        <v>10</v>
      </c>
      <c r="B41" s="15" t="s">
        <v>20</v>
      </c>
      <c r="C41" s="15" t="s">
        <v>13</v>
      </c>
      <c r="D41" s="15" t="s">
        <v>21</v>
      </c>
      <c r="E41" s="15" t="s">
        <v>22</v>
      </c>
      <c r="F41" s="16" t="s">
        <v>15</v>
      </c>
    </row>
    <row r="42" spans="1:13" ht="15.75" customHeight="1" x14ac:dyDescent="0.25">
      <c r="A42" s="28">
        <v>1</v>
      </c>
      <c r="B42" s="19">
        <v>6102026</v>
      </c>
      <c r="C42" s="34" t="s">
        <v>82</v>
      </c>
      <c r="D42" s="30" t="s">
        <v>83</v>
      </c>
      <c r="E42" s="41">
        <v>3619</v>
      </c>
      <c r="F42" s="41">
        <v>40</v>
      </c>
    </row>
    <row r="43" spans="1:13" ht="15.75" customHeight="1" x14ac:dyDescent="0.25">
      <c r="A43" s="28">
        <v>2</v>
      </c>
      <c r="B43" s="19">
        <v>6102026</v>
      </c>
      <c r="C43" s="30" t="s">
        <v>84</v>
      </c>
      <c r="D43" s="31" t="s">
        <v>85</v>
      </c>
      <c r="E43" s="41">
        <v>3624</v>
      </c>
      <c r="F43" s="41">
        <v>40</v>
      </c>
    </row>
    <row r="44" spans="1:13" x14ac:dyDescent="0.25">
      <c r="F44" s="44"/>
    </row>
  </sheetData>
  <mergeCells count="2">
    <mergeCell ref="A3:H3"/>
    <mergeCell ref="B8:B31"/>
  </mergeCells>
  <dataValidations count="1">
    <dataValidation type="list" allowBlank="1" showInputMessage="1" showErrorMessage="1" sqref="F8:F32" xr:uid="{F37D934B-5D51-4F04-83AC-DE8D0264A666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60496-9B69-4504-85DD-0BDC7520975C}">
  <sheetPr codeName="Feuil6"/>
  <dimension ref="A1:M38"/>
  <sheetViews>
    <sheetView workbookViewId="0">
      <selection activeCell="B8" sqref="B8:D1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COUNTIF(C8:C20,"&lt;&gt;")</f>
        <v>12</v>
      </c>
      <c r="I1" s="9" t="s">
        <v>6</v>
      </c>
    </row>
    <row r="2" spans="1:10" s="7" customFormat="1" ht="15.75" x14ac:dyDescent="0.25">
      <c r="A2" s="6"/>
      <c r="F2" s="8">
        <f>COUNTIFS(B27:B31,"&lt;&gt;",C27:C31,"VH")</f>
        <v>0</v>
      </c>
      <c r="G2" s="9" t="s">
        <v>7</v>
      </c>
      <c r="H2" s="8">
        <f>COUNTA(C27:C31)-F2</f>
        <v>0</v>
      </c>
      <c r="I2" s="9" t="s">
        <v>6</v>
      </c>
      <c r="J2" s="10">
        <f>COUNTIF(E27:E31,"VIDE")</f>
        <v>0</v>
      </c>
    </row>
    <row r="3" spans="1:10" s="7" customFormat="1" ht="25.5" x14ac:dyDescent="0.25">
      <c r="A3" s="65" t="s">
        <v>8</v>
      </c>
      <c r="B3" s="65"/>
      <c r="C3" s="65"/>
      <c r="D3" s="65"/>
      <c r="E3" s="65"/>
      <c r="F3" s="65"/>
      <c r="G3" s="65"/>
      <c r="H3" s="6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46302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69" t="s">
        <v>134</v>
      </c>
      <c r="C8" s="19">
        <v>7102026</v>
      </c>
      <c r="D8" s="28" t="s">
        <v>125</v>
      </c>
      <c r="E8" s="25" t="s">
        <v>124</v>
      </c>
      <c r="F8" s="28" t="s">
        <v>35</v>
      </c>
      <c r="G8" s="20"/>
    </row>
    <row r="9" spans="1:10" ht="15.75" x14ac:dyDescent="0.25">
      <c r="A9" s="28">
        <v>2</v>
      </c>
      <c r="B9" s="69"/>
      <c r="C9" s="19">
        <v>7102026</v>
      </c>
      <c r="D9" s="28" t="s">
        <v>123</v>
      </c>
      <c r="E9" s="25" t="s">
        <v>122</v>
      </c>
      <c r="F9" s="28" t="s">
        <v>35</v>
      </c>
      <c r="G9" s="20"/>
    </row>
    <row r="10" spans="1:10" ht="15.75" x14ac:dyDescent="0.25">
      <c r="A10" s="28">
        <v>3</v>
      </c>
      <c r="B10" s="69"/>
      <c r="C10" s="19">
        <v>7102026</v>
      </c>
      <c r="D10" s="28" t="s">
        <v>121</v>
      </c>
      <c r="E10" s="25" t="s">
        <v>120</v>
      </c>
      <c r="F10" s="28" t="s">
        <v>35</v>
      </c>
      <c r="G10" s="20"/>
    </row>
    <row r="11" spans="1:10" ht="15.75" x14ac:dyDescent="0.25">
      <c r="A11" s="28">
        <v>4</v>
      </c>
      <c r="B11" s="69"/>
      <c r="C11" s="19">
        <v>7102026</v>
      </c>
      <c r="D11" s="26" t="s">
        <v>117</v>
      </c>
      <c r="E11" s="25" t="s">
        <v>116</v>
      </c>
      <c r="F11" s="28" t="s">
        <v>35</v>
      </c>
      <c r="G11" s="20"/>
    </row>
    <row r="12" spans="1:10" ht="15.75" x14ac:dyDescent="0.25">
      <c r="A12" s="28">
        <v>5</v>
      </c>
      <c r="B12" s="69"/>
      <c r="C12" s="19">
        <v>7102026</v>
      </c>
      <c r="D12" s="28" t="s">
        <v>113</v>
      </c>
      <c r="E12" s="25" t="s">
        <v>112</v>
      </c>
      <c r="F12" s="28" t="s">
        <v>35</v>
      </c>
      <c r="G12" s="20"/>
    </row>
    <row r="13" spans="1:10" ht="15.75" x14ac:dyDescent="0.25">
      <c r="A13" s="28">
        <v>6</v>
      </c>
      <c r="B13" s="69"/>
      <c r="C13" s="19">
        <v>7102026</v>
      </c>
      <c r="D13" s="28" t="s">
        <v>109</v>
      </c>
      <c r="E13" s="28" t="s">
        <v>108</v>
      </c>
      <c r="F13" s="28" t="s">
        <v>35</v>
      </c>
      <c r="G13" s="20"/>
    </row>
    <row r="14" spans="1:10" ht="15.75" x14ac:dyDescent="0.25">
      <c r="A14" s="28">
        <v>7</v>
      </c>
      <c r="B14" s="69"/>
      <c r="C14" s="19">
        <v>7102026</v>
      </c>
      <c r="D14" s="28" t="s">
        <v>107</v>
      </c>
      <c r="E14" s="28" t="s">
        <v>106</v>
      </c>
      <c r="F14" s="28" t="s">
        <v>35</v>
      </c>
      <c r="G14" s="20"/>
    </row>
    <row r="15" spans="1:10" ht="15.75" x14ac:dyDescent="0.25">
      <c r="A15" s="28">
        <v>8</v>
      </c>
      <c r="B15" s="69"/>
      <c r="C15" s="19">
        <v>7102026</v>
      </c>
      <c r="D15" s="28" t="s">
        <v>105</v>
      </c>
      <c r="E15" s="28" t="s">
        <v>104</v>
      </c>
      <c r="F15" s="28" t="s">
        <v>35</v>
      </c>
      <c r="G15" s="20"/>
    </row>
    <row r="16" spans="1:10" ht="15.75" x14ac:dyDescent="0.25">
      <c r="A16" s="28">
        <v>9</v>
      </c>
      <c r="B16" s="69"/>
      <c r="C16" s="19">
        <v>7102026</v>
      </c>
      <c r="D16" s="26" t="s">
        <v>103</v>
      </c>
      <c r="E16" s="26" t="s">
        <v>102</v>
      </c>
      <c r="F16" s="28" t="s">
        <v>35</v>
      </c>
      <c r="G16" s="20"/>
    </row>
    <row r="17" spans="1:13" ht="15.75" x14ac:dyDescent="0.25">
      <c r="A17" s="28">
        <v>10</v>
      </c>
      <c r="B17" s="69"/>
      <c r="C17" s="19">
        <v>7102026</v>
      </c>
      <c r="D17" s="26" t="s">
        <v>93</v>
      </c>
      <c r="E17" s="26" t="s">
        <v>92</v>
      </c>
      <c r="F17" s="28" t="s">
        <v>35</v>
      </c>
      <c r="G17" s="20"/>
    </row>
    <row r="18" spans="1:13" ht="15.75" x14ac:dyDescent="0.25">
      <c r="A18" s="28">
        <v>11</v>
      </c>
      <c r="B18" s="69" t="s">
        <v>137</v>
      </c>
      <c r="C18" s="19">
        <v>7102026</v>
      </c>
      <c r="D18" s="26" t="s">
        <v>138</v>
      </c>
      <c r="E18" s="26" t="s">
        <v>135</v>
      </c>
      <c r="F18" s="24" t="s">
        <v>38</v>
      </c>
      <c r="G18" s="20"/>
    </row>
    <row r="19" spans="1:13" ht="15.75" x14ac:dyDescent="0.25">
      <c r="A19" s="28">
        <v>12</v>
      </c>
      <c r="B19" s="69"/>
      <c r="C19" s="19">
        <v>7102026</v>
      </c>
      <c r="D19" s="24" t="s">
        <v>139</v>
      </c>
      <c r="E19" s="24" t="s">
        <v>136</v>
      </c>
      <c r="F19" s="24" t="s">
        <v>38</v>
      </c>
      <c r="G19" s="20"/>
    </row>
    <row r="20" spans="1:13" ht="15.75" x14ac:dyDescent="0.25">
      <c r="A20" s="28">
        <v>13</v>
      </c>
      <c r="B20" s="28"/>
      <c r="C20" s="19"/>
      <c r="D20" s="26"/>
      <c r="E20" s="26"/>
      <c r="F20" s="28"/>
      <c r="G20" s="20"/>
    </row>
    <row r="21" spans="1:13" ht="15.75" x14ac:dyDescent="0.25">
      <c r="A21" s="6"/>
      <c r="B21" s="49"/>
      <c r="C21" s="38"/>
      <c r="D21" s="50"/>
      <c r="E21" s="50"/>
      <c r="F21" s="49"/>
      <c r="G21" s="20"/>
    </row>
    <row r="22" spans="1:13" ht="15.75" x14ac:dyDescent="0.25">
      <c r="A22" s="6"/>
      <c r="B22" s="49"/>
      <c r="C22" s="38"/>
      <c r="D22" s="50"/>
      <c r="E22" s="50"/>
      <c r="F22" s="49"/>
      <c r="G22" s="20"/>
    </row>
    <row r="23" spans="1:13" x14ac:dyDescent="0.25">
      <c r="A23" s="6"/>
      <c r="B23" s="49"/>
      <c r="C23" s="7"/>
      <c r="D23" s="50"/>
      <c r="E23" s="50"/>
      <c r="F23" s="49"/>
      <c r="G23" s="7"/>
    </row>
    <row r="24" spans="1:13" ht="15.75" x14ac:dyDescent="0.25">
      <c r="A24" s="6"/>
      <c r="B24" s="11" t="s">
        <v>16</v>
      </c>
    </row>
    <row r="25" spans="1:13" ht="15.75" thickBot="1" x14ac:dyDescent="0.3">
      <c r="A25" s="6"/>
      <c r="B25" s="13"/>
      <c r="C25" s="7"/>
      <c r="D25" s="7"/>
      <c r="E25" s="7"/>
      <c r="F25" s="7"/>
    </row>
    <row r="26" spans="1:13" x14ac:dyDescent="0.25">
      <c r="A26" s="14" t="s">
        <v>10</v>
      </c>
      <c r="B26" s="15" t="s">
        <v>17</v>
      </c>
      <c r="C26" s="15" t="s">
        <v>18</v>
      </c>
      <c r="D26" s="15" t="s">
        <v>13</v>
      </c>
      <c r="E26" s="15" t="s">
        <v>14</v>
      </c>
      <c r="F26" s="16" t="s">
        <v>15</v>
      </c>
    </row>
    <row r="27" spans="1:13" x14ac:dyDescent="0.25">
      <c r="A27" s="28">
        <v>1</v>
      </c>
      <c r="B27" s="19"/>
      <c r="C27" s="29"/>
      <c r="D27" s="30"/>
      <c r="E27" s="31"/>
      <c r="F27" s="31"/>
    </row>
    <row r="28" spans="1:13" ht="15.75" customHeight="1" x14ac:dyDescent="0.25">
      <c r="A28" s="28">
        <v>2</v>
      </c>
      <c r="B28" s="19"/>
      <c r="C28" s="29"/>
      <c r="D28" s="32"/>
      <c r="E28" s="32"/>
      <c r="F28" s="28"/>
      <c r="I28" s="33"/>
      <c r="J28" s="33"/>
      <c r="K28" s="33"/>
      <c r="L28" s="33"/>
      <c r="M28" s="33"/>
    </row>
    <row r="29" spans="1:13" ht="15.75" customHeight="1" x14ac:dyDescent="0.25">
      <c r="A29" s="28">
        <v>3</v>
      </c>
      <c r="B29" s="19"/>
      <c r="C29" s="29"/>
      <c r="D29" s="32"/>
      <c r="E29" s="32"/>
      <c r="F29" s="29"/>
      <c r="I29" s="33"/>
      <c r="J29" s="33"/>
      <c r="K29" s="33"/>
      <c r="L29" s="33"/>
      <c r="M29" s="33"/>
    </row>
    <row r="30" spans="1:13" ht="15.75" customHeight="1" x14ac:dyDescent="0.25">
      <c r="A30" s="28">
        <v>4</v>
      </c>
      <c r="B30" s="19"/>
      <c r="C30" s="29"/>
      <c r="D30" s="32"/>
      <c r="E30" s="32"/>
      <c r="F30" s="29"/>
      <c r="I30" s="33"/>
      <c r="J30" s="33"/>
      <c r="K30" s="33"/>
      <c r="L30" s="33"/>
      <c r="M30" s="33"/>
    </row>
    <row r="31" spans="1:13" ht="15.75" customHeight="1" x14ac:dyDescent="0.25">
      <c r="A31" s="28">
        <v>5</v>
      </c>
      <c r="B31" s="19"/>
      <c r="C31" s="29"/>
      <c r="D31" s="32"/>
      <c r="E31" s="32"/>
      <c r="F31" s="29"/>
      <c r="I31" s="33"/>
      <c r="J31" s="33"/>
      <c r="K31" s="33"/>
      <c r="L31" s="33"/>
      <c r="M31" s="33"/>
    </row>
    <row r="32" spans="1:13" ht="15.75" customHeight="1" x14ac:dyDescent="0.25">
      <c r="A32" s="37"/>
      <c r="B32" s="38"/>
      <c r="C32" s="39"/>
      <c r="D32"/>
      <c r="E32" s="40"/>
      <c r="F32" s="37"/>
    </row>
    <row r="33" spans="1:6" ht="15.75" x14ac:dyDescent="0.25">
      <c r="A33" s="6"/>
      <c r="B33" s="11" t="s">
        <v>19</v>
      </c>
      <c r="E33" s="7"/>
      <c r="F33" s="7"/>
    </row>
    <row r="34" spans="1:6" ht="15.75" thickBot="1" x14ac:dyDescent="0.3">
      <c r="A34" s="6"/>
      <c r="B34" s="13"/>
      <c r="C34" s="7"/>
      <c r="D34" s="7"/>
      <c r="E34" s="7"/>
      <c r="F34" s="7"/>
    </row>
    <row r="35" spans="1:6" x14ac:dyDescent="0.25">
      <c r="A35" s="14" t="s">
        <v>10</v>
      </c>
      <c r="B35" s="15" t="s">
        <v>20</v>
      </c>
      <c r="C35" s="15" t="s">
        <v>13</v>
      </c>
      <c r="D35" s="15" t="s">
        <v>21</v>
      </c>
      <c r="E35" s="15" t="s">
        <v>22</v>
      </c>
      <c r="F35" s="16" t="s">
        <v>15</v>
      </c>
    </row>
    <row r="36" spans="1:6" ht="15.75" customHeight="1" x14ac:dyDescent="0.25">
      <c r="A36" s="28">
        <v>1</v>
      </c>
      <c r="B36" s="19">
        <v>7102026</v>
      </c>
      <c r="C36" s="34" t="s">
        <v>140</v>
      </c>
      <c r="D36" s="30" t="s">
        <v>141</v>
      </c>
      <c r="E36" s="31">
        <v>3625</v>
      </c>
      <c r="F36" s="41">
        <v>40</v>
      </c>
    </row>
    <row r="37" spans="1:6" ht="15.75" customHeight="1" x14ac:dyDescent="0.25">
      <c r="A37" s="28">
        <v>2</v>
      </c>
      <c r="B37" s="19">
        <v>7102026</v>
      </c>
      <c r="C37" s="34" t="s">
        <v>142</v>
      </c>
      <c r="D37" s="30" t="s">
        <v>143</v>
      </c>
      <c r="E37" s="31">
        <v>3626</v>
      </c>
      <c r="F37" s="41">
        <v>40</v>
      </c>
    </row>
    <row r="38" spans="1:6" x14ac:dyDescent="0.25">
      <c r="F38" s="44"/>
    </row>
  </sheetData>
  <mergeCells count="3">
    <mergeCell ref="A3:H3"/>
    <mergeCell ref="B8:B17"/>
    <mergeCell ref="B18:B19"/>
  </mergeCells>
  <dataValidations count="1">
    <dataValidation type="list" allowBlank="1" showInputMessage="1" showErrorMessage="1" sqref="F8:F23" xr:uid="{0C7EFAEC-AA73-4A53-AC68-E55C58105268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96BBB-470D-48FB-B1B2-4DB920CC2013}">
  <sheetPr codeName="Feuil7"/>
  <dimension ref="A1:M40"/>
  <sheetViews>
    <sheetView workbookViewId="0">
      <selection sqref="A1:XFD1048576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COUNTIF(C8:C19,"&lt;&gt;")</f>
        <v>0</v>
      </c>
      <c r="I1" s="9" t="s">
        <v>6</v>
      </c>
    </row>
    <row r="2" spans="1:10" s="7" customFormat="1" ht="15.75" x14ac:dyDescent="0.25">
      <c r="A2" s="6"/>
      <c r="F2" s="8">
        <f>COUNTIFS(B26:B30,"&lt;&gt;",C26:C30,"VH")</f>
        <v>0</v>
      </c>
      <c r="G2" s="9" t="s">
        <v>7</v>
      </c>
      <c r="H2" s="8">
        <f>COUNTA(C26:C30)-F2</f>
        <v>2</v>
      </c>
      <c r="I2" s="9" t="s">
        <v>6</v>
      </c>
      <c r="J2" s="10">
        <f>COUNTIF(E26:E30,"VIDE")</f>
        <v>0</v>
      </c>
    </row>
    <row r="3" spans="1:10" s="7" customFormat="1" ht="25.5" x14ac:dyDescent="0.25">
      <c r="A3" s="65" t="s">
        <v>8</v>
      </c>
      <c r="B3" s="65"/>
      <c r="C3" s="65"/>
      <c r="D3" s="65"/>
      <c r="E3" s="65"/>
      <c r="F3" s="65"/>
      <c r="G3" s="65"/>
      <c r="H3" s="6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46303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58"/>
      <c r="C8" s="19"/>
      <c r="D8" s="28"/>
      <c r="E8" s="25"/>
      <c r="F8" s="28"/>
      <c r="G8" s="20"/>
    </row>
    <row r="9" spans="1:10" ht="15.75" x14ac:dyDescent="0.25">
      <c r="A9" s="28">
        <v>2</v>
      </c>
      <c r="B9" s="58"/>
      <c r="C9" s="19"/>
      <c r="D9" s="28"/>
      <c r="E9" s="25"/>
      <c r="F9" s="28"/>
      <c r="G9" s="20"/>
    </row>
    <row r="10" spans="1:10" ht="15.75" x14ac:dyDescent="0.25">
      <c r="A10" s="28">
        <v>3</v>
      </c>
      <c r="B10" s="58"/>
      <c r="C10" s="19"/>
      <c r="D10" s="28"/>
      <c r="E10" s="25"/>
      <c r="F10" s="28"/>
      <c r="G10" s="20"/>
    </row>
    <row r="11" spans="1:10" ht="15.75" x14ac:dyDescent="0.25">
      <c r="A11" s="28">
        <v>4</v>
      </c>
      <c r="B11" s="58"/>
      <c r="C11" s="19"/>
      <c r="D11" s="26"/>
      <c r="E11" s="25"/>
      <c r="F11" s="28"/>
      <c r="G11" s="20"/>
    </row>
    <row r="12" spans="1:10" ht="15.75" x14ac:dyDescent="0.25">
      <c r="A12" s="28">
        <v>5</v>
      </c>
      <c r="B12" s="58"/>
      <c r="C12" s="19"/>
      <c r="D12" s="28"/>
      <c r="E12" s="25"/>
      <c r="F12" s="28"/>
      <c r="G12" s="20"/>
    </row>
    <row r="13" spans="1:10" ht="15.75" x14ac:dyDescent="0.25">
      <c r="A13" s="28">
        <v>6</v>
      </c>
      <c r="B13" s="58"/>
      <c r="C13" s="19"/>
      <c r="D13" s="28"/>
      <c r="E13" s="28"/>
      <c r="F13" s="28"/>
      <c r="G13" s="20"/>
    </row>
    <row r="14" spans="1:10" ht="15.75" x14ac:dyDescent="0.25">
      <c r="A14" s="28">
        <v>7</v>
      </c>
      <c r="B14" s="58"/>
      <c r="C14" s="19"/>
      <c r="D14" s="28"/>
      <c r="E14" s="28"/>
      <c r="F14" s="28"/>
      <c r="G14" s="20"/>
    </row>
    <row r="15" spans="1:10" ht="15.75" x14ac:dyDescent="0.25">
      <c r="A15" s="28">
        <v>8</v>
      </c>
      <c r="B15" s="58"/>
      <c r="C15" s="19"/>
      <c r="D15" s="28"/>
      <c r="E15" s="28"/>
      <c r="F15" s="28"/>
      <c r="G15" s="20"/>
    </row>
    <row r="16" spans="1:10" ht="15.75" x14ac:dyDescent="0.25">
      <c r="A16" s="28">
        <v>9</v>
      </c>
      <c r="B16" s="58"/>
      <c r="C16" s="19"/>
      <c r="D16" s="26"/>
      <c r="E16" s="26"/>
      <c r="F16" s="28"/>
      <c r="G16" s="20"/>
    </row>
    <row r="17" spans="1:13" ht="15.75" x14ac:dyDescent="0.25">
      <c r="A17" s="28">
        <v>11</v>
      </c>
      <c r="B17" s="58"/>
      <c r="C17" s="19"/>
      <c r="D17" s="26"/>
      <c r="E17" s="26"/>
      <c r="F17" s="24"/>
      <c r="G17" s="20"/>
    </row>
    <row r="18" spans="1:13" ht="15.75" x14ac:dyDescent="0.25">
      <c r="A18" s="28">
        <v>12</v>
      </c>
      <c r="B18" s="58"/>
      <c r="C18" s="19"/>
      <c r="D18" s="24"/>
      <c r="E18" s="24"/>
      <c r="F18" s="24"/>
      <c r="G18" s="20"/>
    </row>
    <row r="19" spans="1:13" ht="15.75" x14ac:dyDescent="0.25">
      <c r="A19" s="28">
        <v>13</v>
      </c>
      <c r="B19" s="28"/>
      <c r="C19" s="19"/>
      <c r="D19" s="26"/>
      <c r="E19" s="26"/>
      <c r="F19" s="28"/>
      <c r="G19" s="20"/>
    </row>
    <row r="20" spans="1:13" ht="15.75" x14ac:dyDescent="0.25">
      <c r="A20" s="6"/>
      <c r="B20" s="49"/>
      <c r="C20" s="38"/>
      <c r="D20" s="50"/>
      <c r="E20" s="50"/>
      <c r="F20" s="49"/>
      <c r="G20" s="20"/>
    </row>
    <row r="21" spans="1:13" ht="15.75" x14ac:dyDescent="0.25">
      <c r="A21" s="6"/>
      <c r="B21" s="49"/>
      <c r="C21" s="38"/>
      <c r="D21" s="50"/>
      <c r="E21" s="50"/>
      <c r="F21" s="49"/>
      <c r="G21" s="20"/>
    </row>
    <row r="22" spans="1:13" x14ac:dyDescent="0.25">
      <c r="A22" s="6"/>
      <c r="B22" s="49"/>
      <c r="C22" s="7"/>
      <c r="D22" s="50"/>
      <c r="E22" s="50"/>
      <c r="F22" s="49"/>
      <c r="G22" s="7"/>
    </row>
    <row r="23" spans="1:13" ht="15.75" x14ac:dyDescent="0.25">
      <c r="A23" s="6"/>
      <c r="B23" s="11" t="s">
        <v>16</v>
      </c>
    </row>
    <row r="24" spans="1:13" ht="15.75" thickBot="1" x14ac:dyDescent="0.3">
      <c r="A24" s="6"/>
      <c r="B24" s="13"/>
      <c r="C24" s="7"/>
      <c r="D24" s="7"/>
      <c r="E24" s="7"/>
      <c r="F24" s="7"/>
    </row>
    <row r="25" spans="1:13" x14ac:dyDescent="0.25">
      <c r="A25" s="14" t="s">
        <v>10</v>
      </c>
      <c r="B25" s="15" t="s">
        <v>17</v>
      </c>
      <c r="C25" s="15" t="s">
        <v>18</v>
      </c>
      <c r="D25" s="15" t="s">
        <v>13</v>
      </c>
      <c r="E25" s="15" t="s">
        <v>14</v>
      </c>
      <c r="F25" s="16" t="s">
        <v>15</v>
      </c>
    </row>
    <row r="26" spans="1:13" x14ac:dyDescent="0.25">
      <c r="A26" s="28">
        <v>1</v>
      </c>
      <c r="B26" s="19">
        <v>8102026</v>
      </c>
      <c r="C26" s="29" t="s">
        <v>150</v>
      </c>
      <c r="D26" s="61" t="s">
        <v>82</v>
      </c>
      <c r="E26" s="31">
        <v>3619</v>
      </c>
      <c r="F26" s="31">
        <v>40</v>
      </c>
    </row>
    <row r="27" spans="1:13" ht="15.75" customHeight="1" x14ac:dyDescent="0.25">
      <c r="A27" s="28">
        <v>2</v>
      </c>
      <c r="B27" s="19">
        <v>8102026</v>
      </c>
      <c r="C27" s="29" t="s">
        <v>151</v>
      </c>
      <c r="D27" s="61" t="s">
        <v>140</v>
      </c>
      <c r="E27" s="32">
        <v>3625</v>
      </c>
      <c r="F27" s="28">
        <v>40</v>
      </c>
      <c r="I27" s="33"/>
      <c r="J27" s="33"/>
      <c r="K27" s="33"/>
      <c r="L27" s="33"/>
      <c r="M27" s="33"/>
    </row>
    <row r="28" spans="1:13" ht="15.75" customHeight="1" x14ac:dyDescent="0.25">
      <c r="A28" s="28">
        <v>3</v>
      </c>
      <c r="B28" s="19"/>
      <c r="C28" s="29"/>
      <c r="D28" s="32"/>
      <c r="E28" s="32"/>
      <c r="F28" s="29"/>
      <c r="I28" s="33"/>
      <c r="J28" s="33"/>
      <c r="K28" s="33"/>
      <c r="L28" s="33"/>
      <c r="M28" s="33"/>
    </row>
    <row r="29" spans="1:13" ht="15.75" customHeight="1" x14ac:dyDescent="0.25">
      <c r="A29" s="28">
        <v>4</v>
      </c>
      <c r="B29" s="19"/>
      <c r="C29" s="29"/>
      <c r="D29" s="32"/>
      <c r="E29" s="32"/>
      <c r="F29" s="29"/>
      <c r="I29" s="33"/>
      <c r="J29" s="33"/>
      <c r="K29" s="33"/>
      <c r="L29" s="33"/>
      <c r="M29" s="33"/>
    </row>
    <row r="30" spans="1:13" ht="15.75" customHeight="1" x14ac:dyDescent="0.25">
      <c r="A30" s="28">
        <v>5</v>
      </c>
      <c r="B30" s="19"/>
      <c r="C30" s="29"/>
      <c r="D30" s="32"/>
      <c r="E30" s="32"/>
      <c r="F30" s="29"/>
      <c r="I30" s="33"/>
      <c r="J30" s="33"/>
      <c r="K30" s="33"/>
      <c r="L30" s="33"/>
      <c r="M30" s="33"/>
    </row>
    <row r="31" spans="1:13" ht="15.75" customHeight="1" x14ac:dyDescent="0.25">
      <c r="A31" s="37"/>
      <c r="B31" s="38"/>
      <c r="C31" s="39"/>
      <c r="D31"/>
      <c r="E31" s="40"/>
      <c r="F31" s="37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28">
        <v>1</v>
      </c>
      <c r="B35" s="19">
        <v>8102026</v>
      </c>
      <c r="C35" s="24" t="s">
        <v>144</v>
      </c>
      <c r="D35" s="25" t="s">
        <v>145</v>
      </c>
      <c r="E35" s="31">
        <v>0</v>
      </c>
      <c r="F35" s="41">
        <v>40</v>
      </c>
    </row>
    <row r="36" spans="1:6" ht="15.75" customHeight="1" x14ac:dyDescent="0.25">
      <c r="A36" s="28">
        <v>2</v>
      </c>
      <c r="B36" s="19">
        <v>8102026</v>
      </c>
      <c r="C36" s="24" t="s">
        <v>146</v>
      </c>
      <c r="D36" s="25" t="s">
        <v>147</v>
      </c>
      <c r="E36" s="31">
        <v>3628</v>
      </c>
      <c r="F36" s="41">
        <v>40</v>
      </c>
    </row>
    <row r="37" spans="1:6" ht="15.75" customHeight="1" x14ac:dyDescent="0.25">
      <c r="A37" s="28">
        <v>3</v>
      </c>
      <c r="B37" s="19">
        <v>8102026</v>
      </c>
      <c r="C37" s="24" t="s">
        <v>148</v>
      </c>
      <c r="D37" s="25" t="s">
        <v>149</v>
      </c>
      <c r="E37" s="31">
        <v>3627</v>
      </c>
      <c r="F37" s="41">
        <v>40</v>
      </c>
    </row>
    <row r="38" spans="1:6" x14ac:dyDescent="0.25">
      <c r="A38" s="28">
        <v>4</v>
      </c>
      <c r="B38" s="59"/>
      <c r="C38" s="59"/>
      <c r="D38" s="59"/>
      <c r="E38" s="59"/>
      <c r="F38" s="60"/>
    </row>
    <row r="39" spans="1:6" x14ac:dyDescent="0.25">
      <c r="A39" s="28">
        <v>5</v>
      </c>
      <c r="B39" s="59"/>
      <c r="C39" s="59"/>
      <c r="D39" s="59"/>
      <c r="E39" s="59"/>
      <c r="F39" s="59"/>
    </row>
    <row r="40" spans="1:6" x14ac:dyDescent="0.25">
      <c r="A40" s="28">
        <v>6</v>
      </c>
      <c r="B40" s="59"/>
      <c r="C40" s="59"/>
      <c r="D40" s="59"/>
      <c r="E40" s="59"/>
      <c r="F40" s="59"/>
    </row>
  </sheetData>
  <mergeCells count="1">
    <mergeCell ref="A3:H3"/>
  </mergeCells>
  <dataValidations count="1">
    <dataValidation type="list" allowBlank="1" showInputMessage="1" showErrorMessage="1" sqref="F8:F22" xr:uid="{F2DFE3B4-6C0D-4702-A341-D78DBAF09A0B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9277F-0531-4D8C-A730-2360DF7F6B9D}">
  <sheetPr codeName="Feuil8"/>
  <dimension ref="A1:M43"/>
  <sheetViews>
    <sheetView topLeftCell="A6" workbookViewId="0">
      <selection activeCell="D23" sqref="D23:F23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COUNTIF(C8:C23,"&lt;&gt;")</f>
        <v>16</v>
      </c>
      <c r="I1" s="9" t="s">
        <v>6</v>
      </c>
    </row>
    <row r="2" spans="1:10" s="7" customFormat="1" ht="15.75" x14ac:dyDescent="0.25">
      <c r="A2" s="6"/>
      <c r="F2" s="8">
        <f>COUNTIFS(B29:B33,"&lt;&gt;",C29:C33,"VH")</f>
        <v>0</v>
      </c>
      <c r="G2" s="9" t="s">
        <v>7</v>
      </c>
      <c r="H2" s="8">
        <f>COUNTA(C29:C33)-F2</f>
        <v>3</v>
      </c>
      <c r="I2" s="9" t="s">
        <v>6</v>
      </c>
      <c r="J2" s="10">
        <f>COUNTIF(E29:E33,"VIDE")</f>
        <v>0</v>
      </c>
    </row>
    <row r="3" spans="1:10" s="7" customFormat="1" ht="25.5" x14ac:dyDescent="0.25">
      <c r="A3" s="65" t="s">
        <v>8</v>
      </c>
      <c r="B3" s="65"/>
      <c r="C3" s="65"/>
      <c r="D3" s="65"/>
      <c r="E3" s="65"/>
      <c r="F3" s="65"/>
      <c r="G3" s="65"/>
      <c r="H3" s="6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46306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28" t="s">
        <v>185</v>
      </c>
      <c r="C8" s="19">
        <v>11102026</v>
      </c>
      <c r="D8" s="26" t="s">
        <v>153</v>
      </c>
      <c r="E8" s="26" t="s">
        <v>154</v>
      </c>
      <c r="F8" s="24" t="s">
        <v>35</v>
      </c>
      <c r="G8" s="20"/>
    </row>
    <row r="9" spans="1:10" ht="15.75" x14ac:dyDescent="0.25">
      <c r="A9" s="28">
        <v>2</v>
      </c>
      <c r="B9" s="46" t="s">
        <v>186</v>
      </c>
      <c r="C9" s="19">
        <v>11102026</v>
      </c>
      <c r="D9" s="24" t="s">
        <v>155</v>
      </c>
      <c r="E9" s="24" t="s">
        <v>156</v>
      </c>
      <c r="F9" s="24" t="s">
        <v>38</v>
      </c>
      <c r="G9" s="20"/>
    </row>
    <row r="10" spans="1:10" ht="15.75" x14ac:dyDescent="0.25">
      <c r="A10" s="28">
        <v>3</v>
      </c>
      <c r="B10" s="70" t="s">
        <v>187</v>
      </c>
      <c r="C10" s="19">
        <v>11102026</v>
      </c>
      <c r="D10" s="24" t="s">
        <v>157</v>
      </c>
      <c r="E10" s="24" t="s">
        <v>158</v>
      </c>
      <c r="F10" s="24" t="s">
        <v>38</v>
      </c>
      <c r="G10" s="20"/>
    </row>
    <row r="11" spans="1:10" ht="15.75" x14ac:dyDescent="0.25">
      <c r="A11" s="28">
        <v>4</v>
      </c>
      <c r="B11" s="71"/>
      <c r="C11" s="19">
        <v>11102026</v>
      </c>
      <c r="D11" s="24" t="s">
        <v>159</v>
      </c>
      <c r="E11" s="24" t="s">
        <v>160</v>
      </c>
      <c r="F11" s="24" t="s">
        <v>38</v>
      </c>
      <c r="G11" s="20"/>
    </row>
    <row r="12" spans="1:10" ht="15.75" x14ac:dyDescent="0.25">
      <c r="A12" s="28">
        <v>5</v>
      </c>
      <c r="B12" s="71"/>
      <c r="C12" s="19">
        <v>11102026</v>
      </c>
      <c r="D12" s="24" t="s">
        <v>161</v>
      </c>
      <c r="E12" s="25" t="s">
        <v>162</v>
      </c>
      <c r="F12" s="24" t="s">
        <v>38</v>
      </c>
      <c r="G12" s="20"/>
    </row>
    <row r="13" spans="1:10" ht="15.75" x14ac:dyDescent="0.25">
      <c r="A13" s="28">
        <v>6</v>
      </c>
      <c r="B13" s="71"/>
      <c r="C13" s="19">
        <v>11102026</v>
      </c>
      <c r="D13" s="24" t="s">
        <v>163</v>
      </c>
      <c r="E13" s="25" t="s">
        <v>164</v>
      </c>
      <c r="F13" s="24" t="s">
        <v>38</v>
      </c>
      <c r="G13" s="20"/>
    </row>
    <row r="14" spans="1:10" ht="15.75" x14ac:dyDescent="0.25">
      <c r="A14" s="28">
        <v>7</v>
      </c>
      <c r="B14" s="71"/>
      <c r="C14" s="19">
        <v>11102026</v>
      </c>
      <c r="D14" s="24" t="s">
        <v>165</v>
      </c>
      <c r="E14" s="25" t="s">
        <v>166</v>
      </c>
      <c r="F14" s="24" t="s">
        <v>38</v>
      </c>
      <c r="G14" s="20"/>
    </row>
    <row r="15" spans="1:10" ht="15.75" x14ac:dyDescent="0.25">
      <c r="A15" s="28">
        <v>8</v>
      </c>
      <c r="B15" s="72"/>
      <c r="C15" s="19">
        <v>11102026</v>
      </c>
      <c r="D15" s="26" t="s">
        <v>167</v>
      </c>
      <c r="E15" s="25" t="s">
        <v>168</v>
      </c>
      <c r="F15" s="24" t="s">
        <v>38</v>
      </c>
      <c r="G15" s="20"/>
    </row>
    <row r="16" spans="1:10" ht="15.75" x14ac:dyDescent="0.25">
      <c r="A16" s="28">
        <v>9</v>
      </c>
      <c r="B16" s="70" t="s">
        <v>188</v>
      </c>
      <c r="C16" s="19">
        <v>11102026</v>
      </c>
      <c r="D16" s="26" t="s">
        <v>169</v>
      </c>
      <c r="E16" s="25" t="s">
        <v>170</v>
      </c>
      <c r="F16" s="24" t="s">
        <v>38</v>
      </c>
      <c r="G16" s="20"/>
    </row>
    <row r="17" spans="1:13" ht="15.75" x14ac:dyDescent="0.25">
      <c r="A17" s="28">
        <v>10</v>
      </c>
      <c r="B17" s="71"/>
      <c r="C17" s="19">
        <v>11102026</v>
      </c>
      <c r="D17" s="26" t="s">
        <v>171</v>
      </c>
      <c r="E17" s="25" t="s">
        <v>172</v>
      </c>
      <c r="F17" s="24" t="s">
        <v>38</v>
      </c>
      <c r="G17" s="20"/>
    </row>
    <row r="18" spans="1:13" ht="15.75" x14ac:dyDescent="0.25">
      <c r="A18" s="28">
        <v>11</v>
      </c>
      <c r="B18" s="71"/>
      <c r="C18" s="19">
        <v>11102026</v>
      </c>
      <c r="D18" s="24" t="s">
        <v>173</v>
      </c>
      <c r="E18" s="25" t="s">
        <v>174</v>
      </c>
      <c r="F18" s="24" t="s">
        <v>38</v>
      </c>
      <c r="G18" s="20"/>
    </row>
    <row r="19" spans="1:13" ht="15.75" x14ac:dyDescent="0.25">
      <c r="A19" s="28">
        <v>12</v>
      </c>
      <c r="B19" s="71"/>
      <c r="C19" s="19">
        <v>11102026</v>
      </c>
      <c r="D19" s="24" t="s">
        <v>175</v>
      </c>
      <c r="E19" s="24" t="s">
        <v>176</v>
      </c>
      <c r="F19" s="24" t="s">
        <v>38</v>
      </c>
      <c r="G19" s="20"/>
    </row>
    <row r="20" spans="1:13" ht="15.75" x14ac:dyDescent="0.25">
      <c r="A20" s="28">
        <v>13</v>
      </c>
      <c r="B20" s="71"/>
      <c r="C20" s="19">
        <v>11102026</v>
      </c>
      <c r="D20" s="24" t="s">
        <v>177</v>
      </c>
      <c r="E20" s="24" t="s">
        <v>178</v>
      </c>
      <c r="F20" s="24" t="s">
        <v>38</v>
      </c>
      <c r="G20" s="20"/>
    </row>
    <row r="21" spans="1:13" ht="15.75" x14ac:dyDescent="0.25">
      <c r="A21" s="28">
        <v>14</v>
      </c>
      <c r="B21" s="72"/>
      <c r="C21" s="19">
        <v>11102026</v>
      </c>
      <c r="D21" s="24" t="s">
        <v>179</v>
      </c>
      <c r="E21" s="24" t="s">
        <v>180</v>
      </c>
      <c r="F21" s="24" t="s">
        <v>38</v>
      </c>
      <c r="G21" s="20"/>
    </row>
    <row r="22" spans="1:13" ht="15.75" x14ac:dyDescent="0.25">
      <c r="A22" s="28">
        <v>15</v>
      </c>
      <c r="B22" s="46" t="s">
        <v>189</v>
      </c>
      <c r="C22" s="19">
        <v>11102026</v>
      </c>
      <c r="D22" s="24" t="s">
        <v>181</v>
      </c>
      <c r="E22" s="24" t="s">
        <v>182</v>
      </c>
      <c r="F22" s="24" t="s">
        <v>38</v>
      </c>
      <c r="G22" s="20"/>
    </row>
    <row r="23" spans="1:13" ht="15.75" x14ac:dyDescent="0.25">
      <c r="A23" s="28">
        <v>16</v>
      </c>
      <c r="B23" s="46" t="s">
        <v>190</v>
      </c>
      <c r="C23" s="19">
        <v>11102026</v>
      </c>
      <c r="D23" s="26" t="s">
        <v>183</v>
      </c>
      <c r="E23" s="26" t="s">
        <v>184</v>
      </c>
      <c r="F23" s="24" t="s">
        <v>35</v>
      </c>
      <c r="G23" s="20"/>
    </row>
    <row r="24" spans="1:13" ht="15.75" x14ac:dyDescent="0.25">
      <c r="A24" s="37"/>
      <c r="B24" s="37"/>
      <c r="C24" s="38"/>
      <c r="D24" s="62"/>
      <c r="E24" s="62"/>
      <c r="F24" s="37"/>
      <c r="G24" s="20"/>
    </row>
    <row r="25" spans="1:13" x14ac:dyDescent="0.25">
      <c r="A25" s="6"/>
      <c r="B25" s="49"/>
      <c r="C25" s="7"/>
      <c r="D25" s="50"/>
      <c r="E25" s="50"/>
      <c r="F25" s="49"/>
      <c r="G25" s="7"/>
    </row>
    <row r="26" spans="1:13" ht="15.75" x14ac:dyDescent="0.25">
      <c r="A26" s="6"/>
      <c r="B26" s="11" t="s">
        <v>16</v>
      </c>
    </row>
    <row r="27" spans="1:13" ht="15.75" thickBot="1" x14ac:dyDescent="0.3">
      <c r="A27" s="6"/>
      <c r="B27" s="13"/>
      <c r="C27" s="7"/>
      <c r="D27" s="7"/>
      <c r="E27" s="7"/>
      <c r="F27" s="7"/>
    </row>
    <row r="28" spans="1:13" x14ac:dyDescent="0.25">
      <c r="A28" s="14" t="s">
        <v>10</v>
      </c>
      <c r="B28" s="15" t="s">
        <v>17</v>
      </c>
      <c r="C28" s="15" t="s">
        <v>18</v>
      </c>
      <c r="D28" s="15" t="s">
        <v>13</v>
      </c>
      <c r="E28" s="15" t="s">
        <v>14</v>
      </c>
      <c r="F28" s="16" t="s">
        <v>15</v>
      </c>
    </row>
    <row r="29" spans="1:13" x14ac:dyDescent="0.25">
      <c r="A29" s="28">
        <v>1</v>
      </c>
      <c r="B29" s="19">
        <v>11102026</v>
      </c>
      <c r="C29" s="29" t="s">
        <v>152</v>
      </c>
      <c r="D29" s="61" t="s">
        <v>142</v>
      </c>
      <c r="E29" s="31">
        <v>3626</v>
      </c>
      <c r="F29" s="31">
        <v>40</v>
      </c>
    </row>
    <row r="30" spans="1:13" ht="15.75" customHeight="1" x14ac:dyDescent="0.25">
      <c r="A30" s="28">
        <v>2</v>
      </c>
      <c r="B30" s="19">
        <v>11102026</v>
      </c>
      <c r="C30" s="29" t="s">
        <v>201</v>
      </c>
      <c r="D30" s="61" t="s">
        <v>200</v>
      </c>
      <c r="E30" s="32">
        <v>3705</v>
      </c>
      <c r="F30" s="28">
        <v>40</v>
      </c>
      <c r="I30" s="33"/>
      <c r="J30" s="33"/>
      <c r="K30" s="33"/>
      <c r="L30" s="33"/>
      <c r="M30" s="33"/>
    </row>
    <row r="31" spans="1:13" ht="15.75" customHeight="1" x14ac:dyDescent="0.25">
      <c r="A31" s="28">
        <v>3</v>
      </c>
      <c r="B31" s="19">
        <v>11102026</v>
      </c>
      <c r="C31" s="29" t="s">
        <v>202</v>
      </c>
      <c r="D31" s="26" t="s">
        <v>58</v>
      </c>
      <c r="E31" s="31">
        <v>3620</v>
      </c>
      <c r="F31" s="24" t="s">
        <v>35</v>
      </c>
      <c r="I31" s="33"/>
      <c r="J31" s="33"/>
      <c r="K31" s="33"/>
      <c r="L31" s="33"/>
      <c r="M31" s="33"/>
    </row>
    <row r="32" spans="1:13" ht="15.75" customHeight="1" x14ac:dyDescent="0.25">
      <c r="A32" s="28">
        <v>4</v>
      </c>
      <c r="B32" s="19"/>
      <c r="C32" s="29"/>
      <c r="D32" s="32"/>
      <c r="E32" s="32"/>
      <c r="F32" s="29"/>
      <c r="I32" s="33"/>
      <c r="J32" s="33"/>
      <c r="K32" s="33"/>
      <c r="L32" s="33"/>
      <c r="M32" s="33"/>
    </row>
    <row r="33" spans="1:13" ht="15.75" customHeight="1" x14ac:dyDescent="0.25">
      <c r="A33" s="28">
        <v>5</v>
      </c>
      <c r="B33" s="19"/>
      <c r="C33" s="29"/>
      <c r="D33" s="32"/>
      <c r="E33" s="32"/>
      <c r="F33" s="29"/>
      <c r="I33" s="33"/>
      <c r="J33" s="33"/>
      <c r="K33" s="33"/>
      <c r="L33" s="33"/>
      <c r="M33" s="33"/>
    </row>
    <row r="34" spans="1:13" ht="15.75" customHeight="1" x14ac:dyDescent="0.25">
      <c r="A34" s="37"/>
      <c r="B34" s="38"/>
      <c r="C34" s="39"/>
      <c r="D34"/>
      <c r="E34" s="40"/>
      <c r="F34" s="37"/>
    </row>
    <row r="35" spans="1:13" ht="15.75" x14ac:dyDescent="0.25">
      <c r="A35" s="6"/>
      <c r="B35" s="11" t="s">
        <v>19</v>
      </c>
      <c r="E35" s="7"/>
      <c r="F35" s="7"/>
    </row>
    <row r="36" spans="1:13" ht="15.75" thickBot="1" x14ac:dyDescent="0.3">
      <c r="A36" s="6"/>
      <c r="B36" s="13"/>
      <c r="C36" s="7"/>
      <c r="D36" s="7"/>
      <c r="E36" s="7"/>
      <c r="F36" s="7"/>
    </row>
    <row r="37" spans="1:13" x14ac:dyDescent="0.25">
      <c r="A37" s="14" t="s">
        <v>10</v>
      </c>
      <c r="B37" s="15" t="s">
        <v>20</v>
      </c>
      <c r="C37" s="15" t="s">
        <v>13</v>
      </c>
      <c r="D37" s="15" t="s">
        <v>21</v>
      </c>
      <c r="E37" s="15" t="s">
        <v>22</v>
      </c>
      <c r="F37" s="16" t="s">
        <v>15</v>
      </c>
    </row>
    <row r="38" spans="1:13" ht="15.75" customHeight="1" x14ac:dyDescent="0.25">
      <c r="A38" s="28">
        <v>1</v>
      </c>
      <c r="B38" s="19">
        <v>11102026</v>
      </c>
      <c r="C38" s="28" t="s">
        <v>191</v>
      </c>
      <c r="D38" s="24" t="s">
        <v>192</v>
      </c>
      <c r="E38" s="32">
        <v>0</v>
      </c>
      <c r="F38" s="28">
        <v>40</v>
      </c>
    </row>
    <row r="39" spans="1:13" ht="15.75" customHeight="1" x14ac:dyDescent="0.25">
      <c r="A39" s="28">
        <v>2</v>
      </c>
      <c r="B39" s="19">
        <v>11102026</v>
      </c>
      <c r="C39" s="28" t="s">
        <v>193</v>
      </c>
      <c r="D39" s="28" t="s">
        <v>194</v>
      </c>
      <c r="E39" s="32">
        <v>3671</v>
      </c>
      <c r="F39" s="28" t="s">
        <v>35</v>
      </c>
    </row>
    <row r="40" spans="1:13" ht="15.75" customHeight="1" x14ac:dyDescent="0.25">
      <c r="A40" s="28">
        <v>3</v>
      </c>
      <c r="B40" s="19">
        <v>11102026</v>
      </c>
      <c r="C40" s="28" t="s">
        <v>195</v>
      </c>
      <c r="D40" s="28" t="s">
        <v>196</v>
      </c>
      <c r="E40" s="32">
        <v>3630</v>
      </c>
      <c r="F40" s="28" t="s">
        <v>38</v>
      </c>
    </row>
    <row r="41" spans="1:13" x14ac:dyDescent="0.25">
      <c r="A41" s="28">
        <v>4</v>
      </c>
      <c r="B41" s="19">
        <v>11102026</v>
      </c>
      <c r="C41" s="28" t="s">
        <v>197</v>
      </c>
      <c r="D41" s="28" t="s">
        <v>198</v>
      </c>
      <c r="E41" s="32">
        <v>3629</v>
      </c>
      <c r="F41" s="28" t="s">
        <v>38</v>
      </c>
    </row>
    <row r="42" spans="1:13" x14ac:dyDescent="0.25">
      <c r="A42" s="28">
        <v>5</v>
      </c>
      <c r="B42" s="19">
        <v>11102026</v>
      </c>
      <c r="C42" s="28" t="s">
        <v>199</v>
      </c>
      <c r="D42" s="28" t="s">
        <v>192</v>
      </c>
      <c r="E42" s="32">
        <v>0</v>
      </c>
      <c r="F42" s="28">
        <v>45</v>
      </c>
    </row>
    <row r="43" spans="1:13" x14ac:dyDescent="0.25">
      <c r="A43" s="28">
        <v>6</v>
      </c>
      <c r="B43" s="59"/>
      <c r="C43" s="59"/>
      <c r="D43" s="59"/>
      <c r="E43" s="59"/>
      <c r="F43" s="59"/>
    </row>
  </sheetData>
  <mergeCells count="3">
    <mergeCell ref="A3:H3"/>
    <mergeCell ref="B10:B15"/>
    <mergeCell ref="B16:B21"/>
  </mergeCells>
  <dataValidations count="1">
    <dataValidation type="list" allowBlank="1" showInputMessage="1" showErrorMessage="1" sqref="F8:F25 F38:F42 F31" xr:uid="{59A1728A-5F57-40ED-BA5C-963023DC64E0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09E17-8CE5-470B-81E0-265695749A6F}">
  <sheetPr codeName="Feuil9"/>
  <dimension ref="A1:M40"/>
  <sheetViews>
    <sheetView topLeftCell="A9" workbookViewId="0">
      <selection activeCell="F35" activeCellId="2" sqref="C35 E35 F35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COUNTIF(C8:C19,"&lt;&gt;")</f>
        <v>0</v>
      </c>
      <c r="I1" s="9" t="s">
        <v>6</v>
      </c>
    </row>
    <row r="2" spans="1:10" s="7" customFormat="1" ht="15.75" x14ac:dyDescent="0.25">
      <c r="A2" s="6"/>
      <c r="F2" s="8">
        <f>COUNTIFS(B26:B30,"&lt;&gt;",C26:C30,"VH")</f>
        <v>0</v>
      </c>
      <c r="G2" s="9" t="s">
        <v>7</v>
      </c>
      <c r="H2" s="8">
        <f>COUNTA(C26:C30)-F2</f>
        <v>1</v>
      </c>
      <c r="I2" s="9" t="s">
        <v>6</v>
      </c>
      <c r="J2" s="10">
        <f>COUNTIF(E26:E30,"VIDE")</f>
        <v>0</v>
      </c>
    </row>
    <row r="3" spans="1:10" s="7" customFormat="1" ht="25.5" x14ac:dyDescent="0.25">
      <c r="A3" s="65" t="s">
        <v>8</v>
      </c>
      <c r="B3" s="65"/>
      <c r="C3" s="65"/>
      <c r="D3" s="65"/>
      <c r="E3" s="65"/>
      <c r="F3" s="65"/>
      <c r="G3" s="65"/>
      <c r="H3" s="6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46307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58"/>
      <c r="C8" s="19"/>
      <c r="D8" s="28"/>
      <c r="E8" s="25"/>
      <c r="F8" s="28"/>
      <c r="G8" s="20"/>
    </row>
    <row r="9" spans="1:10" ht="15.75" x14ac:dyDescent="0.25">
      <c r="A9" s="28">
        <v>2</v>
      </c>
      <c r="B9" s="58"/>
      <c r="C9" s="19"/>
      <c r="D9" s="28"/>
      <c r="E9" s="25"/>
      <c r="F9" s="28"/>
      <c r="G9" s="20"/>
    </row>
    <row r="10" spans="1:10" ht="15.75" x14ac:dyDescent="0.25">
      <c r="A10" s="28">
        <v>3</v>
      </c>
      <c r="B10" s="58"/>
      <c r="C10" s="19"/>
      <c r="D10" s="28"/>
      <c r="E10" s="25"/>
      <c r="F10" s="28"/>
      <c r="G10" s="20"/>
    </row>
    <row r="11" spans="1:10" ht="15.75" x14ac:dyDescent="0.25">
      <c r="A11" s="28">
        <v>4</v>
      </c>
      <c r="B11" s="58"/>
      <c r="C11" s="19"/>
      <c r="D11" s="26"/>
      <c r="E11" s="25"/>
      <c r="F11" s="28"/>
      <c r="G11" s="20"/>
    </row>
    <row r="12" spans="1:10" ht="15.75" x14ac:dyDescent="0.25">
      <c r="A12" s="28">
        <v>5</v>
      </c>
      <c r="B12" s="58"/>
      <c r="C12" s="19"/>
      <c r="D12" s="28"/>
      <c r="E12" s="25"/>
      <c r="F12" s="28"/>
      <c r="G12" s="20"/>
    </row>
    <row r="13" spans="1:10" ht="15.75" x14ac:dyDescent="0.25">
      <c r="A13" s="28">
        <v>6</v>
      </c>
      <c r="B13" s="58"/>
      <c r="C13" s="19"/>
      <c r="D13" s="28"/>
      <c r="E13" s="28"/>
      <c r="F13" s="28"/>
      <c r="G13" s="20"/>
    </row>
    <row r="14" spans="1:10" ht="15.75" x14ac:dyDescent="0.25">
      <c r="A14" s="28">
        <v>7</v>
      </c>
      <c r="B14" s="58"/>
      <c r="C14" s="19"/>
      <c r="D14" s="28"/>
      <c r="E14" s="28"/>
      <c r="F14" s="28"/>
      <c r="G14" s="20"/>
    </row>
    <row r="15" spans="1:10" ht="15.75" x14ac:dyDescent="0.25">
      <c r="A15" s="28">
        <v>8</v>
      </c>
      <c r="B15" s="58"/>
      <c r="C15" s="19"/>
      <c r="D15" s="28"/>
      <c r="E15" s="28"/>
      <c r="F15" s="28"/>
      <c r="G15" s="20"/>
    </row>
    <row r="16" spans="1:10" ht="15.75" x14ac:dyDescent="0.25">
      <c r="A16" s="28">
        <v>9</v>
      </c>
      <c r="B16" s="58"/>
      <c r="C16" s="19"/>
      <c r="D16" s="26"/>
      <c r="E16" s="26"/>
      <c r="F16" s="28"/>
      <c r="G16" s="20"/>
    </row>
    <row r="17" spans="1:13" ht="15.75" x14ac:dyDescent="0.25">
      <c r="A17" s="28">
        <v>11</v>
      </c>
      <c r="B17" s="58"/>
      <c r="C17" s="19"/>
      <c r="D17" s="26"/>
      <c r="E17" s="26"/>
      <c r="F17" s="24"/>
      <c r="G17" s="20"/>
    </row>
    <row r="18" spans="1:13" ht="15.75" x14ac:dyDescent="0.25">
      <c r="A18" s="28">
        <v>12</v>
      </c>
      <c r="B18" s="58"/>
      <c r="C18" s="19"/>
      <c r="D18" s="24"/>
      <c r="E18" s="24"/>
      <c r="F18" s="24"/>
      <c r="G18" s="20"/>
    </row>
    <row r="19" spans="1:13" ht="15.75" x14ac:dyDescent="0.25">
      <c r="A19" s="28">
        <v>13</v>
      </c>
      <c r="B19" s="28"/>
      <c r="C19" s="19"/>
      <c r="D19" s="26"/>
      <c r="E19" s="26"/>
      <c r="F19" s="28"/>
      <c r="G19" s="20"/>
    </row>
    <row r="20" spans="1:13" ht="15.75" x14ac:dyDescent="0.25">
      <c r="A20" s="6"/>
      <c r="B20" s="49"/>
      <c r="C20" s="38"/>
      <c r="D20" s="50"/>
      <c r="E20" s="50"/>
      <c r="F20" s="49"/>
      <c r="G20" s="20"/>
    </row>
    <row r="21" spans="1:13" ht="15.75" x14ac:dyDescent="0.25">
      <c r="A21" s="6"/>
      <c r="B21" s="49"/>
      <c r="C21" s="38"/>
      <c r="D21" s="50"/>
      <c r="E21" s="50"/>
      <c r="F21" s="49"/>
      <c r="G21" s="20"/>
    </row>
    <row r="22" spans="1:13" x14ac:dyDescent="0.25">
      <c r="A22" s="6"/>
      <c r="B22" s="49"/>
      <c r="C22" s="7"/>
      <c r="D22" s="50"/>
      <c r="E22" s="50"/>
      <c r="F22" s="49"/>
      <c r="G22" s="7"/>
    </row>
    <row r="23" spans="1:13" ht="15.75" x14ac:dyDescent="0.25">
      <c r="A23" s="6"/>
      <c r="B23" s="11" t="s">
        <v>16</v>
      </c>
    </row>
    <row r="24" spans="1:13" ht="15.75" thickBot="1" x14ac:dyDescent="0.3">
      <c r="A24" s="6"/>
      <c r="B24" s="13"/>
      <c r="C24" s="7"/>
      <c r="D24" s="7"/>
      <c r="E24" s="7"/>
      <c r="F24" s="7"/>
    </row>
    <row r="25" spans="1:13" x14ac:dyDescent="0.25">
      <c r="A25" s="14" t="s">
        <v>10</v>
      </c>
      <c r="B25" s="15" t="s">
        <v>17</v>
      </c>
      <c r="C25" s="15" t="s">
        <v>18</v>
      </c>
      <c r="D25" s="15" t="s">
        <v>13</v>
      </c>
      <c r="E25" s="15" t="s">
        <v>14</v>
      </c>
      <c r="F25" s="16" t="s">
        <v>15</v>
      </c>
    </row>
    <row r="26" spans="1:13" x14ac:dyDescent="0.25">
      <c r="A26" s="28">
        <v>1</v>
      </c>
      <c r="B26" s="19">
        <v>12102026</v>
      </c>
      <c r="C26" s="29" t="s">
        <v>208</v>
      </c>
      <c r="D26" s="61" t="s">
        <v>209</v>
      </c>
      <c r="E26" s="63">
        <v>32460820</v>
      </c>
      <c r="F26" s="59">
        <v>40</v>
      </c>
    </row>
    <row r="27" spans="1:13" ht="15.75" customHeight="1" x14ac:dyDescent="0.25">
      <c r="A27" s="28">
        <v>2</v>
      </c>
      <c r="B27" s="19"/>
      <c r="C27" s="29"/>
      <c r="D27" s="61"/>
      <c r="E27" s="32"/>
      <c r="F27" s="28"/>
      <c r="I27" s="33"/>
      <c r="J27" s="33"/>
      <c r="K27" s="33"/>
      <c r="L27" s="33"/>
      <c r="M27" s="33"/>
    </row>
    <row r="28" spans="1:13" ht="15.75" customHeight="1" x14ac:dyDescent="0.25">
      <c r="A28" s="28">
        <v>3</v>
      </c>
      <c r="B28" s="19"/>
      <c r="C28" s="29"/>
      <c r="D28" s="32"/>
      <c r="E28" s="32"/>
      <c r="F28" s="29"/>
      <c r="I28" s="33"/>
      <c r="J28" s="33"/>
      <c r="K28" s="33"/>
      <c r="L28" s="33"/>
      <c r="M28" s="33"/>
    </row>
    <row r="29" spans="1:13" ht="15.75" customHeight="1" x14ac:dyDescent="0.25">
      <c r="A29" s="28">
        <v>4</v>
      </c>
      <c r="B29" s="19"/>
      <c r="C29" s="29"/>
      <c r="D29" s="32"/>
      <c r="E29" s="32"/>
      <c r="F29" s="29"/>
      <c r="I29" s="33"/>
      <c r="J29" s="33"/>
      <c r="K29" s="33"/>
      <c r="L29" s="33"/>
      <c r="M29" s="33"/>
    </row>
    <row r="30" spans="1:13" ht="15.75" customHeight="1" x14ac:dyDescent="0.25">
      <c r="A30" s="28">
        <v>5</v>
      </c>
      <c r="B30" s="19"/>
      <c r="C30" s="29"/>
      <c r="D30" s="32"/>
      <c r="E30" s="32"/>
      <c r="F30" s="29"/>
      <c r="I30" s="33"/>
      <c r="J30" s="33"/>
      <c r="K30" s="33"/>
      <c r="L30" s="33"/>
      <c r="M30" s="33"/>
    </row>
    <row r="31" spans="1:13" ht="15.75" customHeight="1" x14ac:dyDescent="0.25">
      <c r="A31" s="37"/>
      <c r="B31" s="38"/>
      <c r="C31" s="39"/>
      <c r="D31"/>
      <c r="E31" s="40"/>
      <c r="F31" s="37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28">
        <v>1</v>
      </c>
      <c r="B35" s="19">
        <v>12102026</v>
      </c>
      <c r="C35" s="30" t="s">
        <v>203</v>
      </c>
      <c r="D35" s="31" t="s">
        <v>204</v>
      </c>
      <c r="E35" s="31">
        <v>3672</v>
      </c>
      <c r="F35" s="28">
        <v>40</v>
      </c>
    </row>
    <row r="36" spans="1:6" ht="15.75" customHeight="1" x14ac:dyDescent="0.25">
      <c r="A36" s="28">
        <v>2</v>
      </c>
      <c r="B36" s="19">
        <v>12102026</v>
      </c>
      <c r="C36" s="31" t="s">
        <v>205</v>
      </c>
      <c r="D36" s="30">
        <v>2139541</v>
      </c>
      <c r="E36" s="31">
        <v>3673</v>
      </c>
      <c r="F36" s="28">
        <v>40</v>
      </c>
    </row>
    <row r="37" spans="1:6" ht="15.75" customHeight="1" x14ac:dyDescent="0.25">
      <c r="A37" s="28">
        <v>3</v>
      </c>
      <c r="B37" s="19">
        <v>12102026</v>
      </c>
      <c r="C37" s="31" t="s">
        <v>206</v>
      </c>
      <c r="D37" s="31" t="s">
        <v>207</v>
      </c>
      <c r="E37" s="31">
        <v>3674</v>
      </c>
      <c r="F37" s="28">
        <v>40</v>
      </c>
    </row>
    <row r="38" spans="1:6" x14ac:dyDescent="0.25">
      <c r="A38" s="28">
        <v>4</v>
      </c>
      <c r="B38" s="19">
        <v>12102026</v>
      </c>
      <c r="C38" s="31" t="s">
        <v>205</v>
      </c>
      <c r="D38" s="31">
        <v>3673</v>
      </c>
      <c r="E38" s="47">
        <v>3675</v>
      </c>
      <c r="F38" s="28">
        <v>40</v>
      </c>
    </row>
    <row r="39" spans="1:6" x14ac:dyDescent="0.25">
      <c r="A39" s="28">
        <v>5</v>
      </c>
      <c r="B39" s="59"/>
      <c r="C39" s="59"/>
      <c r="D39" s="59"/>
      <c r="E39" s="59"/>
      <c r="F39" s="59"/>
    </row>
    <row r="40" spans="1:6" x14ac:dyDescent="0.25">
      <c r="A40" s="28">
        <v>6</v>
      </c>
      <c r="B40" s="59"/>
      <c r="C40" s="59"/>
      <c r="D40" s="59"/>
      <c r="E40" s="59"/>
      <c r="F40" s="59"/>
    </row>
  </sheetData>
  <mergeCells count="1">
    <mergeCell ref="A3:H3"/>
  </mergeCells>
  <dataValidations count="1">
    <dataValidation type="list" allowBlank="1" showInputMessage="1" showErrorMessage="1" sqref="F8:F22" xr:uid="{7525A792-665F-4247-9C0B-045671E982E8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0AB76-816B-4073-971C-3BEE45E25848}">
  <sheetPr codeName="Feuil10"/>
  <dimension ref="A1:M41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COUNTIF(C8:C19,"&lt;&gt;")</f>
        <v>3</v>
      </c>
      <c r="I1" s="9" t="s">
        <v>6</v>
      </c>
    </row>
    <row r="2" spans="1:10" s="7" customFormat="1" ht="15.75" x14ac:dyDescent="0.25">
      <c r="A2" s="6"/>
      <c r="F2" s="8">
        <f>COUNTIFS(B26:B30,"&lt;&gt;",C26:C30,"VH")</f>
        <v>0</v>
      </c>
      <c r="G2" s="9" t="s">
        <v>7</v>
      </c>
      <c r="H2" s="8">
        <f>COUNTA(C26:C30)-F2</f>
        <v>0</v>
      </c>
      <c r="I2" s="9" t="s">
        <v>6</v>
      </c>
      <c r="J2" s="10">
        <f>COUNTIF(E26:E30,"VIDE")</f>
        <v>0</v>
      </c>
    </row>
    <row r="3" spans="1:10" s="7" customFormat="1" ht="25.5" x14ac:dyDescent="0.25">
      <c r="A3" s="65" t="s">
        <v>8</v>
      </c>
      <c r="B3" s="65"/>
      <c r="C3" s="65"/>
      <c r="D3" s="65"/>
      <c r="E3" s="65"/>
      <c r="F3" s="65"/>
      <c r="G3" s="65"/>
      <c r="H3" s="6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46308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28" t="s">
        <v>226</v>
      </c>
      <c r="C8" s="19">
        <v>13102026</v>
      </c>
      <c r="D8" s="26" t="s">
        <v>220</v>
      </c>
      <c r="E8" s="26" t="s">
        <v>221</v>
      </c>
      <c r="F8" s="24" t="s">
        <v>38</v>
      </c>
      <c r="G8" s="20"/>
    </row>
    <row r="9" spans="1:10" ht="15.75" x14ac:dyDescent="0.25">
      <c r="A9" s="28">
        <v>2</v>
      </c>
      <c r="B9" s="46" t="s">
        <v>227</v>
      </c>
      <c r="C9" s="19">
        <v>13102026</v>
      </c>
      <c r="D9" s="24" t="s">
        <v>222</v>
      </c>
      <c r="E9" s="24" t="s">
        <v>223</v>
      </c>
      <c r="F9" s="24" t="s">
        <v>38</v>
      </c>
      <c r="G9" s="20"/>
    </row>
    <row r="10" spans="1:10" ht="15.75" x14ac:dyDescent="0.25">
      <c r="A10" s="28">
        <v>3</v>
      </c>
      <c r="B10" s="46" t="s">
        <v>228</v>
      </c>
      <c r="C10" s="19">
        <v>13102026</v>
      </c>
      <c r="D10" s="24" t="s">
        <v>224</v>
      </c>
      <c r="E10" s="24" t="s">
        <v>225</v>
      </c>
      <c r="F10" s="24" t="s">
        <v>38</v>
      </c>
      <c r="G10" s="20"/>
    </row>
    <row r="11" spans="1:10" ht="15.75" x14ac:dyDescent="0.25">
      <c r="A11" s="28">
        <v>4</v>
      </c>
      <c r="B11" s="58"/>
      <c r="C11" s="19"/>
      <c r="D11" s="26"/>
      <c r="E11" s="25"/>
      <c r="F11" s="28"/>
      <c r="G11" s="20"/>
    </row>
    <row r="12" spans="1:10" ht="15.75" x14ac:dyDescent="0.25">
      <c r="A12" s="28">
        <v>5</v>
      </c>
      <c r="B12" s="58"/>
      <c r="C12" s="19"/>
      <c r="D12" s="28"/>
      <c r="E12" s="25"/>
      <c r="F12" s="28"/>
      <c r="G12" s="20"/>
    </row>
    <row r="13" spans="1:10" ht="15.75" x14ac:dyDescent="0.25">
      <c r="A13" s="28">
        <v>6</v>
      </c>
      <c r="B13" s="58"/>
      <c r="C13" s="19"/>
      <c r="D13" s="28"/>
      <c r="E13" s="28"/>
      <c r="F13" s="28"/>
      <c r="G13" s="20"/>
    </row>
    <row r="14" spans="1:10" ht="15.75" x14ac:dyDescent="0.25">
      <c r="A14" s="28">
        <v>7</v>
      </c>
      <c r="B14" s="58"/>
      <c r="C14" s="19"/>
      <c r="D14" s="28"/>
      <c r="E14" s="28"/>
      <c r="F14" s="28"/>
      <c r="G14" s="20"/>
    </row>
    <row r="15" spans="1:10" ht="15.75" x14ac:dyDescent="0.25">
      <c r="A15" s="28">
        <v>8</v>
      </c>
      <c r="B15" s="58"/>
      <c r="C15" s="19"/>
      <c r="D15" s="28"/>
      <c r="E15" s="28"/>
      <c r="F15" s="28"/>
      <c r="G15" s="20"/>
    </row>
    <row r="16" spans="1:10" ht="15.75" x14ac:dyDescent="0.25">
      <c r="A16" s="28">
        <v>9</v>
      </c>
      <c r="B16" s="58"/>
      <c r="C16" s="19"/>
      <c r="D16" s="26"/>
      <c r="E16" s="26"/>
      <c r="F16" s="28"/>
      <c r="G16" s="20"/>
    </row>
    <row r="17" spans="1:13" ht="15.75" x14ac:dyDescent="0.25">
      <c r="A17" s="28">
        <v>11</v>
      </c>
      <c r="B17" s="58"/>
      <c r="C17" s="19"/>
      <c r="D17" s="26"/>
      <c r="E17" s="26"/>
      <c r="F17" s="24"/>
      <c r="G17" s="20"/>
    </row>
    <row r="18" spans="1:13" ht="15.75" x14ac:dyDescent="0.25">
      <c r="A18" s="28">
        <v>12</v>
      </c>
      <c r="B18" s="58"/>
      <c r="C18" s="19"/>
      <c r="D18" s="24"/>
      <c r="E18" s="24"/>
      <c r="F18" s="24"/>
      <c r="G18" s="20"/>
    </row>
    <row r="19" spans="1:13" ht="15.75" x14ac:dyDescent="0.25">
      <c r="A19" s="28">
        <v>13</v>
      </c>
      <c r="B19" s="28"/>
      <c r="C19" s="19"/>
      <c r="D19" s="26"/>
      <c r="E19" s="26"/>
      <c r="F19" s="28"/>
      <c r="G19" s="20"/>
    </row>
    <row r="20" spans="1:13" ht="15.75" x14ac:dyDescent="0.25">
      <c r="A20" s="6"/>
      <c r="B20" s="49"/>
      <c r="C20" s="38"/>
      <c r="D20" s="50"/>
      <c r="E20" s="50"/>
      <c r="F20" s="49"/>
      <c r="G20" s="20"/>
    </row>
    <row r="21" spans="1:13" ht="15.75" x14ac:dyDescent="0.25">
      <c r="A21" s="6"/>
      <c r="B21" s="49"/>
      <c r="C21" s="38"/>
      <c r="D21" s="50"/>
      <c r="E21" s="50"/>
      <c r="F21" s="49"/>
      <c r="G21" s="20"/>
    </row>
    <row r="22" spans="1:13" x14ac:dyDescent="0.25">
      <c r="A22" s="6"/>
      <c r="B22" s="49"/>
      <c r="C22" s="7"/>
      <c r="D22" s="50"/>
      <c r="E22" s="50"/>
      <c r="F22" s="49"/>
      <c r="G22" s="7"/>
    </row>
    <row r="23" spans="1:13" ht="15.75" x14ac:dyDescent="0.25">
      <c r="A23" s="6"/>
      <c r="B23" s="11" t="s">
        <v>16</v>
      </c>
    </row>
    <row r="24" spans="1:13" ht="15.75" thickBot="1" x14ac:dyDescent="0.3">
      <c r="A24" s="6"/>
      <c r="B24" s="13"/>
      <c r="C24" s="7"/>
      <c r="D24" s="7"/>
      <c r="E24" s="7"/>
      <c r="F24" s="7"/>
    </row>
    <row r="25" spans="1:13" x14ac:dyDescent="0.25">
      <c r="A25" s="14" t="s">
        <v>10</v>
      </c>
      <c r="B25" s="15" t="s">
        <v>17</v>
      </c>
      <c r="C25" s="15" t="s">
        <v>18</v>
      </c>
      <c r="D25" s="15" t="s">
        <v>13</v>
      </c>
      <c r="E25" s="15" t="s">
        <v>14</v>
      </c>
      <c r="F25" s="16" t="s">
        <v>15</v>
      </c>
    </row>
    <row r="26" spans="1:13" x14ac:dyDescent="0.25">
      <c r="A26" s="28">
        <v>1</v>
      </c>
      <c r="B26" s="19"/>
      <c r="C26" s="29"/>
      <c r="D26" s="61"/>
      <c r="E26" s="31"/>
      <c r="F26" s="31"/>
    </row>
    <row r="27" spans="1:13" ht="15.75" customHeight="1" x14ac:dyDescent="0.25">
      <c r="A27" s="28">
        <v>2</v>
      </c>
      <c r="B27" s="19"/>
      <c r="C27" s="29"/>
      <c r="D27" s="61"/>
      <c r="E27" s="32"/>
      <c r="F27" s="28"/>
      <c r="I27" s="33"/>
      <c r="J27" s="33"/>
      <c r="K27" s="33"/>
      <c r="L27" s="33"/>
      <c r="M27" s="33"/>
    </row>
    <row r="28" spans="1:13" ht="15.75" customHeight="1" x14ac:dyDescent="0.25">
      <c r="A28" s="28">
        <v>3</v>
      </c>
      <c r="B28" s="19"/>
      <c r="C28" s="29"/>
      <c r="D28" s="32"/>
      <c r="E28" s="32"/>
      <c r="F28" s="29"/>
      <c r="I28" s="33"/>
      <c r="J28" s="33"/>
      <c r="K28" s="33"/>
      <c r="L28" s="33"/>
      <c r="M28" s="33"/>
    </row>
    <row r="29" spans="1:13" ht="15.75" customHeight="1" x14ac:dyDescent="0.25">
      <c r="A29" s="28">
        <v>4</v>
      </c>
      <c r="B29" s="19"/>
      <c r="C29" s="29"/>
      <c r="D29" s="32"/>
      <c r="E29" s="32"/>
      <c r="F29" s="29"/>
      <c r="I29" s="33"/>
      <c r="J29" s="33"/>
      <c r="K29" s="33"/>
      <c r="L29" s="33"/>
      <c r="M29" s="33"/>
    </row>
    <row r="30" spans="1:13" ht="15.75" customHeight="1" x14ac:dyDescent="0.25">
      <c r="A30" s="28">
        <v>5</v>
      </c>
      <c r="B30" s="19"/>
      <c r="C30" s="29"/>
      <c r="D30" s="32"/>
      <c r="E30" s="32"/>
      <c r="F30" s="29"/>
      <c r="I30" s="33"/>
      <c r="J30" s="33"/>
      <c r="K30" s="33"/>
      <c r="L30" s="33"/>
      <c r="M30" s="33"/>
    </row>
    <row r="31" spans="1:13" ht="15.75" customHeight="1" x14ac:dyDescent="0.25">
      <c r="A31" s="37"/>
      <c r="B31" s="38"/>
      <c r="C31" s="39"/>
      <c r="D31"/>
      <c r="E31" s="40"/>
      <c r="F31" s="37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28">
        <v>1</v>
      </c>
      <c r="B35" s="19">
        <v>13102026</v>
      </c>
      <c r="C35" s="28" t="s">
        <v>210</v>
      </c>
      <c r="D35" s="28" t="s">
        <v>211</v>
      </c>
      <c r="E35" s="28">
        <v>3676</v>
      </c>
      <c r="F35" s="28">
        <v>20</v>
      </c>
    </row>
    <row r="36" spans="1:6" ht="15.75" customHeight="1" x14ac:dyDescent="0.25">
      <c r="A36" s="28">
        <v>2</v>
      </c>
      <c r="B36" s="19">
        <v>13102026</v>
      </c>
      <c r="C36" s="28" t="s">
        <v>212</v>
      </c>
      <c r="D36" s="28" t="s">
        <v>213</v>
      </c>
      <c r="E36" s="28">
        <v>3677</v>
      </c>
      <c r="F36" s="28">
        <v>20</v>
      </c>
    </row>
    <row r="37" spans="1:6" ht="15.75" customHeight="1" x14ac:dyDescent="0.25">
      <c r="A37" s="28">
        <v>3</v>
      </c>
      <c r="B37" s="19">
        <v>13102026</v>
      </c>
      <c r="C37" s="35" t="s">
        <v>214</v>
      </c>
      <c r="D37" s="35" t="s">
        <v>215</v>
      </c>
      <c r="E37" s="28">
        <v>3678</v>
      </c>
      <c r="F37" s="28">
        <v>20</v>
      </c>
    </row>
    <row r="38" spans="1:6" x14ac:dyDescent="0.25">
      <c r="A38" s="28">
        <v>4</v>
      </c>
      <c r="B38" s="19">
        <v>13102026</v>
      </c>
      <c r="C38" s="35" t="s">
        <v>216</v>
      </c>
      <c r="D38" s="35" t="s">
        <v>217</v>
      </c>
      <c r="E38" s="28">
        <v>3679</v>
      </c>
      <c r="F38" s="28">
        <v>20</v>
      </c>
    </row>
    <row r="39" spans="1:6" x14ac:dyDescent="0.25">
      <c r="A39" s="28">
        <v>5</v>
      </c>
      <c r="B39" s="19">
        <v>13102026</v>
      </c>
      <c r="C39" s="35" t="s">
        <v>218</v>
      </c>
      <c r="D39" s="35" t="s">
        <v>219</v>
      </c>
      <c r="E39" s="28">
        <v>3680</v>
      </c>
      <c r="F39" s="28">
        <v>20</v>
      </c>
    </row>
    <row r="40" spans="1:6" x14ac:dyDescent="0.25">
      <c r="A40" s="28">
        <v>6</v>
      </c>
      <c r="B40" s="19">
        <v>13102026</v>
      </c>
      <c r="C40" s="34" t="s">
        <v>229</v>
      </c>
      <c r="D40" s="31" t="s">
        <v>231</v>
      </c>
      <c r="E40" s="31">
        <v>3729</v>
      </c>
      <c r="F40" s="31">
        <v>40</v>
      </c>
    </row>
    <row r="41" spans="1:6" x14ac:dyDescent="0.25">
      <c r="A41" s="28">
        <v>7</v>
      </c>
      <c r="B41" s="19">
        <v>13102026</v>
      </c>
      <c r="C41" s="30" t="s">
        <v>230</v>
      </c>
      <c r="D41" s="31">
        <v>40680147</v>
      </c>
      <c r="E41" s="28">
        <v>3730</v>
      </c>
      <c r="F41" s="28">
        <v>40</v>
      </c>
    </row>
  </sheetData>
  <mergeCells count="1">
    <mergeCell ref="A3:H3"/>
  </mergeCells>
  <phoneticPr fontId="19" type="noConversion"/>
  <dataValidations count="2">
    <dataValidation type="list" allowBlank="1" showInputMessage="1" showErrorMessage="1" sqref="F8:F22" xr:uid="{8FFE6855-E471-46A7-B099-99631BE7F1A1}">
      <formula1>"20,40,45,50"</formula1>
      <formula2>0</formula2>
    </dataValidation>
    <dataValidation type="list" allowBlank="1" showInputMessage="1" showErrorMessage="1" sqref="F35:F39 F41" xr:uid="{1EB1E177-F6E0-4B47-BCA3-D3921ED772AB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D7A86-522F-43B1-845A-460AE7832055}">
  <sheetPr codeName="Feuil11"/>
  <dimension ref="A1:M40"/>
  <sheetViews>
    <sheetView workbookViewId="0">
      <selection activeCell="I7" sqref="I7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COUNTIF(C8:C19,"&lt;&gt;")</f>
        <v>0</v>
      </c>
      <c r="I1" s="9" t="s">
        <v>6</v>
      </c>
    </row>
    <row r="2" spans="1:10" s="7" customFormat="1" ht="15.75" x14ac:dyDescent="0.25">
      <c r="A2" s="6"/>
      <c r="F2" s="8">
        <f>COUNTIFS(B26:B30,"&lt;&gt;",C26:C30,"VH")</f>
        <v>0</v>
      </c>
      <c r="G2" s="9" t="s">
        <v>7</v>
      </c>
      <c r="H2" s="8">
        <f>COUNTA(C26:C30)-F2</f>
        <v>3</v>
      </c>
      <c r="I2" s="9" t="s">
        <v>6</v>
      </c>
      <c r="J2" s="10">
        <f>COUNTIF(E26:E30,"VIDE")</f>
        <v>0</v>
      </c>
    </row>
    <row r="3" spans="1:10" s="7" customFormat="1" ht="25.5" x14ac:dyDescent="0.25">
      <c r="A3" s="65" t="s">
        <v>8</v>
      </c>
      <c r="B3" s="65"/>
      <c r="C3" s="65"/>
      <c r="D3" s="65"/>
      <c r="E3" s="65"/>
      <c r="F3" s="65"/>
      <c r="G3" s="65"/>
      <c r="H3" s="6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46309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28"/>
      <c r="C8" s="19"/>
      <c r="D8" s="26"/>
      <c r="E8" s="26"/>
      <c r="F8" s="24"/>
      <c r="G8" s="20"/>
    </row>
    <row r="9" spans="1:10" ht="15.75" x14ac:dyDescent="0.25">
      <c r="A9" s="28">
        <v>2</v>
      </c>
      <c r="B9" s="64"/>
      <c r="C9" s="19"/>
      <c r="D9" s="24"/>
      <c r="E9" s="24"/>
      <c r="F9" s="24"/>
      <c r="G9" s="20"/>
    </row>
    <row r="10" spans="1:10" ht="15.75" x14ac:dyDescent="0.25">
      <c r="A10" s="28">
        <v>3</v>
      </c>
      <c r="B10" s="64"/>
      <c r="C10" s="19"/>
      <c r="D10" s="24"/>
      <c r="E10" s="24"/>
      <c r="F10" s="24"/>
      <c r="G10" s="20"/>
    </row>
    <row r="11" spans="1:10" ht="15.75" x14ac:dyDescent="0.25">
      <c r="A11" s="28">
        <v>4</v>
      </c>
      <c r="B11" s="58"/>
      <c r="C11" s="19"/>
      <c r="D11" s="26"/>
      <c r="E11" s="25"/>
      <c r="F11" s="28"/>
      <c r="G11" s="20"/>
    </row>
    <row r="12" spans="1:10" ht="15.75" x14ac:dyDescent="0.25">
      <c r="A12" s="28">
        <v>5</v>
      </c>
      <c r="B12" s="58"/>
      <c r="C12" s="19"/>
      <c r="D12" s="28"/>
      <c r="E12" s="25"/>
      <c r="F12" s="28"/>
      <c r="G12" s="20"/>
    </row>
    <row r="13" spans="1:10" ht="15.75" x14ac:dyDescent="0.25">
      <c r="A13" s="28">
        <v>6</v>
      </c>
      <c r="B13" s="58"/>
      <c r="C13" s="19"/>
      <c r="D13" s="28"/>
      <c r="E13" s="28"/>
      <c r="F13" s="28"/>
      <c r="G13" s="20"/>
    </row>
    <row r="14" spans="1:10" ht="15.75" x14ac:dyDescent="0.25">
      <c r="A14" s="28">
        <v>7</v>
      </c>
      <c r="B14" s="58"/>
      <c r="C14" s="19"/>
      <c r="D14" s="28"/>
      <c r="E14" s="28"/>
      <c r="F14" s="28"/>
      <c r="G14" s="20"/>
    </row>
    <row r="15" spans="1:10" ht="15.75" x14ac:dyDescent="0.25">
      <c r="A15" s="28">
        <v>8</v>
      </c>
      <c r="B15" s="58"/>
      <c r="C15" s="19"/>
      <c r="D15" s="28"/>
      <c r="E15" s="28"/>
      <c r="F15" s="28"/>
      <c r="G15" s="20"/>
    </row>
    <row r="16" spans="1:10" ht="15.75" x14ac:dyDescent="0.25">
      <c r="A16" s="28">
        <v>9</v>
      </c>
      <c r="B16" s="58"/>
      <c r="C16" s="19"/>
      <c r="D16" s="26"/>
      <c r="E16" s="26"/>
      <c r="F16" s="28"/>
      <c r="G16" s="20"/>
    </row>
    <row r="17" spans="1:13" ht="15.75" x14ac:dyDescent="0.25">
      <c r="A17" s="28">
        <v>11</v>
      </c>
      <c r="B17" s="58"/>
      <c r="C17" s="19"/>
      <c r="D17" s="26"/>
      <c r="E17" s="26"/>
      <c r="F17" s="24"/>
      <c r="G17" s="20"/>
    </row>
    <row r="18" spans="1:13" ht="15.75" x14ac:dyDescent="0.25">
      <c r="A18" s="28">
        <v>12</v>
      </c>
      <c r="B18" s="58"/>
      <c r="C18" s="19"/>
      <c r="D18" s="24"/>
      <c r="E18" s="24"/>
      <c r="F18" s="24"/>
      <c r="G18" s="20"/>
    </row>
    <row r="19" spans="1:13" ht="15.75" x14ac:dyDescent="0.25">
      <c r="A19" s="28">
        <v>13</v>
      </c>
      <c r="B19" s="28"/>
      <c r="C19" s="19"/>
      <c r="D19" s="26"/>
      <c r="E19" s="26"/>
      <c r="F19" s="28"/>
      <c r="G19" s="20"/>
    </row>
    <row r="20" spans="1:13" ht="15.75" x14ac:dyDescent="0.25">
      <c r="A20" s="6"/>
      <c r="B20" s="49"/>
      <c r="C20" s="38"/>
      <c r="D20" s="50"/>
      <c r="E20" s="50"/>
      <c r="F20" s="49"/>
      <c r="G20" s="20"/>
    </row>
    <row r="21" spans="1:13" ht="15.75" x14ac:dyDescent="0.25">
      <c r="A21" s="6"/>
      <c r="B21" s="49"/>
      <c r="C21" s="38"/>
      <c r="D21" s="50"/>
      <c r="E21" s="50"/>
      <c r="F21" s="49"/>
      <c r="G21" s="20"/>
    </row>
    <row r="22" spans="1:13" x14ac:dyDescent="0.25">
      <c r="A22" s="6"/>
      <c r="B22" s="49"/>
      <c r="C22" s="7"/>
      <c r="D22" s="50"/>
      <c r="E22" s="50"/>
      <c r="F22" s="49"/>
      <c r="G22" s="7"/>
    </row>
    <row r="23" spans="1:13" ht="15.75" x14ac:dyDescent="0.25">
      <c r="A23" s="6"/>
      <c r="B23" s="11" t="s">
        <v>16</v>
      </c>
    </row>
    <row r="24" spans="1:13" ht="15.75" thickBot="1" x14ac:dyDescent="0.3">
      <c r="A24" s="6"/>
      <c r="B24" s="13"/>
      <c r="C24" s="7"/>
      <c r="D24" s="7"/>
      <c r="E24" s="7"/>
      <c r="F24" s="7"/>
    </row>
    <row r="25" spans="1:13" x14ac:dyDescent="0.25">
      <c r="A25" s="14" t="s">
        <v>10</v>
      </c>
      <c r="B25" s="15" t="s">
        <v>17</v>
      </c>
      <c r="C25" s="15" t="s">
        <v>18</v>
      </c>
      <c r="D25" s="15" t="s">
        <v>13</v>
      </c>
      <c r="E25" s="15" t="s">
        <v>14</v>
      </c>
      <c r="F25" s="16" t="s">
        <v>15</v>
      </c>
    </row>
    <row r="26" spans="1:13" x14ac:dyDescent="0.25">
      <c r="A26" s="28">
        <v>1</v>
      </c>
      <c r="B26" s="19">
        <v>14102026</v>
      </c>
      <c r="C26" s="29" t="s">
        <v>150</v>
      </c>
      <c r="D26" s="30" t="s">
        <v>84</v>
      </c>
      <c r="E26" s="41">
        <v>3624</v>
      </c>
      <c r="F26" s="41">
        <v>40</v>
      </c>
    </row>
    <row r="27" spans="1:13" ht="15.75" customHeight="1" x14ac:dyDescent="0.25">
      <c r="A27" s="28">
        <v>2</v>
      </c>
      <c r="B27" s="19">
        <v>14102026</v>
      </c>
      <c r="C27" s="29" t="s">
        <v>232</v>
      </c>
      <c r="D27" s="30" t="s">
        <v>203</v>
      </c>
      <c r="E27" s="31">
        <v>3672</v>
      </c>
      <c r="F27" s="28">
        <v>40</v>
      </c>
      <c r="I27" s="33"/>
      <c r="J27" s="33"/>
      <c r="K27" s="33"/>
      <c r="L27" s="33"/>
      <c r="M27" s="33"/>
    </row>
    <row r="28" spans="1:13" ht="15.75" customHeight="1" x14ac:dyDescent="0.25">
      <c r="A28" s="28">
        <v>3</v>
      </c>
      <c r="B28" s="19">
        <v>14102026</v>
      </c>
      <c r="C28" s="29" t="s">
        <v>234</v>
      </c>
      <c r="D28" s="34" t="s">
        <v>233</v>
      </c>
      <c r="E28" s="31">
        <v>3613</v>
      </c>
      <c r="F28" s="24">
        <v>45</v>
      </c>
      <c r="I28" s="33"/>
      <c r="J28" s="33"/>
      <c r="K28" s="33"/>
      <c r="L28" s="33"/>
      <c r="M28" s="33"/>
    </row>
    <row r="29" spans="1:13" ht="15.75" customHeight="1" x14ac:dyDescent="0.25">
      <c r="A29" s="28">
        <v>4</v>
      </c>
      <c r="B29" s="19"/>
      <c r="C29" s="29"/>
      <c r="D29" s="32"/>
      <c r="E29" s="32"/>
      <c r="F29" s="29"/>
      <c r="I29" s="33"/>
      <c r="J29" s="33"/>
      <c r="K29" s="33"/>
      <c r="L29" s="33"/>
      <c r="M29" s="33"/>
    </row>
    <row r="30" spans="1:13" ht="15.75" customHeight="1" x14ac:dyDescent="0.25">
      <c r="A30" s="28">
        <v>5</v>
      </c>
      <c r="B30" s="19"/>
      <c r="C30" s="29"/>
      <c r="D30" s="32"/>
      <c r="E30" s="32"/>
      <c r="F30" s="29"/>
      <c r="I30" s="33"/>
      <c r="J30" s="33"/>
      <c r="K30" s="33"/>
      <c r="L30" s="33"/>
      <c r="M30" s="33"/>
    </row>
    <row r="31" spans="1:13" ht="15.75" customHeight="1" x14ac:dyDescent="0.25">
      <c r="A31" s="37"/>
      <c r="B31" s="38"/>
      <c r="C31" s="39"/>
      <c r="D31"/>
      <c r="E31" s="40"/>
      <c r="F31" s="37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28">
        <v>1</v>
      </c>
      <c r="B35" s="19">
        <v>14102026</v>
      </c>
      <c r="C35" s="30" t="s">
        <v>183</v>
      </c>
      <c r="D35" s="30" t="s">
        <v>184</v>
      </c>
      <c r="E35" s="31">
        <v>3728</v>
      </c>
      <c r="F35" s="28">
        <v>20</v>
      </c>
    </row>
    <row r="36" spans="1:6" ht="15.75" customHeight="1" x14ac:dyDescent="0.25">
      <c r="A36" s="28">
        <v>2</v>
      </c>
      <c r="B36" s="19">
        <v>14102026</v>
      </c>
      <c r="C36" s="28" t="s">
        <v>155</v>
      </c>
      <c r="D36" s="28">
        <v>5878917</v>
      </c>
      <c r="E36" s="28">
        <v>3727</v>
      </c>
      <c r="F36" s="28">
        <v>40</v>
      </c>
    </row>
    <row r="37" spans="1:6" ht="15.75" customHeight="1" x14ac:dyDescent="0.25">
      <c r="A37" s="28">
        <v>3</v>
      </c>
      <c r="B37" s="19"/>
      <c r="C37" s="35"/>
      <c r="D37" s="35"/>
      <c r="E37" s="28"/>
      <c r="F37" s="28"/>
    </row>
    <row r="38" spans="1:6" x14ac:dyDescent="0.25">
      <c r="A38" s="28">
        <v>4</v>
      </c>
      <c r="B38" s="19"/>
      <c r="C38" s="35"/>
      <c r="D38" s="35"/>
      <c r="E38" s="28"/>
      <c r="F38" s="28"/>
    </row>
    <row r="39" spans="1:6" x14ac:dyDescent="0.25">
      <c r="A39" s="28">
        <v>5</v>
      </c>
      <c r="B39" s="19"/>
      <c r="C39" s="35"/>
      <c r="D39" s="35"/>
      <c r="E39" s="28"/>
      <c r="F39" s="28"/>
    </row>
    <row r="40" spans="1:6" x14ac:dyDescent="0.25">
      <c r="A40" s="28">
        <v>6</v>
      </c>
      <c r="B40" s="59"/>
      <c r="C40" s="59"/>
      <c r="D40" s="59"/>
      <c r="E40" s="59"/>
      <c r="F40" s="59"/>
    </row>
  </sheetData>
  <mergeCells count="1">
    <mergeCell ref="A3:H3"/>
  </mergeCells>
  <dataValidations count="2">
    <dataValidation type="list" allowBlank="1" showInputMessage="1" showErrorMessage="1" sqref="F35:F39" xr:uid="{62C6AADC-B5D7-445F-9999-F8E7F6CC9310}">
      <formula1>"20,40,45,50"</formula1>
    </dataValidation>
    <dataValidation type="list" allowBlank="1" showInputMessage="1" showErrorMessage="1" sqref="F8:F22 F28" xr:uid="{F6098247-211A-4381-B194-8E72608F756F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E4176-44D6-4CE5-8273-4AB7EA8EE430}">
  <dimension ref="A1:M45"/>
  <sheetViews>
    <sheetView topLeftCell="A12" workbookViewId="0">
      <selection activeCell="A3" sqref="A3:H3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COUNTIF(C8:C12,"&lt;&gt;")</f>
        <v>4</v>
      </c>
      <c r="I1" s="9" t="s">
        <v>6</v>
      </c>
    </row>
    <row r="2" spans="1:10" s="7" customFormat="1" ht="15.75" x14ac:dyDescent="0.25">
      <c r="A2" s="6"/>
      <c r="F2" s="8">
        <f>COUNTIFS(B18:B22,"&lt;&gt;",C18:C22,"VH")</f>
        <v>0</v>
      </c>
      <c r="G2" s="9" t="s">
        <v>7</v>
      </c>
      <c r="H2" s="8">
        <f>COUNTA(C18:C31)-F2</f>
        <v>14</v>
      </c>
      <c r="I2" s="9" t="s">
        <v>6</v>
      </c>
      <c r="J2" s="10">
        <f>COUNTIF(E18:E22,"VIDE")</f>
        <v>0</v>
      </c>
    </row>
    <row r="3" spans="1:10" s="7" customFormat="1" ht="25.5" x14ac:dyDescent="0.25">
      <c r="A3" s="65" t="s">
        <v>8</v>
      </c>
      <c r="B3" s="65"/>
      <c r="C3" s="65"/>
      <c r="D3" s="65"/>
      <c r="E3" s="65"/>
      <c r="F3" s="65"/>
      <c r="G3" s="65"/>
      <c r="H3" s="6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46310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28" t="s">
        <v>243</v>
      </c>
      <c r="C8" s="19">
        <v>15102026</v>
      </c>
      <c r="D8" s="26" t="s">
        <v>235</v>
      </c>
      <c r="E8" s="26" t="s">
        <v>236</v>
      </c>
      <c r="F8" s="24" t="s">
        <v>38</v>
      </c>
      <c r="G8" s="20"/>
    </row>
    <row r="9" spans="1:10" ht="15.75" x14ac:dyDescent="0.25">
      <c r="A9" s="28">
        <v>2</v>
      </c>
      <c r="B9" s="46" t="s">
        <v>244</v>
      </c>
      <c r="C9" s="19">
        <v>15102026</v>
      </c>
      <c r="D9" s="24" t="s">
        <v>237</v>
      </c>
      <c r="E9" s="24" t="s">
        <v>238</v>
      </c>
      <c r="F9" s="24" t="s">
        <v>38</v>
      </c>
      <c r="G9" s="20"/>
    </row>
    <row r="10" spans="1:10" ht="15.75" x14ac:dyDescent="0.25">
      <c r="A10" s="28">
        <v>3</v>
      </c>
      <c r="B10" s="46" t="s">
        <v>245</v>
      </c>
      <c r="C10" s="19">
        <v>15102026</v>
      </c>
      <c r="D10" s="24" t="s">
        <v>239</v>
      </c>
      <c r="E10" s="24" t="s">
        <v>240</v>
      </c>
      <c r="F10" s="24" t="s">
        <v>38</v>
      </c>
      <c r="G10" s="20"/>
    </row>
    <row r="11" spans="1:10" ht="15.75" x14ac:dyDescent="0.25">
      <c r="A11" s="28">
        <v>4</v>
      </c>
      <c r="B11" s="46" t="s">
        <v>246</v>
      </c>
      <c r="C11" s="19">
        <v>15102026</v>
      </c>
      <c r="D11" s="24" t="s">
        <v>241</v>
      </c>
      <c r="E11" s="24" t="s">
        <v>242</v>
      </c>
      <c r="F11" s="24" t="s">
        <v>38</v>
      </c>
      <c r="G11" s="20"/>
    </row>
    <row r="12" spans="1:10" ht="15.75" x14ac:dyDescent="0.25">
      <c r="A12" s="28">
        <v>5</v>
      </c>
      <c r="B12" s="58"/>
      <c r="C12" s="19"/>
      <c r="D12" s="28"/>
      <c r="E12" s="25"/>
      <c r="F12" s="28"/>
      <c r="G12" s="20"/>
    </row>
    <row r="13" spans="1:10" ht="15.75" x14ac:dyDescent="0.25">
      <c r="A13" s="6"/>
      <c r="B13" s="49"/>
      <c r="C13" s="38"/>
      <c r="D13" s="50"/>
      <c r="E13" s="50"/>
      <c r="F13" s="49"/>
      <c r="G13" s="20"/>
    </row>
    <row r="14" spans="1:10" x14ac:dyDescent="0.25">
      <c r="A14" s="6"/>
      <c r="B14" s="49"/>
      <c r="C14" s="7"/>
      <c r="D14" s="50"/>
      <c r="E14" s="50"/>
      <c r="F14" s="49"/>
      <c r="G14" s="7"/>
    </row>
    <row r="15" spans="1:10" ht="15.75" x14ac:dyDescent="0.25">
      <c r="A15" s="6"/>
      <c r="B15" s="11" t="s">
        <v>16</v>
      </c>
    </row>
    <row r="16" spans="1:10" ht="15.75" thickBot="1" x14ac:dyDescent="0.3">
      <c r="A16" s="6"/>
      <c r="B16" s="13"/>
      <c r="C16" s="7"/>
      <c r="D16" s="7"/>
      <c r="E16" s="7"/>
      <c r="F16" s="7"/>
    </row>
    <row r="17" spans="1:13" x14ac:dyDescent="0.25">
      <c r="A17" s="14" t="s">
        <v>10</v>
      </c>
      <c r="B17" s="15" t="s">
        <v>17</v>
      </c>
      <c r="C17" s="15" t="s">
        <v>18</v>
      </c>
      <c r="D17" s="15" t="s">
        <v>13</v>
      </c>
      <c r="E17" s="15" t="s">
        <v>14</v>
      </c>
      <c r="F17" s="16" t="s">
        <v>15</v>
      </c>
    </row>
    <row r="18" spans="1:13" x14ac:dyDescent="0.25">
      <c r="A18" s="28">
        <v>1</v>
      </c>
      <c r="B18" s="19">
        <v>15102026</v>
      </c>
      <c r="C18" s="29" t="s">
        <v>248</v>
      </c>
      <c r="D18" s="51" t="s">
        <v>123</v>
      </c>
      <c r="E18" s="55" t="s">
        <v>122</v>
      </c>
      <c r="F18" s="51" t="s">
        <v>35</v>
      </c>
    </row>
    <row r="19" spans="1:13" ht="15.75" customHeight="1" x14ac:dyDescent="0.25">
      <c r="A19" s="28">
        <v>2</v>
      </c>
      <c r="B19" s="19">
        <v>15102026</v>
      </c>
      <c r="C19" s="29" t="s">
        <v>249</v>
      </c>
      <c r="D19" s="51" t="s">
        <v>121</v>
      </c>
      <c r="E19" s="55" t="s">
        <v>120</v>
      </c>
      <c r="F19" s="51" t="s">
        <v>35</v>
      </c>
      <c r="I19" s="33"/>
      <c r="J19" s="33"/>
      <c r="K19" s="33"/>
      <c r="L19" s="33"/>
      <c r="M19" s="33"/>
    </row>
    <row r="20" spans="1:13" ht="15.75" customHeight="1" x14ac:dyDescent="0.25">
      <c r="A20" s="28">
        <v>3</v>
      </c>
      <c r="B20" s="19">
        <v>15102026</v>
      </c>
      <c r="C20" s="29" t="s">
        <v>250</v>
      </c>
      <c r="D20" s="56" t="s">
        <v>117</v>
      </c>
      <c r="E20" s="55" t="s">
        <v>116</v>
      </c>
      <c r="F20" s="51" t="s">
        <v>35</v>
      </c>
      <c r="I20" s="33"/>
      <c r="J20" s="33"/>
      <c r="K20" s="33"/>
      <c r="L20" s="33"/>
      <c r="M20" s="33"/>
    </row>
    <row r="21" spans="1:13" ht="15.75" customHeight="1" x14ac:dyDescent="0.25">
      <c r="A21" s="28">
        <v>4</v>
      </c>
      <c r="B21" s="19">
        <v>15102026</v>
      </c>
      <c r="C21" s="29" t="s">
        <v>251</v>
      </c>
      <c r="D21" s="51" t="s">
        <v>109</v>
      </c>
      <c r="E21" s="51" t="s">
        <v>108</v>
      </c>
      <c r="F21" s="51" t="s">
        <v>35</v>
      </c>
      <c r="I21" s="33"/>
      <c r="J21" s="33"/>
      <c r="K21" s="33"/>
      <c r="L21" s="33"/>
      <c r="M21" s="33"/>
    </row>
    <row r="22" spans="1:13" ht="15.75" customHeight="1" x14ac:dyDescent="0.25">
      <c r="A22" s="28">
        <v>5</v>
      </c>
      <c r="B22" s="19">
        <v>15102026</v>
      </c>
      <c r="C22" s="29" t="s">
        <v>253</v>
      </c>
      <c r="D22" s="28" t="s">
        <v>105</v>
      </c>
      <c r="E22" s="51" t="s">
        <v>104</v>
      </c>
      <c r="F22" s="51" t="s">
        <v>35</v>
      </c>
      <c r="I22" s="33"/>
      <c r="J22" s="33"/>
      <c r="K22" s="33"/>
      <c r="L22" s="33"/>
      <c r="M22" s="33"/>
    </row>
    <row r="23" spans="1:13" ht="15.75" customHeight="1" x14ac:dyDescent="0.25">
      <c r="A23" s="28">
        <v>6</v>
      </c>
      <c r="B23" s="19">
        <v>15102026</v>
      </c>
      <c r="C23" s="29" t="s">
        <v>250</v>
      </c>
      <c r="D23" s="56" t="s">
        <v>103</v>
      </c>
      <c r="E23" s="56" t="s">
        <v>102</v>
      </c>
      <c r="F23" s="51" t="s">
        <v>35</v>
      </c>
      <c r="I23" s="33"/>
      <c r="J23" s="33"/>
      <c r="K23" s="33"/>
      <c r="L23" s="33"/>
      <c r="M23" s="33"/>
    </row>
    <row r="24" spans="1:13" ht="15.75" customHeight="1" x14ac:dyDescent="0.25">
      <c r="A24" s="28">
        <v>7</v>
      </c>
      <c r="B24" s="19">
        <v>15102026</v>
      </c>
      <c r="C24" s="29" t="s">
        <v>252</v>
      </c>
      <c r="D24" s="56" t="s">
        <v>93</v>
      </c>
      <c r="E24" s="56" t="s">
        <v>92</v>
      </c>
      <c r="F24" s="51" t="s">
        <v>35</v>
      </c>
      <c r="I24" s="33"/>
      <c r="J24" s="33"/>
      <c r="K24" s="33"/>
      <c r="L24" s="33"/>
      <c r="M24" s="33"/>
    </row>
    <row r="25" spans="1:13" ht="15.75" customHeight="1" x14ac:dyDescent="0.25">
      <c r="A25" s="28">
        <v>8</v>
      </c>
      <c r="B25" s="19">
        <v>15102026</v>
      </c>
      <c r="C25" s="35" t="s">
        <v>254</v>
      </c>
      <c r="D25" s="26" t="s">
        <v>183</v>
      </c>
      <c r="E25" s="26">
        <v>3728</v>
      </c>
      <c r="F25" s="24" t="s">
        <v>35</v>
      </c>
    </row>
    <row r="26" spans="1:13" ht="15.75" customHeight="1" x14ac:dyDescent="0.25">
      <c r="A26" s="28">
        <v>9</v>
      </c>
      <c r="B26" s="19">
        <v>15102026</v>
      </c>
      <c r="C26" s="35" t="s">
        <v>270</v>
      </c>
      <c r="D26" s="24" t="s">
        <v>255</v>
      </c>
      <c r="E26" s="25" t="s">
        <v>256</v>
      </c>
      <c r="F26" s="24" t="s">
        <v>35</v>
      </c>
    </row>
    <row r="27" spans="1:13" ht="15.75" customHeight="1" x14ac:dyDescent="0.25">
      <c r="A27" s="28">
        <v>10</v>
      </c>
      <c r="B27" s="19">
        <v>15102026</v>
      </c>
      <c r="C27" s="35" t="s">
        <v>272</v>
      </c>
      <c r="D27" s="24" t="s">
        <v>257</v>
      </c>
      <c r="E27" s="25" t="s">
        <v>258</v>
      </c>
      <c r="F27" s="24" t="s">
        <v>38</v>
      </c>
    </row>
    <row r="28" spans="1:13" ht="15.75" customHeight="1" x14ac:dyDescent="0.25">
      <c r="A28" s="28">
        <v>11</v>
      </c>
      <c r="B28" s="19">
        <v>15102026</v>
      </c>
      <c r="C28" s="35" t="s">
        <v>269</v>
      </c>
      <c r="D28" s="26" t="s">
        <v>259</v>
      </c>
      <c r="E28" s="25" t="s">
        <v>260</v>
      </c>
      <c r="F28" s="24" t="s">
        <v>38</v>
      </c>
    </row>
    <row r="29" spans="1:13" ht="15.75" customHeight="1" x14ac:dyDescent="0.25">
      <c r="A29" s="28">
        <v>12</v>
      </c>
      <c r="B29" s="19">
        <v>15102026</v>
      </c>
      <c r="C29" s="35" t="s">
        <v>271</v>
      </c>
      <c r="D29" s="26" t="s">
        <v>261</v>
      </c>
      <c r="E29" s="25" t="s">
        <v>262</v>
      </c>
      <c r="F29" s="24" t="s">
        <v>38</v>
      </c>
    </row>
    <row r="30" spans="1:13" ht="15.75" customHeight="1" x14ac:dyDescent="0.25">
      <c r="A30" s="28">
        <v>13</v>
      </c>
      <c r="B30" s="19">
        <v>15102026</v>
      </c>
      <c r="C30" s="35" t="s">
        <v>267</v>
      </c>
      <c r="D30" s="26" t="s">
        <v>263</v>
      </c>
      <c r="E30" s="25" t="s">
        <v>264</v>
      </c>
      <c r="F30" s="24" t="s">
        <v>38</v>
      </c>
    </row>
    <row r="31" spans="1:13" ht="15.75" customHeight="1" x14ac:dyDescent="0.25">
      <c r="A31" s="28">
        <v>14</v>
      </c>
      <c r="B31" s="19">
        <v>15102026</v>
      </c>
      <c r="C31" s="35" t="s">
        <v>268</v>
      </c>
      <c r="D31" s="24" t="s">
        <v>265</v>
      </c>
      <c r="E31" s="25" t="s">
        <v>266</v>
      </c>
      <c r="F31" s="24" t="s">
        <v>38</v>
      </c>
    </row>
    <row r="32" spans="1:13" ht="15.75" customHeight="1" x14ac:dyDescent="0.25">
      <c r="A32" s="37"/>
      <c r="B32" s="38"/>
      <c r="C32" s="39"/>
      <c r="D32" s="50"/>
      <c r="E32" s="50"/>
      <c r="F32" s="49"/>
    </row>
    <row r="33" spans="1:6" ht="15.75" x14ac:dyDescent="0.25">
      <c r="A33" s="6"/>
      <c r="B33" s="11" t="s">
        <v>19</v>
      </c>
    </row>
    <row r="34" spans="1:6" ht="15.75" thickBot="1" x14ac:dyDescent="0.3">
      <c r="A34" s="6"/>
      <c r="B34" s="13"/>
      <c r="C34" s="7"/>
      <c r="D34" s="7"/>
      <c r="E34" s="7"/>
      <c r="F34" s="7"/>
    </row>
    <row r="35" spans="1:6" x14ac:dyDescent="0.25">
      <c r="A35" s="14" t="s">
        <v>10</v>
      </c>
      <c r="B35" s="15" t="s">
        <v>20</v>
      </c>
      <c r="C35" s="15" t="s">
        <v>13</v>
      </c>
      <c r="D35" s="15" t="s">
        <v>21</v>
      </c>
      <c r="E35" s="15" t="s">
        <v>22</v>
      </c>
      <c r="F35" s="16" t="s">
        <v>15</v>
      </c>
    </row>
    <row r="36" spans="1:6" ht="15.75" customHeight="1" x14ac:dyDescent="0.25">
      <c r="A36" s="28">
        <v>1</v>
      </c>
      <c r="B36" s="19">
        <v>15102026</v>
      </c>
      <c r="C36" s="26" t="s">
        <v>169</v>
      </c>
      <c r="D36" s="25" t="s">
        <v>170</v>
      </c>
      <c r="E36" s="31">
        <v>3541</v>
      </c>
      <c r="F36" s="24" t="s">
        <v>38</v>
      </c>
    </row>
    <row r="37" spans="1:6" ht="15.75" customHeight="1" x14ac:dyDescent="0.25">
      <c r="A37" s="28">
        <v>2</v>
      </c>
      <c r="B37" s="19">
        <v>15102026</v>
      </c>
      <c r="C37" s="26" t="s">
        <v>171</v>
      </c>
      <c r="D37" s="25" t="s">
        <v>172</v>
      </c>
      <c r="E37" s="31">
        <v>3542</v>
      </c>
      <c r="F37" s="24" t="s">
        <v>38</v>
      </c>
    </row>
    <row r="38" spans="1:6" ht="15.75" customHeight="1" x14ac:dyDescent="0.25">
      <c r="A38" s="28">
        <v>3</v>
      </c>
      <c r="B38" s="19">
        <v>15102026</v>
      </c>
      <c r="C38" s="24" t="s">
        <v>173</v>
      </c>
      <c r="D38" s="25" t="s">
        <v>174</v>
      </c>
      <c r="E38" s="31">
        <v>3543</v>
      </c>
      <c r="F38" s="24" t="s">
        <v>38</v>
      </c>
    </row>
    <row r="39" spans="1:6" x14ac:dyDescent="0.25">
      <c r="A39" s="28">
        <v>4</v>
      </c>
      <c r="B39" s="19">
        <v>15102026</v>
      </c>
      <c r="C39" s="24" t="s">
        <v>175</v>
      </c>
      <c r="D39" s="24" t="s">
        <v>176</v>
      </c>
      <c r="E39" s="31">
        <v>3544</v>
      </c>
      <c r="F39" s="24" t="s">
        <v>38</v>
      </c>
    </row>
    <row r="40" spans="1:6" x14ac:dyDescent="0.25">
      <c r="A40" s="28">
        <v>5</v>
      </c>
      <c r="B40" s="19">
        <v>15102026</v>
      </c>
      <c r="C40" s="24" t="s">
        <v>177</v>
      </c>
      <c r="D40" s="24" t="s">
        <v>178</v>
      </c>
      <c r="E40" s="31">
        <v>3545</v>
      </c>
      <c r="F40" s="24" t="s">
        <v>38</v>
      </c>
    </row>
    <row r="41" spans="1:6" x14ac:dyDescent="0.25">
      <c r="A41" s="28">
        <v>6</v>
      </c>
      <c r="B41" s="19">
        <v>15102026</v>
      </c>
      <c r="C41" s="24" t="s">
        <v>179</v>
      </c>
      <c r="D41" s="24" t="s">
        <v>180</v>
      </c>
      <c r="E41" s="31">
        <v>3546</v>
      </c>
      <c r="F41" s="24" t="s">
        <v>38</v>
      </c>
    </row>
    <row r="45" spans="1:6" x14ac:dyDescent="0.25">
      <c r="E45" s="21" t="s">
        <v>247</v>
      </c>
    </row>
  </sheetData>
  <mergeCells count="1">
    <mergeCell ref="A3:H3"/>
  </mergeCells>
  <dataValidations count="1">
    <dataValidation type="list" allowBlank="1" showInputMessage="1" showErrorMessage="1" sqref="F36:F41 F18:F32 F8:F14" xr:uid="{D2398EA4-793A-4429-A19B-C4C1350F4CAE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33031-B776-4E80-9AD3-EE516EF52D54}">
  <dimension ref="A1:M45"/>
  <sheetViews>
    <sheetView workbookViewId="0">
      <selection activeCell="C18" sqref="C18:C24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COUNTIF(C8:C12,"&lt;&gt;")</f>
        <v>1</v>
      </c>
      <c r="I1" s="9" t="s">
        <v>6</v>
      </c>
    </row>
    <row r="2" spans="1:10" s="7" customFormat="1" ht="15.75" x14ac:dyDescent="0.25">
      <c r="A2" s="6"/>
      <c r="F2" s="8">
        <f>COUNTIFS(B18:B22,"&lt;&gt;",C18:C22,"VH")</f>
        <v>0</v>
      </c>
      <c r="G2" s="9" t="s">
        <v>7</v>
      </c>
      <c r="H2" s="8">
        <f>COUNTA(C18:C31)-F2</f>
        <v>7</v>
      </c>
      <c r="I2" s="9" t="s">
        <v>6</v>
      </c>
      <c r="J2" s="10">
        <f>COUNTIF(E18:E22,"VIDE")</f>
        <v>0</v>
      </c>
    </row>
    <row r="3" spans="1:10" s="7" customFormat="1" ht="25.5" x14ac:dyDescent="0.25">
      <c r="A3" s="65" t="s">
        <v>8</v>
      </c>
      <c r="B3" s="65"/>
      <c r="C3" s="65"/>
      <c r="D3" s="65"/>
      <c r="E3" s="65"/>
      <c r="F3" s="65"/>
      <c r="G3" s="65"/>
      <c r="H3" s="6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46313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28" t="s">
        <v>275</v>
      </c>
      <c r="C8" s="19">
        <v>18102026</v>
      </c>
      <c r="D8" s="26" t="s">
        <v>273</v>
      </c>
      <c r="E8" s="26" t="s">
        <v>274</v>
      </c>
      <c r="F8" s="24">
        <v>20</v>
      </c>
      <c r="G8" s="20"/>
    </row>
    <row r="9" spans="1:10" ht="15.75" x14ac:dyDescent="0.25">
      <c r="A9" s="28">
        <v>2</v>
      </c>
      <c r="B9" s="46"/>
      <c r="C9" s="19"/>
      <c r="D9" s="24"/>
      <c r="E9" s="24"/>
      <c r="F9" s="24"/>
      <c r="G9" s="20"/>
    </row>
    <row r="10" spans="1:10" ht="15.75" x14ac:dyDescent="0.25">
      <c r="A10" s="28">
        <v>3</v>
      </c>
      <c r="B10" s="46"/>
      <c r="C10" s="19"/>
      <c r="D10" s="24"/>
      <c r="E10" s="24"/>
      <c r="F10" s="24"/>
      <c r="G10" s="20"/>
    </row>
    <row r="11" spans="1:10" ht="15.75" x14ac:dyDescent="0.25">
      <c r="A11" s="28">
        <v>4</v>
      </c>
      <c r="B11" s="46"/>
      <c r="C11" s="19"/>
      <c r="D11" s="24"/>
      <c r="E11" s="24"/>
      <c r="F11" s="24"/>
      <c r="G11" s="20"/>
    </row>
    <row r="12" spans="1:10" ht="15.75" x14ac:dyDescent="0.25">
      <c r="A12" s="28">
        <v>5</v>
      </c>
      <c r="B12" s="58"/>
      <c r="C12" s="19"/>
      <c r="D12" s="28"/>
      <c r="E12" s="25"/>
      <c r="F12" s="28"/>
      <c r="G12" s="20"/>
    </row>
    <row r="13" spans="1:10" ht="15.75" x14ac:dyDescent="0.25">
      <c r="A13" s="6"/>
      <c r="B13" s="49"/>
      <c r="C13" s="38"/>
      <c r="D13" s="50"/>
      <c r="E13" s="50"/>
      <c r="F13" s="49"/>
      <c r="G13" s="20"/>
    </row>
    <row r="14" spans="1:10" x14ac:dyDescent="0.25">
      <c r="A14" s="6"/>
      <c r="B14" s="49"/>
      <c r="C14" s="7"/>
      <c r="D14" s="50"/>
      <c r="E14" s="50"/>
      <c r="F14" s="49"/>
      <c r="G14" s="7"/>
    </row>
    <row r="15" spans="1:10" ht="15.75" x14ac:dyDescent="0.25">
      <c r="A15" s="6"/>
      <c r="B15" s="11" t="s">
        <v>16</v>
      </c>
    </row>
    <row r="16" spans="1:10" ht="15.75" thickBot="1" x14ac:dyDescent="0.3">
      <c r="A16" s="6"/>
      <c r="B16" s="13"/>
      <c r="C16" s="7"/>
      <c r="D16" s="7"/>
      <c r="E16" s="7"/>
      <c r="F16" s="7"/>
    </row>
    <row r="17" spans="1:13" x14ac:dyDescent="0.25">
      <c r="A17" s="14" t="s">
        <v>10</v>
      </c>
      <c r="B17" s="15" t="s">
        <v>17</v>
      </c>
      <c r="C17" s="15" t="s">
        <v>18</v>
      </c>
      <c r="D17" s="15" t="s">
        <v>13</v>
      </c>
      <c r="E17" s="15" t="s">
        <v>14</v>
      </c>
      <c r="F17" s="16" t="s">
        <v>15</v>
      </c>
    </row>
    <row r="18" spans="1:13" x14ac:dyDescent="0.25">
      <c r="A18" s="28">
        <v>1</v>
      </c>
      <c r="B18" s="19">
        <v>15102026</v>
      </c>
      <c r="C18" s="29" t="s">
        <v>249</v>
      </c>
      <c r="D18" s="28" t="s">
        <v>127</v>
      </c>
      <c r="E18" s="28" t="s">
        <v>126</v>
      </c>
      <c r="F18" s="28" t="s">
        <v>35</v>
      </c>
    </row>
    <row r="19" spans="1:13" ht="15.75" customHeight="1" x14ac:dyDescent="0.25">
      <c r="A19" s="28">
        <v>2</v>
      </c>
      <c r="B19" s="19">
        <v>15102026</v>
      </c>
      <c r="C19" s="29" t="s">
        <v>250</v>
      </c>
      <c r="D19" s="28" t="s">
        <v>125</v>
      </c>
      <c r="E19" s="25" t="s">
        <v>124</v>
      </c>
      <c r="F19" s="28" t="s">
        <v>35</v>
      </c>
      <c r="I19" s="33"/>
      <c r="J19" s="33"/>
      <c r="K19" s="33"/>
      <c r="L19" s="33"/>
      <c r="M19" s="33"/>
    </row>
    <row r="20" spans="1:13" ht="15.75" customHeight="1" x14ac:dyDescent="0.25">
      <c r="A20" s="28">
        <v>3</v>
      </c>
      <c r="B20" s="19">
        <v>15102026</v>
      </c>
      <c r="C20" s="29" t="s">
        <v>251</v>
      </c>
      <c r="D20" s="26" t="s">
        <v>115</v>
      </c>
      <c r="E20" s="25" t="s">
        <v>114</v>
      </c>
      <c r="F20" s="28" t="s">
        <v>35</v>
      </c>
      <c r="I20" s="33"/>
      <c r="J20" s="33"/>
      <c r="K20" s="33"/>
      <c r="L20" s="33"/>
      <c r="M20" s="33"/>
    </row>
    <row r="21" spans="1:13" ht="15.75" customHeight="1" x14ac:dyDescent="0.25">
      <c r="A21" s="28">
        <v>4</v>
      </c>
      <c r="B21" s="19">
        <v>15102026</v>
      </c>
      <c r="C21" s="29" t="s">
        <v>250</v>
      </c>
      <c r="D21" s="28" t="s">
        <v>113</v>
      </c>
      <c r="E21" s="25" t="s">
        <v>112</v>
      </c>
      <c r="F21" s="28" t="s">
        <v>35</v>
      </c>
      <c r="I21" s="33"/>
      <c r="J21" s="33"/>
      <c r="K21" s="33"/>
      <c r="L21" s="33"/>
      <c r="M21" s="33"/>
    </row>
    <row r="22" spans="1:13" ht="15.75" customHeight="1" x14ac:dyDescent="0.25">
      <c r="A22" s="28">
        <v>5</v>
      </c>
      <c r="B22" s="19">
        <v>15102026</v>
      </c>
      <c r="C22" s="29" t="s">
        <v>252</v>
      </c>
      <c r="D22" s="26" t="s">
        <v>89</v>
      </c>
      <c r="E22" s="26" t="s">
        <v>88</v>
      </c>
      <c r="F22" s="28" t="s">
        <v>35</v>
      </c>
      <c r="I22" s="33"/>
      <c r="J22" s="33"/>
      <c r="K22" s="33"/>
      <c r="L22" s="33"/>
      <c r="M22" s="33"/>
    </row>
    <row r="23" spans="1:13" ht="15.75" customHeight="1" x14ac:dyDescent="0.25">
      <c r="A23" s="28">
        <v>6</v>
      </c>
      <c r="B23" s="19">
        <v>15102026</v>
      </c>
      <c r="C23" s="29" t="s">
        <v>253</v>
      </c>
      <c r="D23" s="26" t="s">
        <v>87</v>
      </c>
      <c r="E23" s="26" t="s">
        <v>86</v>
      </c>
      <c r="F23" s="28" t="s">
        <v>35</v>
      </c>
      <c r="I23" s="33"/>
      <c r="J23" s="33"/>
      <c r="K23" s="33"/>
      <c r="L23" s="33"/>
      <c r="M23" s="33"/>
    </row>
    <row r="24" spans="1:13" ht="15.75" customHeight="1" x14ac:dyDescent="0.25">
      <c r="A24" s="28">
        <v>7</v>
      </c>
      <c r="B24" s="19">
        <v>15102026</v>
      </c>
      <c r="C24" s="29" t="s">
        <v>278</v>
      </c>
      <c r="D24" s="51" t="s">
        <v>111</v>
      </c>
      <c r="E24" s="51" t="s">
        <v>110</v>
      </c>
      <c r="F24" s="51" t="s">
        <v>35</v>
      </c>
      <c r="I24" s="33"/>
      <c r="J24" s="33"/>
      <c r="K24" s="33"/>
      <c r="L24" s="33"/>
      <c r="M24" s="33"/>
    </row>
    <row r="25" spans="1:13" ht="15.75" customHeight="1" x14ac:dyDescent="0.25">
      <c r="A25" s="28">
        <v>8</v>
      </c>
      <c r="B25" s="19"/>
      <c r="C25" s="35"/>
      <c r="D25" s="26"/>
      <c r="E25" s="26"/>
      <c r="F25" s="24"/>
    </row>
    <row r="26" spans="1:13" ht="15.75" customHeight="1" x14ac:dyDescent="0.25">
      <c r="A26" s="28">
        <v>9</v>
      </c>
      <c r="B26" s="19"/>
      <c r="C26" s="35"/>
      <c r="D26" s="24"/>
      <c r="E26" s="25"/>
      <c r="F26" s="24"/>
    </row>
    <row r="27" spans="1:13" ht="15.75" customHeight="1" x14ac:dyDescent="0.25">
      <c r="A27" s="28">
        <v>10</v>
      </c>
      <c r="B27" s="19"/>
      <c r="C27" s="35"/>
      <c r="D27" s="24"/>
      <c r="E27" s="25"/>
      <c r="F27" s="24"/>
    </row>
    <row r="28" spans="1:13" ht="15.75" customHeight="1" x14ac:dyDescent="0.25">
      <c r="A28" s="28">
        <v>11</v>
      </c>
      <c r="B28" s="19"/>
      <c r="C28" s="35"/>
      <c r="D28" s="26"/>
      <c r="E28" s="25"/>
      <c r="F28" s="24"/>
    </row>
    <row r="29" spans="1:13" ht="15.75" customHeight="1" x14ac:dyDescent="0.25">
      <c r="A29" s="28">
        <v>12</v>
      </c>
      <c r="B29" s="19"/>
      <c r="C29" s="35"/>
      <c r="D29" s="26"/>
      <c r="E29" s="25"/>
      <c r="F29" s="24"/>
    </row>
    <row r="30" spans="1:13" ht="15.75" customHeight="1" x14ac:dyDescent="0.25">
      <c r="A30" s="28">
        <v>13</v>
      </c>
      <c r="B30" s="19"/>
      <c r="C30" s="35"/>
      <c r="D30" s="26"/>
      <c r="E30" s="25"/>
      <c r="F30" s="24"/>
    </row>
    <row r="31" spans="1:13" ht="15.75" customHeight="1" x14ac:dyDescent="0.25">
      <c r="A31" s="28">
        <v>14</v>
      </c>
      <c r="B31" s="19"/>
      <c r="C31" s="35"/>
      <c r="D31" s="24"/>
      <c r="E31" s="25"/>
      <c r="F31" s="24"/>
    </row>
    <row r="32" spans="1:13" ht="15.75" customHeight="1" x14ac:dyDescent="0.25">
      <c r="A32" s="37"/>
      <c r="B32" s="38"/>
      <c r="C32" s="39"/>
      <c r="D32" s="50"/>
      <c r="E32" s="50"/>
      <c r="F32" s="49"/>
    </row>
    <row r="33" spans="1:6" ht="15.75" x14ac:dyDescent="0.25">
      <c r="A33" s="6"/>
      <c r="B33" s="11" t="s">
        <v>19</v>
      </c>
    </row>
    <row r="34" spans="1:6" ht="15.75" thickBot="1" x14ac:dyDescent="0.3">
      <c r="A34" s="6"/>
      <c r="B34" s="13"/>
      <c r="C34" s="7"/>
      <c r="D34" s="7"/>
      <c r="E34" s="7"/>
      <c r="F34" s="7"/>
    </row>
    <row r="35" spans="1:6" x14ac:dyDescent="0.25">
      <c r="A35" s="14" t="s">
        <v>10</v>
      </c>
      <c r="B35" s="15" t="s">
        <v>20</v>
      </c>
      <c r="C35" s="15" t="s">
        <v>13</v>
      </c>
      <c r="D35" s="15" t="s">
        <v>21</v>
      </c>
      <c r="E35" s="15" t="s">
        <v>22</v>
      </c>
      <c r="F35" s="16" t="s">
        <v>15</v>
      </c>
    </row>
    <row r="36" spans="1:6" ht="15.75" customHeight="1" x14ac:dyDescent="0.25">
      <c r="A36" s="28">
        <v>1</v>
      </c>
      <c r="B36" s="19">
        <v>15102026</v>
      </c>
      <c r="C36" s="26" t="s">
        <v>276</v>
      </c>
      <c r="D36" s="25" t="s">
        <v>277</v>
      </c>
      <c r="E36" s="31">
        <v>3726</v>
      </c>
      <c r="F36" s="24" t="s">
        <v>38</v>
      </c>
    </row>
    <row r="37" spans="1:6" ht="15.75" customHeight="1" x14ac:dyDescent="0.25">
      <c r="A37" s="28">
        <v>2</v>
      </c>
      <c r="B37" s="19"/>
      <c r="C37" s="26"/>
      <c r="D37" s="25"/>
      <c r="E37" s="31"/>
      <c r="F37" s="24"/>
    </row>
    <row r="38" spans="1:6" ht="15.75" customHeight="1" x14ac:dyDescent="0.25">
      <c r="A38" s="28">
        <v>3</v>
      </c>
      <c r="B38" s="19"/>
      <c r="C38" s="24"/>
      <c r="D38" s="25"/>
      <c r="E38" s="31"/>
      <c r="F38" s="24"/>
    </row>
    <row r="39" spans="1:6" x14ac:dyDescent="0.25">
      <c r="A39" s="28">
        <v>4</v>
      </c>
      <c r="B39" s="19"/>
      <c r="C39" s="24"/>
      <c r="D39" s="24"/>
      <c r="E39" s="31"/>
      <c r="F39" s="24"/>
    </row>
    <row r="40" spans="1:6" x14ac:dyDescent="0.25">
      <c r="A40" s="28">
        <v>5</v>
      </c>
      <c r="B40" s="19"/>
      <c r="C40" s="24"/>
      <c r="D40" s="24"/>
      <c r="E40" s="31"/>
      <c r="F40" s="24"/>
    </row>
    <row r="41" spans="1:6" x14ac:dyDescent="0.25">
      <c r="A41" s="28">
        <v>6</v>
      </c>
      <c r="B41" s="19"/>
      <c r="C41" s="24"/>
      <c r="D41" s="24"/>
      <c r="E41" s="31"/>
      <c r="F41" s="24"/>
    </row>
    <row r="45" spans="1:6" x14ac:dyDescent="0.25">
      <c r="E45" s="21" t="s">
        <v>247</v>
      </c>
    </row>
  </sheetData>
  <mergeCells count="1">
    <mergeCell ref="A3:H3"/>
  </mergeCells>
  <dataValidations count="1">
    <dataValidation type="list" allowBlank="1" showInputMessage="1" showErrorMessage="1" sqref="F36:F41 F8:F14 F18:F32" xr:uid="{EFB631C9-122C-4158-8EA4-A02C82A5D1D3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A9943-631D-4BCB-93ED-D5E0BD151C6D}">
  <dimension ref="A1:M45"/>
  <sheetViews>
    <sheetView workbookViewId="0">
      <selection activeCell="H11" sqref="H11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COUNTIF(C8:C12,"&lt;&gt;")</f>
        <v>0</v>
      </c>
      <c r="I1" s="9" t="s">
        <v>6</v>
      </c>
    </row>
    <row r="2" spans="1:10" s="7" customFormat="1" ht="15.75" x14ac:dyDescent="0.25">
      <c r="A2" s="6"/>
      <c r="F2" s="8">
        <f>COUNTIFS(B18:B26,"&lt;&gt;",C18:C26,"VH")</f>
        <v>0</v>
      </c>
      <c r="G2" s="9" t="s">
        <v>7</v>
      </c>
      <c r="H2" s="8">
        <f>COUNTA(C18:C30)-F2</f>
        <v>12</v>
      </c>
      <c r="I2" s="9" t="s">
        <v>6</v>
      </c>
      <c r="J2" s="10">
        <f>COUNTIF(E18:E22,"VIDE")</f>
        <v>0</v>
      </c>
    </row>
    <row r="3" spans="1:10" s="7" customFormat="1" ht="25.5" x14ac:dyDescent="0.25">
      <c r="A3" s="65" t="s">
        <v>8</v>
      </c>
      <c r="B3" s="65"/>
      <c r="C3" s="65"/>
      <c r="D3" s="65"/>
      <c r="E3" s="65"/>
      <c r="F3" s="65"/>
      <c r="G3" s="65"/>
      <c r="H3" s="6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46314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28"/>
      <c r="C8" s="19"/>
      <c r="D8" s="26"/>
      <c r="E8" s="26"/>
      <c r="F8" s="24"/>
      <c r="G8" s="20"/>
    </row>
    <row r="9" spans="1:10" ht="15.75" x14ac:dyDescent="0.25">
      <c r="A9" s="28">
        <v>2</v>
      </c>
      <c r="B9" s="46"/>
      <c r="C9" s="19"/>
      <c r="D9" s="24"/>
      <c r="E9" s="24"/>
      <c r="F9" s="24"/>
      <c r="G9" s="20"/>
    </row>
    <row r="10" spans="1:10" ht="15.75" x14ac:dyDescent="0.25">
      <c r="A10" s="28">
        <v>3</v>
      </c>
      <c r="B10" s="46"/>
      <c r="C10" s="19"/>
      <c r="D10" s="24"/>
      <c r="E10" s="24"/>
      <c r="F10" s="24"/>
      <c r="G10" s="20"/>
    </row>
    <row r="11" spans="1:10" ht="15.75" x14ac:dyDescent="0.25">
      <c r="A11" s="28">
        <v>4</v>
      </c>
      <c r="B11" s="46"/>
      <c r="C11" s="19"/>
      <c r="D11" s="24"/>
      <c r="E11" s="24"/>
      <c r="F11" s="24"/>
      <c r="G11" s="20"/>
    </row>
    <row r="12" spans="1:10" ht="15.75" x14ac:dyDescent="0.25">
      <c r="A12" s="28">
        <v>5</v>
      </c>
      <c r="B12" s="58"/>
      <c r="C12" s="19"/>
      <c r="D12" s="28"/>
      <c r="E12" s="25"/>
      <c r="F12" s="28"/>
      <c r="G12" s="20"/>
    </row>
    <row r="13" spans="1:10" ht="15.75" x14ac:dyDescent="0.25">
      <c r="A13" s="6"/>
      <c r="B13" s="49"/>
      <c r="C13" s="38"/>
      <c r="D13" s="50"/>
      <c r="E13" s="50"/>
      <c r="F13" s="49"/>
      <c r="G13" s="20"/>
    </row>
    <row r="14" spans="1:10" x14ac:dyDescent="0.25">
      <c r="A14" s="6"/>
      <c r="B14" s="49"/>
      <c r="C14" s="7"/>
      <c r="D14" s="50"/>
      <c r="E14" s="50"/>
      <c r="F14" s="49"/>
      <c r="G14" s="7"/>
    </row>
    <row r="15" spans="1:10" ht="15.75" x14ac:dyDescent="0.25">
      <c r="A15" s="6"/>
      <c r="B15" s="11" t="s">
        <v>16</v>
      </c>
    </row>
    <row r="16" spans="1:10" ht="15.75" thickBot="1" x14ac:dyDescent="0.3">
      <c r="A16" s="6"/>
      <c r="B16" s="13"/>
      <c r="C16" s="7"/>
      <c r="D16" s="7"/>
      <c r="E16" s="7"/>
      <c r="F16" s="7"/>
    </row>
    <row r="17" spans="1:13" x14ac:dyDescent="0.25">
      <c r="A17" s="14" t="s">
        <v>10</v>
      </c>
      <c r="B17" s="15" t="s">
        <v>17</v>
      </c>
      <c r="C17" s="15" t="s">
        <v>18</v>
      </c>
      <c r="D17" s="15" t="s">
        <v>13</v>
      </c>
      <c r="E17" s="15" t="s">
        <v>14</v>
      </c>
      <c r="F17" s="16" t="s">
        <v>15</v>
      </c>
    </row>
    <row r="18" spans="1:13" x14ac:dyDescent="0.25">
      <c r="A18" s="28">
        <v>1</v>
      </c>
      <c r="B18" s="19">
        <v>19102026</v>
      </c>
      <c r="C18" s="29" t="s">
        <v>249</v>
      </c>
      <c r="D18" s="52" t="s">
        <v>133</v>
      </c>
      <c r="E18" s="52" t="s">
        <v>132</v>
      </c>
      <c r="F18" s="53" t="s">
        <v>35</v>
      </c>
    </row>
    <row r="19" spans="1:13" ht="15.75" customHeight="1" x14ac:dyDescent="0.25">
      <c r="A19" s="28">
        <v>2</v>
      </c>
      <c r="B19" s="19">
        <v>19102026</v>
      </c>
      <c r="C19" s="29" t="s">
        <v>253</v>
      </c>
      <c r="D19" s="51" t="s">
        <v>129</v>
      </c>
      <c r="E19" s="51" t="s">
        <v>128</v>
      </c>
      <c r="F19" s="51" t="s">
        <v>35</v>
      </c>
      <c r="I19" s="33"/>
      <c r="J19" s="33"/>
      <c r="K19" s="33"/>
      <c r="L19" s="33"/>
      <c r="M19" s="33"/>
    </row>
    <row r="20" spans="1:13" ht="15.75" customHeight="1" x14ac:dyDescent="0.25">
      <c r="A20" s="28">
        <v>3</v>
      </c>
      <c r="B20" s="19">
        <v>19102026</v>
      </c>
      <c r="C20" s="29" t="s">
        <v>251</v>
      </c>
      <c r="D20" s="51" t="s">
        <v>107</v>
      </c>
      <c r="E20" s="51" t="s">
        <v>106</v>
      </c>
      <c r="F20" s="51" t="s">
        <v>35</v>
      </c>
      <c r="I20" s="33"/>
      <c r="J20" s="33"/>
      <c r="K20" s="33"/>
      <c r="L20" s="33"/>
      <c r="M20" s="33"/>
    </row>
    <row r="21" spans="1:13" ht="15.75" customHeight="1" x14ac:dyDescent="0.25">
      <c r="A21" s="28">
        <v>4</v>
      </c>
      <c r="B21" s="19">
        <v>19102026</v>
      </c>
      <c r="C21" s="29" t="s">
        <v>252</v>
      </c>
      <c r="D21" s="56" t="s">
        <v>101</v>
      </c>
      <c r="E21" s="56" t="s">
        <v>100</v>
      </c>
      <c r="F21" s="51" t="s">
        <v>35</v>
      </c>
      <c r="I21" s="33"/>
      <c r="J21" s="33"/>
      <c r="K21" s="33"/>
      <c r="L21" s="33"/>
      <c r="M21" s="33"/>
    </row>
    <row r="22" spans="1:13" ht="15.75" customHeight="1" x14ac:dyDescent="0.25">
      <c r="A22" s="28">
        <v>5</v>
      </c>
      <c r="B22" s="19">
        <v>19102026</v>
      </c>
      <c r="C22" s="29" t="s">
        <v>250</v>
      </c>
      <c r="D22" s="56" t="s">
        <v>99</v>
      </c>
      <c r="E22" s="56" t="s">
        <v>98</v>
      </c>
      <c r="F22" s="51" t="s">
        <v>35</v>
      </c>
      <c r="I22" s="33"/>
      <c r="J22" s="33"/>
      <c r="K22" s="33"/>
      <c r="L22" s="33"/>
      <c r="M22" s="33"/>
    </row>
    <row r="23" spans="1:13" ht="15.75" customHeight="1" x14ac:dyDescent="0.25">
      <c r="A23" s="28">
        <v>6</v>
      </c>
      <c r="B23" s="19">
        <v>19102026</v>
      </c>
      <c r="C23" s="29" t="s">
        <v>250</v>
      </c>
      <c r="D23" s="56" t="s">
        <v>97</v>
      </c>
      <c r="E23" s="56" t="s">
        <v>96</v>
      </c>
      <c r="F23" s="51" t="s">
        <v>35</v>
      </c>
      <c r="I23" s="33"/>
      <c r="J23" s="33"/>
      <c r="K23" s="33"/>
      <c r="L23" s="33"/>
      <c r="M23" s="33"/>
    </row>
    <row r="24" spans="1:13" ht="15.75" customHeight="1" x14ac:dyDescent="0.25">
      <c r="A24" s="28">
        <v>7</v>
      </c>
      <c r="B24" s="19">
        <v>19102026</v>
      </c>
      <c r="C24" s="31" t="s">
        <v>280</v>
      </c>
      <c r="D24" s="54" t="s">
        <v>131</v>
      </c>
      <c r="E24" s="51" t="s">
        <v>130</v>
      </c>
      <c r="F24" s="51" t="s">
        <v>35</v>
      </c>
      <c r="I24" s="33"/>
      <c r="J24" s="33"/>
      <c r="K24" s="33"/>
      <c r="L24" s="33"/>
      <c r="M24" s="33"/>
    </row>
    <row r="25" spans="1:13" ht="15.75" customHeight="1" x14ac:dyDescent="0.25">
      <c r="A25" s="28">
        <v>8</v>
      </c>
      <c r="B25" s="19">
        <v>19102026</v>
      </c>
      <c r="C25" s="31" t="s">
        <v>279</v>
      </c>
      <c r="D25" s="56" t="s">
        <v>95</v>
      </c>
      <c r="E25" s="56" t="s">
        <v>94</v>
      </c>
      <c r="F25" s="51" t="s">
        <v>35</v>
      </c>
    </row>
    <row r="26" spans="1:13" ht="15.75" customHeight="1" x14ac:dyDescent="0.25">
      <c r="A26" s="28">
        <v>9</v>
      </c>
      <c r="B26" s="19">
        <v>19102026</v>
      </c>
      <c r="C26" s="31" t="s">
        <v>281</v>
      </c>
      <c r="D26" s="56" t="s">
        <v>91</v>
      </c>
      <c r="E26" s="56" t="s">
        <v>90</v>
      </c>
      <c r="F26" s="51" t="s">
        <v>35</v>
      </c>
    </row>
    <row r="27" spans="1:13" ht="15.75" customHeight="1" x14ac:dyDescent="0.25">
      <c r="A27" s="28">
        <v>10</v>
      </c>
      <c r="B27" s="19">
        <v>19102026</v>
      </c>
      <c r="C27" s="31" t="s">
        <v>282</v>
      </c>
      <c r="D27" s="24" t="s">
        <v>155</v>
      </c>
      <c r="E27" s="25">
        <v>3727</v>
      </c>
      <c r="F27" s="24">
        <v>40</v>
      </c>
    </row>
    <row r="28" spans="1:13" ht="15.75" customHeight="1" x14ac:dyDescent="0.25">
      <c r="A28" s="28">
        <v>11</v>
      </c>
      <c r="B28" s="19">
        <v>19102026</v>
      </c>
      <c r="C28" s="31" t="s">
        <v>283</v>
      </c>
      <c r="D28" s="24" t="s">
        <v>284</v>
      </c>
      <c r="E28" s="25">
        <v>3675</v>
      </c>
      <c r="F28" s="24">
        <v>40</v>
      </c>
    </row>
    <row r="29" spans="1:13" ht="15.75" customHeight="1" x14ac:dyDescent="0.25">
      <c r="A29" s="28">
        <v>12</v>
      </c>
      <c r="B29" s="19">
        <v>19102027</v>
      </c>
      <c r="C29" s="31" t="s">
        <v>285</v>
      </c>
      <c r="D29" s="56" t="s">
        <v>119</v>
      </c>
      <c r="E29" s="55" t="s">
        <v>118</v>
      </c>
      <c r="F29" s="51" t="s">
        <v>35</v>
      </c>
    </row>
    <row r="30" spans="1:13" ht="15.75" customHeight="1" x14ac:dyDescent="0.25">
      <c r="A30" s="28">
        <v>13</v>
      </c>
      <c r="B30" s="19"/>
      <c r="C30" s="29"/>
      <c r="D30" s="26"/>
      <c r="E30" s="25"/>
      <c r="F30" s="24"/>
    </row>
    <row r="31" spans="1:13" ht="15.75" customHeight="1" x14ac:dyDescent="0.25">
      <c r="A31" s="28">
        <v>14</v>
      </c>
      <c r="B31" s="19"/>
      <c r="C31" s="35"/>
      <c r="D31" s="24"/>
      <c r="E31" s="25"/>
      <c r="F31" s="24"/>
    </row>
    <row r="32" spans="1:13" ht="15.75" customHeight="1" x14ac:dyDescent="0.25">
      <c r="A32" s="37"/>
      <c r="B32" s="38"/>
      <c r="C32" s="39"/>
      <c r="D32" s="50"/>
      <c r="E32" s="50"/>
      <c r="F32" s="49"/>
    </row>
    <row r="33" spans="1:6" ht="15.75" x14ac:dyDescent="0.25">
      <c r="A33" s="6"/>
      <c r="B33" s="11" t="s">
        <v>19</v>
      </c>
    </row>
    <row r="34" spans="1:6" ht="15.75" thickBot="1" x14ac:dyDescent="0.3">
      <c r="A34" s="6"/>
      <c r="B34" s="13"/>
      <c r="C34" s="7"/>
      <c r="D34" s="7"/>
      <c r="E34" s="7"/>
      <c r="F34" s="7"/>
    </row>
    <row r="35" spans="1:6" x14ac:dyDescent="0.25">
      <c r="A35" s="14" t="s">
        <v>10</v>
      </c>
      <c r="B35" s="15" t="s">
        <v>20</v>
      </c>
      <c r="C35" s="15" t="s">
        <v>13</v>
      </c>
      <c r="D35" s="15" t="s">
        <v>21</v>
      </c>
      <c r="E35" s="15" t="s">
        <v>22</v>
      </c>
      <c r="F35" s="16" t="s">
        <v>15</v>
      </c>
    </row>
    <row r="36" spans="1:6" ht="15.75" customHeight="1" x14ac:dyDescent="0.25">
      <c r="A36" s="28">
        <v>1</v>
      </c>
      <c r="B36" s="19">
        <v>15102026</v>
      </c>
      <c r="C36" s="30" t="s">
        <v>33</v>
      </c>
      <c r="D36" s="30" t="s">
        <v>34</v>
      </c>
      <c r="E36" s="31">
        <v>3547</v>
      </c>
      <c r="F36" s="24">
        <v>20</v>
      </c>
    </row>
    <row r="37" spans="1:6" ht="15.75" customHeight="1" x14ac:dyDescent="0.25">
      <c r="A37" s="28">
        <v>2</v>
      </c>
      <c r="B37" s="19"/>
      <c r="C37" s="26"/>
      <c r="D37" s="25"/>
      <c r="E37" s="31"/>
      <c r="F37" s="24"/>
    </row>
    <row r="38" spans="1:6" ht="15.75" customHeight="1" x14ac:dyDescent="0.25">
      <c r="A38" s="28">
        <v>3</v>
      </c>
      <c r="B38" s="19"/>
      <c r="C38" s="24"/>
      <c r="D38" s="25"/>
      <c r="E38" s="31"/>
      <c r="F38" s="24"/>
    </row>
    <row r="39" spans="1:6" x14ac:dyDescent="0.25">
      <c r="A39" s="28">
        <v>4</v>
      </c>
      <c r="B39" s="19"/>
      <c r="C39" s="24"/>
      <c r="D39" s="24"/>
      <c r="E39" s="31"/>
      <c r="F39" s="24"/>
    </row>
    <row r="40" spans="1:6" x14ac:dyDescent="0.25">
      <c r="A40" s="28">
        <v>5</v>
      </c>
      <c r="B40" s="19"/>
      <c r="C40" s="24"/>
      <c r="D40" s="24"/>
      <c r="E40" s="31"/>
      <c r="F40" s="24"/>
    </row>
    <row r="41" spans="1:6" x14ac:dyDescent="0.25">
      <c r="A41" s="28">
        <v>6</v>
      </c>
      <c r="B41" s="19"/>
      <c r="C41" s="24"/>
      <c r="D41" s="24"/>
      <c r="E41" s="31"/>
      <c r="F41" s="24"/>
    </row>
    <row r="45" spans="1:6" x14ac:dyDescent="0.25">
      <c r="E45" s="21" t="s">
        <v>247</v>
      </c>
    </row>
  </sheetData>
  <mergeCells count="1">
    <mergeCell ref="A3:H3"/>
  </mergeCells>
  <phoneticPr fontId="19" type="noConversion"/>
  <dataValidations count="1">
    <dataValidation type="list" allowBlank="1" showInputMessage="1" showErrorMessage="1" sqref="F36:F41 F8:F14 F18:F32" xr:uid="{7C84209B-4F35-43F1-BBBF-CBE7F2EF4D2A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1357C-A491-4F93-8861-224F3FE68F88}">
  <dimension ref="A1:M45"/>
  <sheetViews>
    <sheetView topLeftCell="A6" workbookViewId="0">
      <selection activeCell="G6" sqref="G6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COUNTIF(C8:C12,"&lt;&gt;")</f>
        <v>0</v>
      </c>
      <c r="I1" s="9" t="s">
        <v>6</v>
      </c>
    </row>
    <row r="2" spans="1:10" s="7" customFormat="1" ht="15.75" x14ac:dyDescent="0.25">
      <c r="A2" s="6"/>
      <c r="F2" s="8">
        <f>COUNTIFS(B18:B22,"&lt;&gt;",C18:C22,"VH")</f>
        <v>0</v>
      </c>
      <c r="G2" s="9" t="s">
        <v>7</v>
      </c>
      <c r="H2" s="8">
        <f>COUNTA(C18:C31)-F2</f>
        <v>0</v>
      </c>
      <c r="I2" s="9" t="s">
        <v>6</v>
      </c>
      <c r="J2" s="10">
        <f>COUNTIF(E18:E22,"VIDE")</f>
        <v>0</v>
      </c>
    </row>
    <row r="3" spans="1:10" s="7" customFormat="1" ht="25.5" x14ac:dyDescent="0.25">
      <c r="A3" s="65" t="s">
        <v>8</v>
      </c>
      <c r="B3" s="65"/>
      <c r="C3" s="65"/>
      <c r="D3" s="65"/>
      <c r="E3" s="65"/>
      <c r="F3" s="65"/>
      <c r="G3" s="65"/>
      <c r="H3" s="6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46315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28"/>
      <c r="C8" s="19"/>
      <c r="D8" s="26"/>
      <c r="E8" s="26"/>
      <c r="F8" s="24"/>
      <c r="G8" s="20"/>
    </row>
    <row r="9" spans="1:10" ht="15.75" x14ac:dyDescent="0.25">
      <c r="A9" s="28">
        <v>2</v>
      </c>
      <c r="B9" s="46"/>
      <c r="C9" s="19"/>
      <c r="D9" s="24"/>
      <c r="E9" s="24"/>
      <c r="F9" s="24"/>
      <c r="G9" s="20"/>
    </row>
    <row r="10" spans="1:10" ht="15.75" x14ac:dyDescent="0.25">
      <c r="A10" s="28">
        <v>3</v>
      </c>
      <c r="B10" s="46"/>
      <c r="C10" s="19"/>
      <c r="D10" s="24"/>
      <c r="E10" s="24"/>
      <c r="F10" s="24"/>
      <c r="G10" s="20"/>
    </row>
    <row r="11" spans="1:10" ht="15.75" x14ac:dyDescent="0.25">
      <c r="A11" s="28">
        <v>4</v>
      </c>
      <c r="B11" s="46"/>
      <c r="C11" s="19"/>
      <c r="D11" s="24"/>
      <c r="E11" s="24"/>
      <c r="F11" s="24"/>
      <c r="G11" s="20"/>
    </row>
    <row r="12" spans="1:10" ht="15.75" x14ac:dyDescent="0.25">
      <c r="A12" s="28">
        <v>5</v>
      </c>
      <c r="B12" s="58"/>
      <c r="C12" s="19"/>
      <c r="D12" s="28"/>
      <c r="E12" s="25"/>
      <c r="F12" s="28"/>
      <c r="G12" s="20"/>
    </row>
    <row r="13" spans="1:10" ht="15.75" x14ac:dyDescent="0.25">
      <c r="A13" s="6"/>
      <c r="B13" s="49"/>
      <c r="C13" s="38"/>
      <c r="D13" s="50"/>
      <c r="E13" s="50"/>
      <c r="F13" s="49"/>
      <c r="G13" s="20"/>
    </row>
    <row r="14" spans="1:10" x14ac:dyDescent="0.25">
      <c r="A14" s="6"/>
      <c r="B14" s="49"/>
      <c r="C14" s="7"/>
      <c r="D14" s="50"/>
      <c r="E14" s="50"/>
      <c r="F14" s="49"/>
      <c r="G14" s="7"/>
    </row>
    <row r="15" spans="1:10" ht="15.75" x14ac:dyDescent="0.25">
      <c r="A15" s="6"/>
      <c r="B15" s="11" t="s">
        <v>16</v>
      </c>
    </row>
    <row r="16" spans="1:10" ht="15.75" thickBot="1" x14ac:dyDescent="0.3">
      <c r="A16" s="6"/>
      <c r="B16" s="13"/>
      <c r="C16" s="7"/>
      <c r="D16" s="7"/>
      <c r="E16" s="7"/>
      <c r="F16" s="7"/>
    </row>
    <row r="17" spans="1:13" x14ac:dyDescent="0.25">
      <c r="A17" s="14" t="s">
        <v>10</v>
      </c>
      <c r="B17" s="15" t="s">
        <v>17</v>
      </c>
      <c r="C17" s="15" t="s">
        <v>18</v>
      </c>
      <c r="D17" s="15" t="s">
        <v>13</v>
      </c>
      <c r="E17" s="15" t="s">
        <v>14</v>
      </c>
      <c r="F17" s="16" t="s">
        <v>15</v>
      </c>
    </row>
    <row r="18" spans="1:13" x14ac:dyDescent="0.25">
      <c r="A18" s="28">
        <v>1</v>
      </c>
      <c r="B18" s="19">
        <v>15102026</v>
      </c>
      <c r="C18" s="29"/>
      <c r="D18" s="28"/>
      <c r="E18" s="28"/>
      <c r="F18" s="28"/>
    </row>
    <row r="19" spans="1:13" ht="15.75" customHeight="1" x14ac:dyDescent="0.25">
      <c r="A19" s="28">
        <v>2</v>
      </c>
      <c r="B19" s="19"/>
      <c r="C19" s="29"/>
      <c r="D19" s="28"/>
      <c r="E19" s="25"/>
      <c r="F19" s="28"/>
      <c r="I19" s="33"/>
      <c r="J19" s="33"/>
      <c r="K19" s="33"/>
      <c r="L19" s="33"/>
      <c r="M19" s="33"/>
    </row>
    <row r="20" spans="1:13" ht="15.75" customHeight="1" x14ac:dyDescent="0.25">
      <c r="A20" s="28">
        <v>3</v>
      </c>
      <c r="B20" s="19"/>
      <c r="C20" s="29"/>
      <c r="D20" s="26"/>
      <c r="E20" s="25"/>
      <c r="F20" s="28"/>
      <c r="I20" s="33"/>
      <c r="J20" s="33"/>
      <c r="K20" s="33"/>
      <c r="L20" s="33"/>
      <c r="M20" s="33"/>
    </row>
    <row r="21" spans="1:13" ht="15.75" customHeight="1" x14ac:dyDescent="0.25">
      <c r="A21" s="28">
        <v>4</v>
      </c>
      <c r="B21" s="19"/>
      <c r="C21" s="29"/>
      <c r="D21" s="28"/>
      <c r="E21" s="25"/>
      <c r="F21" s="28"/>
      <c r="I21" s="33"/>
      <c r="J21" s="33"/>
      <c r="K21" s="33"/>
      <c r="L21" s="33"/>
      <c r="M21" s="33"/>
    </row>
    <row r="22" spans="1:13" ht="15.75" customHeight="1" x14ac:dyDescent="0.25">
      <c r="A22" s="28">
        <v>5</v>
      </c>
      <c r="B22" s="19"/>
      <c r="C22" s="29"/>
      <c r="D22" s="26"/>
      <c r="E22" s="26"/>
      <c r="F22" s="28"/>
      <c r="I22" s="33"/>
      <c r="J22" s="33"/>
      <c r="K22" s="33"/>
      <c r="L22" s="33"/>
      <c r="M22" s="33"/>
    </row>
    <row r="23" spans="1:13" ht="15.75" customHeight="1" x14ac:dyDescent="0.25">
      <c r="A23" s="28">
        <v>6</v>
      </c>
      <c r="B23" s="19"/>
      <c r="C23" s="29"/>
      <c r="D23" s="26"/>
      <c r="E23" s="26"/>
      <c r="F23" s="28"/>
      <c r="I23" s="33"/>
      <c r="J23" s="33"/>
      <c r="K23" s="33"/>
      <c r="L23" s="33"/>
      <c r="M23" s="33"/>
    </row>
    <row r="24" spans="1:13" ht="15.75" customHeight="1" x14ac:dyDescent="0.25">
      <c r="A24" s="28">
        <v>7</v>
      </c>
      <c r="B24" s="19"/>
      <c r="C24" s="29"/>
      <c r="D24" s="51"/>
      <c r="E24" s="51"/>
      <c r="F24" s="51"/>
      <c r="I24" s="33"/>
      <c r="J24" s="33"/>
      <c r="K24" s="33"/>
      <c r="L24" s="33"/>
      <c r="M24" s="33"/>
    </row>
    <row r="25" spans="1:13" ht="15.75" customHeight="1" x14ac:dyDescent="0.25">
      <c r="A25" s="28">
        <v>8</v>
      </c>
      <c r="B25" s="19"/>
      <c r="C25" s="35"/>
      <c r="D25" s="26"/>
      <c r="E25" s="26"/>
      <c r="F25" s="24"/>
    </row>
    <row r="26" spans="1:13" ht="15.75" customHeight="1" x14ac:dyDescent="0.25">
      <c r="A26" s="28">
        <v>9</v>
      </c>
      <c r="B26" s="19"/>
      <c r="C26" s="35"/>
      <c r="D26" s="24"/>
      <c r="E26" s="25"/>
      <c r="F26" s="24"/>
    </row>
    <row r="27" spans="1:13" ht="15.75" customHeight="1" x14ac:dyDescent="0.25">
      <c r="A27" s="28">
        <v>10</v>
      </c>
      <c r="B27" s="19"/>
      <c r="C27" s="35"/>
      <c r="D27" s="24"/>
      <c r="E27" s="25"/>
      <c r="F27" s="24"/>
    </row>
    <row r="28" spans="1:13" ht="15.75" customHeight="1" x14ac:dyDescent="0.25">
      <c r="A28" s="28">
        <v>11</v>
      </c>
      <c r="B28" s="19"/>
      <c r="C28" s="35"/>
      <c r="D28" s="26"/>
      <c r="E28" s="25"/>
      <c r="F28" s="24"/>
    </row>
    <row r="29" spans="1:13" ht="15.75" customHeight="1" x14ac:dyDescent="0.25">
      <c r="A29" s="28">
        <v>12</v>
      </c>
      <c r="B29" s="19"/>
      <c r="C29" s="35"/>
      <c r="D29" s="26"/>
      <c r="E29" s="25"/>
      <c r="F29" s="24"/>
    </row>
    <row r="30" spans="1:13" ht="15.75" customHeight="1" x14ac:dyDescent="0.25">
      <c r="A30" s="28">
        <v>13</v>
      </c>
      <c r="B30" s="19"/>
      <c r="C30" s="35"/>
      <c r="D30" s="26"/>
      <c r="E30" s="25"/>
      <c r="F30" s="24"/>
    </row>
    <row r="31" spans="1:13" ht="15.75" customHeight="1" x14ac:dyDescent="0.25">
      <c r="A31" s="28">
        <v>14</v>
      </c>
      <c r="B31" s="19"/>
      <c r="C31" s="35"/>
      <c r="D31" s="24"/>
      <c r="E31" s="25"/>
      <c r="F31" s="24"/>
    </row>
    <row r="32" spans="1:13" ht="15.75" customHeight="1" x14ac:dyDescent="0.25">
      <c r="A32" s="37"/>
      <c r="B32" s="38"/>
      <c r="C32" s="39"/>
      <c r="D32" s="50"/>
      <c r="E32" s="50"/>
      <c r="F32" s="49"/>
    </row>
    <row r="33" spans="1:6" ht="15.75" x14ac:dyDescent="0.25">
      <c r="A33" s="6"/>
      <c r="B33" s="11" t="s">
        <v>19</v>
      </c>
    </row>
    <row r="34" spans="1:6" ht="15.75" thickBot="1" x14ac:dyDescent="0.3">
      <c r="A34" s="6"/>
      <c r="B34" s="13"/>
      <c r="C34" s="7"/>
      <c r="D34" s="7"/>
      <c r="E34" s="7"/>
      <c r="F34" s="7"/>
    </row>
    <row r="35" spans="1:6" x14ac:dyDescent="0.25">
      <c r="A35" s="14" t="s">
        <v>10</v>
      </c>
      <c r="B35" s="15" t="s">
        <v>20</v>
      </c>
      <c r="C35" s="15" t="s">
        <v>13</v>
      </c>
      <c r="D35" s="15" t="s">
        <v>21</v>
      </c>
      <c r="E35" s="15" t="s">
        <v>22</v>
      </c>
      <c r="F35" s="16" t="s">
        <v>15</v>
      </c>
    </row>
    <row r="36" spans="1:6" ht="15.75" customHeight="1" x14ac:dyDescent="0.25">
      <c r="A36" s="28">
        <v>1</v>
      </c>
      <c r="B36" s="19">
        <v>15102026</v>
      </c>
      <c r="C36" s="26"/>
      <c r="D36" s="25"/>
      <c r="E36" s="31"/>
      <c r="F36" s="24"/>
    </row>
    <row r="37" spans="1:6" ht="15.75" customHeight="1" x14ac:dyDescent="0.25">
      <c r="A37" s="28">
        <v>2</v>
      </c>
      <c r="B37" s="19"/>
      <c r="C37" s="26"/>
      <c r="D37" s="25"/>
      <c r="E37" s="31"/>
      <c r="F37" s="24"/>
    </row>
    <row r="38" spans="1:6" ht="15.75" customHeight="1" x14ac:dyDescent="0.25">
      <c r="A38" s="28">
        <v>3</v>
      </c>
      <c r="B38" s="19"/>
      <c r="C38" s="24"/>
      <c r="D38" s="25"/>
      <c r="E38" s="31"/>
      <c r="F38" s="24"/>
    </row>
    <row r="39" spans="1:6" x14ac:dyDescent="0.25">
      <c r="A39" s="28">
        <v>4</v>
      </c>
      <c r="B39" s="19"/>
      <c r="C39" s="24"/>
      <c r="D39" s="24"/>
      <c r="E39" s="31"/>
      <c r="F39" s="24"/>
    </row>
    <row r="40" spans="1:6" x14ac:dyDescent="0.25">
      <c r="A40" s="28">
        <v>5</v>
      </c>
      <c r="B40" s="19"/>
      <c r="C40" s="24"/>
      <c r="D40" s="24"/>
      <c r="E40" s="31"/>
      <c r="F40" s="24"/>
    </row>
    <row r="41" spans="1:6" x14ac:dyDescent="0.25">
      <c r="A41" s="28">
        <v>6</v>
      </c>
      <c r="B41" s="19"/>
      <c r="C41" s="24"/>
      <c r="D41" s="24"/>
      <c r="E41" s="31"/>
      <c r="F41" s="24"/>
    </row>
    <row r="45" spans="1:6" x14ac:dyDescent="0.25">
      <c r="E45" s="21" t="s">
        <v>247</v>
      </c>
    </row>
  </sheetData>
  <mergeCells count="1">
    <mergeCell ref="A3:H3"/>
  </mergeCells>
  <dataValidations count="1">
    <dataValidation type="list" allowBlank="1" showInputMessage="1" showErrorMessage="1" sqref="F36:F41 F8:F14 F18:F32" xr:uid="{D02264BE-9279-4926-AB01-DBCE0AE95BFC}">
      <formula1>"20,40,45,50"</formula1>
      <formula2>0</formula2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15</vt:i4>
      </vt:variant>
    </vt:vector>
  </HeadingPairs>
  <TitlesOfParts>
    <vt:vector size="15" baseType="lpstr">
      <vt:lpstr>DASHBOARD</vt:lpstr>
      <vt:lpstr>01-10</vt:lpstr>
      <vt:lpstr>04-10</vt:lpstr>
      <vt:lpstr>05-10</vt:lpstr>
      <vt:lpstr>06-10</vt:lpstr>
      <vt:lpstr>07-10</vt:lpstr>
      <vt:lpstr>08-10</vt:lpstr>
      <vt:lpstr>11-10</vt:lpstr>
      <vt:lpstr>12-10</vt:lpstr>
      <vt:lpstr>13-10</vt:lpstr>
      <vt:lpstr>14-10</vt:lpstr>
      <vt:lpstr>15-10</vt:lpstr>
      <vt:lpstr>18-10</vt:lpstr>
      <vt:lpstr>19-10</vt:lpstr>
      <vt:lpstr>20-10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Samir Haddad</dc:creator>
  <cp:lastModifiedBy>Samir Haddad</cp:lastModifiedBy>
  <cp:lastPrinted>2026-10-19T15:23:19Z</cp:lastPrinted>
  <dcterms:created xsi:type="dcterms:W3CDTF">2026-10-01T08:28:30Z</dcterms:created>
  <dcterms:modified xsi:type="dcterms:W3CDTF">2026-10-19T15:30:08Z</dcterms:modified>
</cp:coreProperties>
</file>