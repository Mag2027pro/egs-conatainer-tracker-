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b0b5a2ed962cae/Documents/Samir/"/>
    </mc:Choice>
  </mc:AlternateContent>
  <xr:revisionPtr revIDLastSave="117" documentId="8_{2FDC6B9F-1F21-48F9-AC05-AF074B5FC7B4}" xr6:coauthVersionLast="47" xr6:coauthVersionMax="47" xr10:uidLastSave="{E1BD278A-0F48-436D-BF30-6913C9093799}"/>
  <bookViews>
    <workbookView xWindow="-120" yWindow="-120" windowWidth="29040" windowHeight="15720" activeTab="1" xr2:uid="{EB61CAA8-C9F0-46A0-A741-29F004216494}"/>
  </bookViews>
  <sheets>
    <sheet name="DASHBOARD" sheetId="3" r:id="rId1"/>
    <sheet name="Douanes Oran-Exterieur" sheetId="1" r:id="rId2"/>
    <sheet name="Douanes Oran-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H1" i="1"/>
  <c r="J2" i="1"/>
  <c r="F2" i="1"/>
  <c r="H1" i="2"/>
  <c r="J2" i="2"/>
  <c r="F2" i="2"/>
  <c r="D3" i="3"/>
  <c r="B24" i="3" l="1"/>
  <c r="D2" i="3"/>
  <c r="D24" i="3" s="1"/>
  <c r="C24" i="3"/>
</calcChain>
</file>

<file path=xl/sharedStrings.xml><?xml version="1.0" encoding="utf-8"?>
<sst xmlns="http://schemas.openxmlformats.org/spreadsheetml/2006/main" count="194" uniqueCount="181">
  <si>
    <t>FICHE DE MOUVEMENT</t>
  </si>
  <si>
    <t>RECEPTION</t>
  </si>
  <si>
    <t xml:space="preserve">N° </t>
  </si>
  <si>
    <t>N° CRN</t>
  </si>
  <si>
    <t>Date R</t>
  </si>
  <si>
    <t>N° Conteneur</t>
  </si>
  <si>
    <t>N° Scellé</t>
  </si>
  <si>
    <t>Vol</t>
  </si>
  <si>
    <t>24A0010000045ICS-0007</t>
  </si>
  <si>
    <t>24A0033000409ICS-0075</t>
  </si>
  <si>
    <t>25A0008000002ICS-0021</t>
  </si>
  <si>
    <t>25A0010000010ICS-0103</t>
  </si>
  <si>
    <t>25A0033000086ICS-0071</t>
  </si>
  <si>
    <t>25A0010000028ICS-0070</t>
  </si>
  <si>
    <t>25A0033000198ICS-0048</t>
  </si>
  <si>
    <t>25A0005000074ICS-0064</t>
  </si>
  <si>
    <t>25A0005000074ICS-0062</t>
  </si>
  <si>
    <t>25A0033000374ICS-0012</t>
  </si>
  <si>
    <t>25A0005000080ICS-0214</t>
  </si>
  <si>
    <t>25A0005000083ICS-0143</t>
  </si>
  <si>
    <t>25A0005000087ICS-0084</t>
  </si>
  <si>
    <t>25A0055000171ICS-0202</t>
  </si>
  <si>
    <t>25A0003000756ICS-0056</t>
  </si>
  <si>
    <t>25A0055000302ICS-0225</t>
  </si>
  <si>
    <t>25A0033000828ICS-0065</t>
  </si>
  <si>
    <t>26A0005000009ICS-0080</t>
  </si>
  <si>
    <t>26A0010000052ICS-0118</t>
  </si>
  <si>
    <t>26A0010000053ICS-0063</t>
  </si>
  <si>
    <t>26A0055000081ICS-0278</t>
  </si>
  <si>
    <t>26A0010000059ICS-0015</t>
  </si>
  <si>
    <t>26A003000233ICS-0042</t>
  </si>
  <si>
    <t>26A0055000090ICS-0245</t>
  </si>
  <si>
    <t>26A0005000019ICS-0046</t>
  </si>
  <si>
    <t>26A0005000037ICS-0114</t>
  </si>
  <si>
    <t>26A0010000068ICS-0158</t>
  </si>
  <si>
    <t>26A0033000322ICS-0071</t>
  </si>
  <si>
    <t>202 15/07/2015</t>
  </si>
  <si>
    <t>296 19/05/2019</t>
  </si>
  <si>
    <t>196 04/04/2019</t>
  </si>
  <si>
    <t>352 28/05/2019</t>
  </si>
  <si>
    <t>270 02/03/2020</t>
  </si>
  <si>
    <t>1046 15/08/2021</t>
  </si>
  <si>
    <t>122 25/01/2021</t>
  </si>
  <si>
    <t>239 28/02/2021</t>
  </si>
  <si>
    <t>1610 27/12/2021</t>
  </si>
  <si>
    <t>2911 27/11/2023</t>
  </si>
  <si>
    <t>2218 15/10/2023</t>
  </si>
  <si>
    <t>2717 14/11/2023</t>
  </si>
  <si>
    <t>1039 31/05/2023</t>
  </si>
  <si>
    <t>01120 23/08/2021</t>
  </si>
  <si>
    <t>2035 24/09/2023</t>
  </si>
  <si>
    <t>535 DU 17/05/2017</t>
  </si>
  <si>
    <t>107 24/07/2020</t>
  </si>
  <si>
    <t>622 06/08/2028</t>
  </si>
  <si>
    <t>316 19/05/209</t>
  </si>
  <si>
    <t>COLIS</t>
  </si>
  <si>
    <t>Date</t>
  </si>
  <si>
    <t>TC Réceptionnés</t>
  </si>
  <si>
    <t>TC Sortis</t>
  </si>
  <si>
    <t>Total Mouvements</t>
  </si>
  <si>
    <t>TC Sortis
VIDE</t>
  </si>
  <si>
    <t>Total</t>
  </si>
  <si>
    <t>TC</t>
  </si>
  <si>
    <t>VH</t>
  </si>
  <si>
    <t>ARKU840655 /3</t>
  </si>
  <si>
    <t>TRIU058297 /0</t>
  </si>
  <si>
    <t>TGHU629467 /7</t>
  </si>
  <si>
    <t>CMAU461622 /0</t>
  </si>
  <si>
    <t>TRLU825648 /6</t>
  </si>
  <si>
    <t>ARKU842846 /5</t>
  </si>
  <si>
    <t>ARKU848058 /7</t>
  </si>
  <si>
    <t>AXIU162583 /2</t>
  </si>
  <si>
    <t>MRKU790230 /9</t>
  </si>
  <si>
    <t>QIBU124372 /1</t>
  </si>
  <si>
    <t>QNNU123702 /8</t>
  </si>
  <si>
    <t>QIBU124260 /1</t>
  </si>
  <si>
    <t>CLHU824086 /4</t>
  </si>
  <si>
    <t>GSTU885207 /7</t>
  </si>
  <si>
    <t>INKU254267 /7</t>
  </si>
  <si>
    <t>CLHU870166 /8</t>
  </si>
  <si>
    <t>HJCU162262 /9</t>
  </si>
  <si>
    <t>MOTU040670 /9</t>
  </si>
  <si>
    <t>CLMU500393 /7</t>
  </si>
  <si>
    <t>HLXU609679 /0</t>
  </si>
  <si>
    <t>SNFU504586 /6</t>
  </si>
  <si>
    <t>GLDU072442 /9</t>
  </si>
  <si>
    <t>HLXU630123 /5</t>
  </si>
  <si>
    <t>TGHU736832 /6</t>
  </si>
  <si>
    <t>MEDU629107 /7</t>
  </si>
  <si>
    <t>TEMU520748 /6</t>
  </si>
  <si>
    <t>GATU865791 /6</t>
  </si>
  <si>
    <t>SCZU571652 /0</t>
  </si>
  <si>
    <t>HJCU111021 /6</t>
  </si>
  <si>
    <t>SKHU830724 /0</t>
  </si>
  <si>
    <t>HLXU629565 /7</t>
  </si>
  <si>
    <t>TCKU913512 /1</t>
  </si>
  <si>
    <t>SCZU571620 /0</t>
  </si>
  <si>
    <t>YMLU822002 /6</t>
  </si>
  <si>
    <t>ECMU806645 /0</t>
  </si>
  <si>
    <t>ECBU140548 /1</t>
  </si>
  <si>
    <t>MOBU453274 /8</t>
  </si>
  <si>
    <t>BEAU467322 /3</t>
  </si>
  <si>
    <t>FFAU453778 /9</t>
  </si>
  <si>
    <t>TGBU535287 /0</t>
  </si>
  <si>
    <t>CMAU708678 /3</t>
  </si>
  <si>
    <t>SEGU605349 /7</t>
  </si>
  <si>
    <t>TLLU426835 /9</t>
  </si>
  <si>
    <t>CMAU726222 /3</t>
  </si>
  <si>
    <t>TCNU263180 /2</t>
  </si>
  <si>
    <t>FFAU447242 /0</t>
  </si>
  <si>
    <t>TCNU293725 /9</t>
  </si>
  <si>
    <t>EMAU101365 /2</t>
  </si>
  <si>
    <t>EMAU302970 /3</t>
  </si>
  <si>
    <t>EMAU301756 /0</t>
  </si>
  <si>
    <t>EMAU303999 /6</t>
  </si>
  <si>
    <t>EMAU301807 /8</t>
  </si>
  <si>
    <t>SGRU201400 /0</t>
  </si>
  <si>
    <t>EMAU302507 /7</t>
  </si>
  <si>
    <t>TRHU257449 /7</t>
  </si>
  <si>
    <t>SEGU279634 /4</t>
  </si>
  <si>
    <t>TCKU237076 /7</t>
  </si>
  <si>
    <t>MEDU703575 /8</t>
  </si>
  <si>
    <t>MSMU601249 /5</t>
  </si>
  <si>
    <t>MSMU662915 /2</t>
  </si>
  <si>
    <t>AMCU800634 /8</t>
  </si>
  <si>
    <t>AMCU801023 /0</t>
  </si>
  <si>
    <t>TCLU481554 /5</t>
  </si>
  <si>
    <t>TLLU167487 /9</t>
  </si>
  <si>
    <t>FSCU873148 /5</t>
  </si>
  <si>
    <t>TCNU338016 /8</t>
  </si>
  <si>
    <t>CMAU789256 /2</t>
  </si>
  <si>
    <t>MEDU623254 /1</t>
  </si>
  <si>
    <t>MSCU536640 /5</t>
  </si>
  <si>
    <t>MSCU546237 /4</t>
  </si>
  <si>
    <t>MSDU859434 /1</t>
  </si>
  <si>
    <t>TRHU508025 /0</t>
  </si>
  <si>
    <t>TRHU873225 /0</t>
  </si>
  <si>
    <t>CMAU965494 /3</t>
  </si>
  <si>
    <t>HASU492916 /6</t>
  </si>
  <si>
    <t>HASU5156746 /8</t>
  </si>
  <si>
    <t>MRSU698006 /4</t>
  </si>
  <si>
    <t>PONU804908 /6</t>
  </si>
  <si>
    <t>TLLU805438 /1</t>
  </si>
  <si>
    <t>APZU213305 /9</t>
  </si>
  <si>
    <t>CMAU194208 /0</t>
  </si>
  <si>
    <t>TEMU387154 /1</t>
  </si>
  <si>
    <t>HASU512425 /3</t>
  </si>
  <si>
    <t>MRKU714747 /1</t>
  </si>
  <si>
    <t>MRKU776760 /0</t>
  </si>
  <si>
    <t>MRKU862304 /2</t>
  </si>
  <si>
    <t>MSKU561006 /4</t>
  </si>
  <si>
    <t>SUDU747145 /0</t>
  </si>
  <si>
    <t>TCKU302077 /9</t>
  </si>
  <si>
    <t>TEMU342001 /8</t>
  </si>
  <si>
    <t>HASU148037 /0</t>
  </si>
  <si>
    <t>TCLU717677 /2</t>
  </si>
  <si>
    <t>ARKU241132 /0</t>
  </si>
  <si>
    <t>TRHU307416 /1</t>
  </si>
  <si>
    <t>KOCU451131 /9</t>
  </si>
  <si>
    <t>TLLU602255 /2</t>
  </si>
  <si>
    <t>TLLU791288 /7</t>
  </si>
  <si>
    <t>CMAU808811 /6</t>
  </si>
  <si>
    <t>CAAU640372 /2</t>
  </si>
  <si>
    <t>FSCU805157 /5</t>
  </si>
  <si>
    <t>MSBU553832 /6</t>
  </si>
  <si>
    <t>OOCU976350 /8</t>
  </si>
  <si>
    <t>TCKU704466 /0</t>
  </si>
  <si>
    <t>MSBU721115 /8</t>
  </si>
  <si>
    <t>MSMU504541 /0</t>
  </si>
  <si>
    <t>TCLU786835 /9</t>
  </si>
  <si>
    <t>CMAU255168 /7</t>
  </si>
  <si>
    <t>ECMU298872 /5</t>
  </si>
  <si>
    <t>FCIU415741 /0</t>
  </si>
  <si>
    <t>ECMU814651 /3</t>
  </si>
  <si>
    <t>FFAU501814 /0</t>
  </si>
  <si>
    <t>MRKU332531 /7</t>
  </si>
  <si>
    <t>SUDU698880 /7</t>
  </si>
  <si>
    <t>MSBU679925 /8</t>
  </si>
  <si>
    <t>FCIU909285 /7</t>
  </si>
  <si>
    <t>TCLU607052 /8</t>
  </si>
  <si>
    <t>TLLU151358 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</si>
</sst>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2"/>
      <name val="Calibri"/>
      <family val="2"/>
    </font>
    <font>
      <b/>
      <sz val="10"/>
      <color rgb="FFFFFFFF"/>
      <name val="Segoe UI"/>
      <family val="2"/>
    </font>
    <font>
      <b/>
      <sz val="16"/>
      <name val="Segoe UI"/>
      <family val="2"/>
    </font>
    <font>
      <b/>
      <sz val="11"/>
      <name val="Calibri"/>
      <family val="2"/>
    </font>
    <font>
      <b/>
      <sz val="10"/>
      <color rgb="FF2C3E50"/>
      <name val="Segoe UI"/>
      <family val="2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b/>
      <sz val="11"/>
      <color rgb="FFFFFFFF"/>
      <name val="Segoe UI"/>
      <family val="2"/>
    </font>
    <font>
      <b/>
      <sz val="10"/>
      <color rgb="FF1A1A1A"/>
      <name val="Segoe UI"/>
      <family val="2"/>
    </font>
    <font>
      <b/>
      <sz val="11"/>
      <color rgb="FF2C3E5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D0000"/>
        <bgColor rgb="FF2C3E50"/>
      </patternFill>
    </fill>
    <fill>
      <patternFill patternType="solid">
        <fgColor rgb="FF2C3E50"/>
        <bgColor rgb="FF2C3E50"/>
      </patternFill>
    </fill>
    <fill>
      <patternFill patternType="solid">
        <fgColor rgb="FF1B365D"/>
        <bgColor rgb="FF1B365D"/>
      </patternFill>
    </fill>
    <fill>
      <patternFill patternType="solid">
        <fgColor rgb="FFF8F9F9"/>
        <bgColor rgb="FFF8F9F9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4" xfId="0" applyFont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5" borderId="9" xfId="0" applyFont="1" applyFill="1" applyBorder="1" applyAlignment="1">
      <alignment horizontal="center" vertical="center" wrapText="1"/>
    </xf>
    <xf numFmtId="164" fontId="10" fillId="6" borderId="9" xfId="0" applyNumberFormat="1" applyFont="1" applyFill="1" applyBorder="1" applyAlignment="1">
      <alignment horizontal="center" vertical="center"/>
    </xf>
    <xf numFmtId="3" fontId="11" fillId="7" borderId="9" xfId="0" applyNumberFormat="1" applyFont="1" applyFill="1" applyBorder="1" applyAlignment="1">
      <alignment horizontal="center" vertical="center"/>
    </xf>
    <xf numFmtId="3" fontId="10" fillId="8" borderId="9" xfId="0" applyNumberFormat="1" applyFont="1" applyFill="1" applyBorder="1" applyAlignment="1">
      <alignment horizontal="center" vertical="center"/>
    </xf>
    <xf numFmtId="3" fontId="9" fillId="5" borderId="9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333375</xdr:colOff>
      <xdr:row>2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056FC32-FB5B-434F-A896-DF178B793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76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</xdr:rowOff>
    </xdr:from>
    <xdr:to>
      <xdr:col>2</xdr:col>
      <xdr:colOff>333375</xdr:colOff>
      <xdr:row>2</xdr:row>
      <xdr:rowOff>114300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158F84B-424C-4F31-9614-68966C114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"/>
          <a:ext cx="2000250" cy="495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2CF0-73DA-47C1-B22C-892004AD8E84}">
  <dimension ref="A1:F24"/>
  <sheetViews>
    <sheetView workbookViewId="0">
      <selection activeCell="J16" sqref="J16"/>
    </sheetView>
  </sheetViews>
  <sheetFormatPr baseColWidth="10" defaultColWidth="9.140625" defaultRowHeight="15" x14ac:dyDescent="0.25"/>
  <cols>
    <col min="1" max="1" width="47" customWidth="1"/>
    <col min="2" max="2" width="18" bestFit="1" customWidth="1"/>
    <col min="3" max="3" width="17.42578125" bestFit="1" customWidth="1"/>
    <col min="4" max="4" width="20.28515625" bestFit="1" customWidth="1"/>
    <col min="5" max="5" width="4.85546875" customWidth="1"/>
    <col min="6" max="6" width="15.42578125" customWidth="1"/>
  </cols>
  <sheetData>
    <row r="1" spans="1:6" ht="33" x14ac:dyDescent="0.25">
      <c r="A1" s="34" t="s">
        <v>56</v>
      </c>
      <c r="B1" s="34" t="s">
        <v>57</v>
      </c>
      <c r="C1" s="34" t="s">
        <v>58</v>
      </c>
      <c r="D1" s="34" t="s">
        <v>59</v>
      </c>
      <c r="E1" s="34"/>
      <c r="F1" s="34" t="s">
        <v>60</v>
      </c>
    </row>
    <row r="2" spans="1:6" ht="16.5" x14ac:dyDescent="0.25">
      <c r="A2" s="35">
        <v>46266</v>
      </c>
      <c r="B2" s="36">
        <f>'Douanes Oran-Exterieur'!H1</f>
        <v>60</v>
      </c>
      <c r="C2" s="36">
        <v>0</v>
      </c>
      <c r="D2" s="37">
        <f t="shared" ref="D2:D6" si="0">SUM(B2:C2)</f>
        <v>60</v>
      </c>
      <c r="F2" s="36"/>
    </row>
    <row r="3" spans="1:6" ht="16.5" x14ac:dyDescent="0.25">
      <c r="A3" s="35">
        <v>46267</v>
      </c>
      <c r="B3" s="36">
        <f>'Douanes Oran-Port'!H1</f>
        <v>59</v>
      </c>
      <c r="C3" s="36">
        <v>0</v>
      </c>
      <c r="D3" s="37">
        <f t="shared" si="0"/>
        <v>59</v>
      </c>
      <c r="F3" s="36"/>
    </row>
    <row r="4" spans="1:6" ht="16.5" x14ac:dyDescent="0.25">
      <c r="A4" s="35"/>
      <c r="B4" s="36"/>
      <c r="C4" s="36"/>
      <c r="D4" s="37"/>
      <c r="F4" s="36"/>
    </row>
    <row r="5" spans="1:6" ht="16.5" x14ac:dyDescent="0.25">
      <c r="A5" s="35"/>
      <c r="B5" s="36"/>
      <c r="C5" s="36"/>
      <c r="D5" s="37"/>
      <c r="F5" s="36"/>
    </row>
    <row r="6" spans="1:6" ht="16.5" x14ac:dyDescent="0.25">
      <c r="A6" s="35"/>
      <c r="B6" s="36"/>
      <c r="C6" s="36"/>
      <c r="D6" s="37"/>
      <c r="F6" s="36"/>
    </row>
    <row r="7" spans="1:6" ht="16.5" x14ac:dyDescent="0.25">
      <c r="A7" s="35"/>
      <c r="B7" s="36"/>
      <c r="C7" s="36"/>
      <c r="D7" s="37"/>
      <c r="F7" s="36"/>
    </row>
    <row r="8" spans="1:6" ht="16.5" x14ac:dyDescent="0.25">
      <c r="A8" s="35"/>
      <c r="B8" s="36"/>
      <c r="C8" s="36"/>
      <c r="D8" s="37"/>
      <c r="F8" s="36"/>
    </row>
    <row r="9" spans="1:6" ht="16.5" x14ac:dyDescent="0.25">
      <c r="A9" s="35"/>
      <c r="B9" s="36"/>
      <c r="C9" s="36"/>
      <c r="D9" s="37"/>
      <c r="F9" s="36"/>
    </row>
    <row r="10" spans="1:6" ht="16.5" x14ac:dyDescent="0.25">
      <c r="A10" s="35"/>
      <c r="B10" s="36"/>
      <c r="C10" s="36"/>
      <c r="D10" s="37"/>
      <c r="F10" s="36"/>
    </row>
    <row r="11" spans="1:6" ht="16.5" x14ac:dyDescent="0.25">
      <c r="A11" s="35"/>
      <c r="B11" s="36"/>
      <c r="C11" s="36"/>
      <c r="D11" s="37"/>
      <c r="F11" s="36"/>
    </row>
    <row r="12" spans="1:6" ht="16.5" x14ac:dyDescent="0.25">
      <c r="A12" s="35"/>
      <c r="B12" s="36"/>
      <c r="C12" s="36"/>
      <c r="D12" s="37"/>
      <c r="F12" s="36"/>
    </row>
    <row r="13" spans="1:6" ht="16.5" x14ac:dyDescent="0.25">
      <c r="A13" s="35"/>
      <c r="B13" s="36"/>
      <c r="C13" s="36"/>
      <c r="D13" s="37"/>
      <c r="F13" s="36"/>
    </row>
    <row r="14" spans="1:6" ht="16.5" x14ac:dyDescent="0.25">
      <c r="A14" s="35"/>
      <c r="B14" s="36"/>
      <c r="C14" s="36"/>
      <c r="D14" s="37"/>
      <c r="F14" s="36"/>
    </row>
    <row r="15" spans="1:6" ht="16.5" x14ac:dyDescent="0.25">
      <c r="A15" s="35"/>
      <c r="B15" s="36"/>
      <c r="C15" s="36"/>
      <c r="D15" s="37"/>
      <c r="F15" s="36"/>
    </row>
    <row r="16" spans="1:6" ht="16.5" x14ac:dyDescent="0.25">
      <c r="A16" s="35"/>
      <c r="B16" s="36"/>
      <c r="C16" s="36"/>
      <c r="D16" s="37"/>
      <c r="F16" s="36"/>
    </row>
    <row r="17" spans="1:6" ht="16.5" x14ac:dyDescent="0.25">
      <c r="A17" s="35"/>
      <c r="B17" s="36"/>
      <c r="C17" s="36"/>
      <c r="D17" s="37"/>
      <c r="F17" s="36"/>
    </row>
    <row r="18" spans="1:6" ht="16.5" x14ac:dyDescent="0.25">
      <c r="A18" s="35"/>
      <c r="B18" s="36"/>
      <c r="C18" s="36"/>
      <c r="D18" s="37"/>
      <c r="F18" s="36"/>
    </row>
    <row r="19" spans="1:6" ht="16.5" x14ac:dyDescent="0.25">
      <c r="A19" s="35"/>
      <c r="B19" s="36"/>
      <c r="C19" s="36"/>
      <c r="D19" s="37"/>
      <c r="F19" s="36"/>
    </row>
    <row r="20" spans="1:6" ht="16.5" x14ac:dyDescent="0.25">
      <c r="A20" s="35"/>
      <c r="B20" s="36"/>
      <c r="C20" s="36"/>
      <c r="D20" s="37"/>
      <c r="F20" s="36"/>
    </row>
    <row r="21" spans="1:6" ht="16.5" x14ac:dyDescent="0.25">
      <c r="A21" s="35"/>
      <c r="B21" s="36"/>
      <c r="C21" s="36"/>
      <c r="D21" s="37"/>
      <c r="F21" s="36"/>
    </row>
    <row r="22" spans="1:6" ht="16.5" x14ac:dyDescent="0.25">
      <c r="A22" s="35"/>
      <c r="B22" s="36"/>
      <c r="C22" s="36"/>
      <c r="D22" s="37"/>
      <c r="F22" s="36"/>
    </row>
    <row r="23" spans="1:6" ht="16.5" x14ac:dyDescent="0.25">
      <c r="F23" s="36"/>
    </row>
    <row r="24" spans="1:6" ht="16.5" x14ac:dyDescent="0.25">
      <c r="A24" s="34" t="s">
        <v>61</v>
      </c>
      <c r="B24" s="38">
        <f>SUM(B2:B22)</f>
        <v>119</v>
      </c>
      <c r="C24" s="38">
        <f>SUM(C2:C22)</f>
        <v>0</v>
      </c>
      <c r="D24" s="38">
        <f>SUM(D2:D22)</f>
        <v>119</v>
      </c>
      <c r="E24" s="38"/>
      <c r="F24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87DF-D1A0-4D00-8014-E47488D932D5}">
  <dimension ref="A1:J67"/>
  <sheetViews>
    <sheetView tabSelected="1" workbookViewId="0">
      <selection activeCell="F8" sqref="F8"/>
    </sheetView>
  </sheetViews>
  <sheetFormatPr baseColWidth="10" defaultRowHeight="15" x14ac:dyDescent="0.25"/>
  <cols>
    <col min="1" max="1" width="3.140625" style="16" bestFit="1" customWidth="1"/>
    <col min="2" max="2" width="21.85546875" style="16" bestFit="1" customWidth="1"/>
    <col min="3" max="3" width="19.28515625" style="16" customWidth="1"/>
    <col min="4" max="4" width="19.140625" style="19" customWidth="1"/>
    <col min="5" max="5" width="14.28515625" style="16" customWidth="1"/>
    <col min="6" max="6" width="13.85546875" style="16" bestFit="1" customWidth="1"/>
    <col min="7" max="7" width="12.140625" style="16" bestFit="1" customWidth="1"/>
    <col min="8" max="10" width="11.42578125" style="16"/>
    <col min="11" max="11" width="14.7109375" style="16" bestFit="1" customWidth="1"/>
    <col min="12" max="16384" width="11.42578125" style="16"/>
  </cols>
  <sheetData>
    <row r="1" spans="1:10" s="2" customFormat="1" ht="15.75" x14ac:dyDescent="0.25">
      <c r="A1" s="1"/>
      <c r="D1" s="1"/>
      <c r="H1" s="3">
        <f>COUNTIF(C8:C67,"&lt;&gt;")</f>
        <v>60</v>
      </c>
      <c r="I1" s="4" t="s">
        <v>62</v>
      </c>
    </row>
    <row r="2" spans="1:10" s="2" customFormat="1" ht="15.75" x14ac:dyDescent="0.25">
      <c r="A2" s="1"/>
      <c r="D2" s="1"/>
      <c r="F2" s="3">
        <f>COUNTIFS(B20:B29,"&lt;&gt;",C20:C29,"VH")</f>
        <v>0</v>
      </c>
      <c r="G2" s="4" t="s">
        <v>63</v>
      </c>
      <c r="H2" s="39">
        <v>0</v>
      </c>
      <c r="I2" s="4" t="s">
        <v>62</v>
      </c>
      <c r="J2" s="5">
        <f>COUNTIF(E20:E29,"VIDE")</f>
        <v>0</v>
      </c>
    </row>
    <row r="3" spans="1:10" s="2" customFormat="1" ht="25.5" x14ac:dyDescent="0.25">
      <c r="A3" s="30" t="s">
        <v>0</v>
      </c>
      <c r="B3" s="30"/>
      <c r="C3" s="30"/>
      <c r="D3" s="30"/>
      <c r="E3" s="30"/>
      <c r="F3" s="30"/>
      <c r="G3" s="30"/>
      <c r="H3" s="30"/>
    </row>
    <row r="4" spans="1:10" s="2" customFormat="1" ht="12.75" x14ac:dyDescent="0.25">
      <c r="A4" s="1"/>
      <c r="D4" s="1"/>
    </row>
    <row r="5" spans="1:10" s="2" customFormat="1" ht="15.75" x14ac:dyDescent="0.25">
      <c r="A5" s="1"/>
      <c r="B5" s="6" t="s">
        <v>1</v>
      </c>
      <c r="D5" s="1"/>
      <c r="G5" s="7">
        <v>46272</v>
      </c>
    </row>
    <row r="6" spans="1:10" s="2" customFormat="1" thickBot="1" x14ac:dyDescent="0.3">
      <c r="A6" s="1"/>
      <c r="B6" s="8"/>
      <c r="D6" s="1"/>
    </row>
    <row r="7" spans="1:10" s="2" customFormat="1" ht="14.25" x14ac:dyDescent="0.25">
      <c r="A7" s="9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1" t="s">
        <v>7</v>
      </c>
    </row>
    <row r="8" spans="1:10" ht="15.75" x14ac:dyDescent="0.25">
      <c r="A8" s="12">
        <v>1</v>
      </c>
      <c r="B8" s="31" t="s">
        <v>8</v>
      </c>
      <c r="C8" s="21">
        <v>45526</v>
      </c>
      <c r="D8" s="22" t="s">
        <v>121</v>
      </c>
      <c r="E8" s="13"/>
      <c r="F8" s="14">
        <v>20</v>
      </c>
      <c r="G8" s="15"/>
    </row>
    <row r="9" spans="1:10" ht="15.75" x14ac:dyDescent="0.25">
      <c r="A9" s="12">
        <v>2</v>
      </c>
      <c r="B9" s="33"/>
      <c r="C9" s="21">
        <v>45526</v>
      </c>
      <c r="D9" s="22" t="s">
        <v>122</v>
      </c>
      <c r="E9" s="14"/>
      <c r="F9" s="14"/>
      <c r="G9" s="15"/>
    </row>
    <row r="10" spans="1:10" ht="15.75" x14ac:dyDescent="0.25">
      <c r="A10" s="12">
        <v>3</v>
      </c>
      <c r="B10" s="32"/>
      <c r="C10" s="21">
        <v>45526</v>
      </c>
      <c r="D10" s="22" t="s">
        <v>123</v>
      </c>
      <c r="E10" s="14"/>
      <c r="F10" s="14"/>
      <c r="G10" s="15"/>
    </row>
    <row r="11" spans="1:10" ht="15.75" x14ac:dyDescent="0.25">
      <c r="A11" s="12">
        <v>4</v>
      </c>
      <c r="B11" s="31" t="s">
        <v>9</v>
      </c>
      <c r="C11" s="21">
        <v>45537</v>
      </c>
      <c r="D11" s="22" t="s">
        <v>124</v>
      </c>
      <c r="E11" s="14"/>
      <c r="F11" s="14"/>
      <c r="G11" s="15"/>
    </row>
    <row r="12" spans="1:10" ht="15.75" x14ac:dyDescent="0.25">
      <c r="A12" s="12">
        <v>5</v>
      </c>
      <c r="B12" s="33"/>
      <c r="C12" s="21">
        <v>45537</v>
      </c>
      <c r="D12" s="22" t="s">
        <v>125</v>
      </c>
      <c r="E12" s="17"/>
      <c r="F12" s="14"/>
      <c r="G12" s="15"/>
    </row>
    <row r="13" spans="1:10" ht="15.75" x14ac:dyDescent="0.25">
      <c r="A13" s="12">
        <v>6</v>
      </c>
      <c r="B13" s="33"/>
      <c r="C13" s="21">
        <v>45537</v>
      </c>
      <c r="D13" s="22" t="s">
        <v>126</v>
      </c>
      <c r="E13" s="17"/>
      <c r="F13" s="14"/>
      <c r="G13" s="15"/>
    </row>
    <row r="14" spans="1:10" ht="15.75" x14ac:dyDescent="0.25">
      <c r="A14" s="12">
        <v>7</v>
      </c>
      <c r="B14" s="32"/>
      <c r="C14" s="21">
        <v>45537</v>
      </c>
      <c r="D14" s="22" t="s">
        <v>127</v>
      </c>
      <c r="E14" s="17"/>
      <c r="F14" s="14"/>
      <c r="G14" s="15"/>
    </row>
    <row r="15" spans="1:10" ht="15.75" x14ac:dyDescent="0.25">
      <c r="A15" s="12">
        <v>8</v>
      </c>
      <c r="B15" s="18" t="s">
        <v>10</v>
      </c>
      <c r="C15" s="21">
        <v>45684</v>
      </c>
      <c r="D15" s="22" t="s">
        <v>128</v>
      </c>
      <c r="E15" s="17"/>
      <c r="F15" s="14"/>
      <c r="G15" s="15"/>
    </row>
    <row r="16" spans="1:10" x14ac:dyDescent="0.25">
      <c r="A16" s="12">
        <v>9</v>
      </c>
      <c r="B16" s="18" t="s">
        <v>11</v>
      </c>
      <c r="C16" s="21">
        <v>45724</v>
      </c>
      <c r="D16" s="22" t="s">
        <v>129</v>
      </c>
      <c r="E16" s="20"/>
      <c r="F16" s="20"/>
    </row>
    <row r="17" spans="1:6" x14ac:dyDescent="0.25">
      <c r="A17" s="12">
        <v>10</v>
      </c>
      <c r="B17" s="18" t="s">
        <v>12</v>
      </c>
      <c r="C17" s="21">
        <v>45729</v>
      </c>
      <c r="D17" s="22" t="s">
        <v>130</v>
      </c>
      <c r="E17" s="20"/>
      <c r="F17" s="20"/>
    </row>
    <row r="18" spans="1:6" x14ac:dyDescent="0.25">
      <c r="A18" s="12">
        <v>11</v>
      </c>
      <c r="B18" s="31" t="s">
        <v>13</v>
      </c>
      <c r="C18" s="21">
        <v>45817</v>
      </c>
      <c r="D18" s="22" t="s">
        <v>131</v>
      </c>
      <c r="E18" s="20"/>
      <c r="F18" s="20"/>
    </row>
    <row r="19" spans="1:6" x14ac:dyDescent="0.25">
      <c r="A19" s="12">
        <v>12</v>
      </c>
      <c r="B19" s="33"/>
      <c r="C19" s="21">
        <v>45817</v>
      </c>
      <c r="D19" s="22" t="s">
        <v>132</v>
      </c>
      <c r="E19" s="20"/>
      <c r="F19" s="20"/>
    </row>
    <row r="20" spans="1:6" x14ac:dyDescent="0.25">
      <c r="A20" s="12">
        <v>13</v>
      </c>
      <c r="B20" s="33"/>
      <c r="C20" s="21">
        <v>45817</v>
      </c>
      <c r="D20" s="22" t="s">
        <v>133</v>
      </c>
      <c r="E20" s="20"/>
      <c r="F20" s="20"/>
    </row>
    <row r="21" spans="1:6" x14ac:dyDescent="0.25">
      <c r="A21" s="12">
        <v>14</v>
      </c>
      <c r="B21" s="33"/>
      <c r="C21" s="21">
        <v>45817</v>
      </c>
      <c r="D21" s="22" t="s">
        <v>134</v>
      </c>
      <c r="E21" s="20"/>
      <c r="F21" s="20"/>
    </row>
    <row r="22" spans="1:6" x14ac:dyDescent="0.25">
      <c r="A22" s="12">
        <v>15</v>
      </c>
      <c r="B22" s="33"/>
      <c r="C22" s="21">
        <v>45817</v>
      </c>
      <c r="D22" s="22" t="s">
        <v>135</v>
      </c>
      <c r="E22" s="20"/>
      <c r="F22" s="20"/>
    </row>
    <row r="23" spans="1:6" x14ac:dyDescent="0.25">
      <c r="A23" s="12">
        <v>16</v>
      </c>
      <c r="B23" s="32"/>
      <c r="C23" s="21">
        <v>45817</v>
      </c>
      <c r="D23" s="22" t="s">
        <v>136</v>
      </c>
      <c r="E23" s="20"/>
      <c r="F23" s="20"/>
    </row>
    <row r="24" spans="1:6" x14ac:dyDescent="0.25">
      <c r="A24" s="12">
        <v>17</v>
      </c>
      <c r="B24" s="18" t="s">
        <v>14</v>
      </c>
      <c r="C24" s="21">
        <v>46189</v>
      </c>
      <c r="D24" s="22" t="s">
        <v>137</v>
      </c>
      <c r="E24" s="20"/>
      <c r="F24" s="20"/>
    </row>
    <row r="25" spans="1:6" x14ac:dyDescent="0.25">
      <c r="A25" s="12">
        <v>18</v>
      </c>
      <c r="B25" s="31" t="s">
        <v>15</v>
      </c>
      <c r="C25" s="21">
        <v>45862</v>
      </c>
      <c r="D25" s="22" t="s">
        <v>138</v>
      </c>
      <c r="E25" s="20"/>
      <c r="F25" s="20"/>
    </row>
    <row r="26" spans="1:6" x14ac:dyDescent="0.25">
      <c r="A26" s="12">
        <v>19</v>
      </c>
      <c r="B26" s="33"/>
      <c r="C26" s="21">
        <v>45862</v>
      </c>
      <c r="D26" s="22" t="s">
        <v>139</v>
      </c>
      <c r="E26" s="20"/>
      <c r="F26" s="20"/>
    </row>
    <row r="27" spans="1:6" x14ac:dyDescent="0.25">
      <c r="A27" s="12">
        <v>20</v>
      </c>
      <c r="B27" s="32"/>
      <c r="C27" s="21">
        <v>45862</v>
      </c>
      <c r="D27" s="22" t="s">
        <v>140</v>
      </c>
      <c r="E27" s="20"/>
      <c r="F27" s="20"/>
    </row>
    <row r="28" spans="1:6" x14ac:dyDescent="0.25">
      <c r="A28" s="12">
        <v>21</v>
      </c>
      <c r="B28" s="31" t="s">
        <v>16</v>
      </c>
      <c r="C28" s="21">
        <v>45867</v>
      </c>
      <c r="D28" s="22" t="s">
        <v>141</v>
      </c>
      <c r="E28" s="20"/>
      <c r="F28" s="20"/>
    </row>
    <row r="29" spans="1:6" x14ac:dyDescent="0.25">
      <c r="A29" s="12">
        <v>22</v>
      </c>
      <c r="B29" s="32"/>
      <c r="C29" s="21">
        <v>45867</v>
      </c>
      <c r="D29" s="22" t="s">
        <v>142</v>
      </c>
      <c r="E29" s="20"/>
      <c r="F29" s="20"/>
    </row>
    <row r="30" spans="1:6" x14ac:dyDescent="0.25">
      <c r="A30" s="12">
        <v>23</v>
      </c>
      <c r="B30" s="31" t="s">
        <v>17</v>
      </c>
      <c r="C30" s="21">
        <v>45869</v>
      </c>
      <c r="D30" s="22" t="s">
        <v>143</v>
      </c>
      <c r="E30" s="20"/>
      <c r="F30" s="20"/>
    </row>
    <row r="31" spans="1:6" x14ac:dyDescent="0.25">
      <c r="A31" s="12">
        <v>24</v>
      </c>
      <c r="B31" s="33"/>
      <c r="C31" s="21">
        <v>45869</v>
      </c>
      <c r="D31" s="22" t="s">
        <v>144</v>
      </c>
      <c r="E31" s="20"/>
      <c r="F31" s="20"/>
    </row>
    <row r="32" spans="1:6" x14ac:dyDescent="0.25">
      <c r="A32" s="12">
        <v>25</v>
      </c>
      <c r="B32" s="32"/>
      <c r="C32" s="21">
        <v>45869</v>
      </c>
      <c r="D32" s="22" t="s">
        <v>145</v>
      </c>
      <c r="E32" s="20"/>
      <c r="F32" s="20"/>
    </row>
    <row r="33" spans="1:6" x14ac:dyDescent="0.25">
      <c r="A33" s="12">
        <v>26</v>
      </c>
      <c r="B33" s="18" t="s">
        <v>18</v>
      </c>
      <c r="C33" s="21">
        <v>45880</v>
      </c>
      <c r="D33" s="22" t="s">
        <v>146</v>
      </c>
      <c r="E33" s="20"/>
      <c r="F33" s="20"/>
    </row>
    <row r="34" spans="1:6" x14ac:dyDescent="0.25">
      <c r="A34" s="12">
        <v>27</v>
      </c>
      <c r="B34" s="31" t="s">
        <v>19</v>
      </c>
      <c r="C34" s="21">
        <v>45889</v>
      </c>
      <c r="D34" s="22" t="s">
        <v>147</v>
      </c>
      <c r="E34" s="20"/>
      <c r="F34" s="20"/>
    </row>
    <row r="35" spans="1:6" x14ac:dyDescent="0.25">
      <c r="A35" s="12">
        <v>28</v>
      </c>
      <c r="B35" s="33"/>
      <c r="C35" s="21">
        <v>45889</v>
      </c>
      <c r="D35" s="22" t="s">
        <v>148</v>
      </c>
      <c r="E35" s="20"/>
      <c r="F35" s="20"/>
    </row>
    <row r="36" spans="1:6" x14ac:dyDescent="0.25">
      <c r="A36" s="12">
        <v>29</v>
      </c>
      <c r="B36" s="33"/>
      <c r="C36" s="21">
        <v>45889</v>
      </c>
      <c r="D36" s="22" t="s">
        <v>149</v>
      </c>
      <c r="E36" s="20"/>
      <c r="F36" s="20"/>
    </row>
    <row r="37" spans="1:6" x14ac:dyDescent="0.25">
      <c r="A37" s="12">
        <v>30</v>
      </c>
      <c r="B37" s="33"/>
      <c r="C37" s="21">
        <v>45889</v>
      </c>
      <c r="D37" s="22" t="s">
        <v>150</v>
      </c>
      <c r="E37" s="20"/>
      <c r="F37" s="20"/>
    </row>
    <row r="38" spans="1:6" x14ac:dyDescent="0.25">
      <c r="A38" s="12">
        <v>31</v>
      </c>
      <c r="B38" s="33"/>
      <c r="C38" s="21">
        <v>45889</v>
      </c>
      <c r="D38" s="22" t="s">
        <v>151</v>
      </c>
      <c r="E38" s="20"/>
      <c r="F38" s="20"/>
    </row>
    <row r="39" spans="1:6" x14ac:dyDescent="0.25">
      <c r="A39" s="12">
        <v>32</v>
      </c>
      <c r="B39" s="33"/>
      <c r="C39" s="21">
        <v>45889</v>
      </c>
      <c r="D39" s="22" t="s">
        <v>152</v>
      </c>
      <c r="E39" s="20"/>
      <c r="F39" s="20"/>
    </row>
    <row r="40" spans="1:6" x14ac:dyDescent="0.25">
      <c r="A40" s="12">
        <v>33</v>
      </c>
      <c r="B40" s="32"/>
      <c r="C40" s="21">
        <v>45889</v>
      </c>
      <c r="D40" s="22" t="s">
        <v>153</v>
      </c>
      <c r="E40" s="20"/>
      <c r="F40" s="20"/>
    </row>
    <row r="41" spans="1:6" x14ac:dyDescent="0.25">
      <c r="A41" s="12">
        <v>34</v>
      </c>
      <c r="B41" s="31" t="s">
        <v>20</v>
      </c>
      <c r="C41" s="21">
        <v>45895</v>
      </c>
      <c r="D41" s="22" t="s">
        <v>154</v>
      </c>
      <c r="E41" s="20"/>
      <c r="F41" s="20"/>
    </row>
    <row r="42" spans="1:6" x14ac:dyDescent="0.25">
      <c r="A42" s="12">
        <v>35</v>
      </c>
      <c r="B42" s="32"/>
      <c r="C42" s="21">
        <v>45895</v>
      </c>
      <c r="D42" s="22" t="s">
        <v>155</v>
      </c>
      <c r="E42" s="20"/>
      <c r="F42" s="20"/>
    </row>
    <row r="43" spans="1:6" x14ac:dyDescent="0.25">
      <c r="A43" s="12">
        <v>36</v>
      </c>
      <c r="B43" s="31" t="s">
        <v>21</v>
      </c>
      <c r="C43" s="21">
        <v>46290</v>
      </c>
      <c r="D43" s="22" t="s">
        <v>156</v>
      </c>
      <c r="E43" s="20"/>
      <c r="F43" s="20"/>
    </row>
    <row r="44" spans="1:6" x14ac:dyDescent="0.25">
      <c r="A44" s="12">
        <v>37</v>
      </c>
      <c r="B44" s="32"/>
      <c r="C44" s="21">
        <v>46290</v>
      </c>
      <c r="D44" s="22" t="s">
        <v>157</v>
      </c>
      <c r="E44" s="20"/>
      <c r="F44" s="20"/>
    </row>
    <row r="45" spans="1:6" x14ac:dyDescent="0.25">
      <c r="A45" s="12">
        <v>38</v>
      </c>
      <c r="B45" s="31" t="s">
        <v>22</v>
      </c>
      <c r="C45" s="21">
        <v>46032</v>
      </c>
      <c r="D45" s="22" t="s">
        <v>158</v>
      </c>
      <c r="E45" s="20"/>
      <c r="F45" s="20"/>
    </row>
    <row r="46" spans="1:6" x14ac:dyDescent="0.25">
      <c r="A46" s="12">
        <v>39</v>
      </c>
      <c r="B46" s="32"/>
      <c r="C46" s="21">
        <v>46032</v>
      </c>
      <c r="D46" s="22" t="s">
        <v>159</v>
      </c>
      <c r="E46" s="20"/>
      <c r="F46" s="20"/>
    </row>
    <row r="47" spans="1:6" x14ac:dyDescent="0.25">
      <c r="A47" s="12">
        <v>40</v>
      </c>
      <c r="B47" s="18" t="s">
        <v>23</v>
      </c>
      <c r="C47" s="21">
        <v>46034</v>
      </c>
      <c r="D47" s="22" t="s">
        <v>160</v>
      </c>
      <c r="E47" s="20"/>
      <c r="F47" s="20"/>
    </row>
    <row r="48" spans="1:6" x14ac:dyDescent="0.25">
      <c r="A48" s="12">
        <v>41</v>
      </c>
      <c r="B48" s="18" t="s">
        <v>24</v>
      </c>
      <c r="C48" s="21">
        <v>45672</v>
      </c>
      <c r="D48" s="22" t="s">
        <v>161</v>
      </c>
      <c r="E48" s="20"/>
      <c r="F48" s="20"/>
    </row>
    <row r="49" spans="1:6" x14ac:dyDescent="0.25">
      <c r="A49" s="12">
        <v>42</v>
      </c>
      <c r="B49" s="18" t="s">
        <v>25</v>
      </c>
      <c r="C49" s="21">
        <v>46078</v>
      </c>
      <c r="D49" s="22" t="s">
        <v>162</v>
      </c>
      <c r="E49" s="20"/>
      <c r="F49" s="20"/>
    </row>
    <row r="50" spans="1:6" x14ac:dyDescent="0.25">
      <c r="A50" s="12">
        <v>43</v>
      </c>
      <c r="B50" s="18" t="s">
        <v>26</v>
      </c>
      <c r="C50" s="21">
        <v>46119</v>
      </c>
      <c r="D50" s="22" t="s">
        <v>163</v>
      </c>
      <c r="E50" s="20"/>
      <c r="F50" s="20"/>
    </row>
    <row r="51" spans="1:6" x14ac:dyDescent="0.25">
      <c r="A51" s="12">
        <v>44</v>
      </c>
      <c r="B51" s="18" t="s">
        <v>27</v>
      </c>
      <c r="C51" s="21">
        <v>46125</v>
      </c>
      <c r="D51" s="22" t="s">
        <v>164</v>
      </c>
      <c r="E51" s="20"/>
      <c r="F51" s="20"/>
    </row>
    <row r="52" spans="1:6" x14ac:dyDescent="0.25">
      <c r="A52" s="12">
        <v>45</v>
      </c>
      <c r="B52" s="31" t="s">
        <v>28</v>
      </c>
      <c r="C52" s="21">
        <v>46125</v>
      </c>
      <c r="D52" s="22" t="s">
        <v>165</v>
      </c>
      <c r="E52" s="20"/>
      <c r="F52" s="20"/>
    </row>
    <row r="53" spans="1:6" x14ac:dyDescent="0.25">
      <c r="A53" s="12">
        <v>46</v>
      </c>
      <c r="B53" s="32"/>
      <c r="C53" s="21">
        <v>46125</v>
      </c>
      <c r="D53" s="22" t="s">
        <v>166</v>
      </c>
      <c r="E53" s="20"/>
      <c r="F53" s="20"/>
    </row>
    <row r="54" spans="1:6" x14ac:dyDescent="0.25">
      <c r="A54" s="12">
        <v>47</v>
      </c>
      <c r="B54" s="31" t="s">
        <v>29</v>
      </c>
      <c r="C54" s="21">
        <v>46134</v>
      </c>
      <c r="D54" s="22" t="s">
        <v>167</v>
      </c>
      <c r="E54" s="20"/>
      <c r="F54" s="20"/>
    </row>
    <row r="55" spans="1:6" x14ac:dyDescent="0.25">
      <c r="A55" s="12">
        <v>48</v>
      </c>
      <c r="B55" s="33"/>
      <c r="C55" s="21">
        <v>46134</v>
      </c>
      <c r="D55" s="22" t="s">
        <v>168</v>
      </c>
      <c r="E55" s="20"/>
      <c r="F55" s="20"/>
    </row>
    <row r="56" spans="1:6" x14ac:dyDescent="0.25">
      <c r="A56" s="12">
        <v>49</v>
      </c>
      <c r="B56" s="32"/>
      <c r="C56" s="21">
        <v>46134</v>
      </c>
      <c r="D56" s="22" t="s">
        <v>169</v>
      </c>
      <c r="E56" s="20"/>
      <c r="F56" s="20"/>
    </row>
    <row r="57" spans="1:6" x14ac:dyDescent="0.25">
      <c r="A57" s="12">
        <v>50</v>
      </c>
      <c r="B57" s="31" t="s">
        <v>30</v>
      </c>
      <c r="C57" s="21">
        <v>46135</v>
      </c>
      <c r="D57" s="22" t="s">
        <v>170</v>
      </c>
      <c r="E57" s="20"/>
      <c r="F57" s="20"/>
    </row>
    <row r="58" spans="1:6" x14ac:dyDescent="0.25">
      <c r="A58" s="12">
        <v>51</v>
      </c>
      <c r="B58" s="33"/>
      <c r="C58" s="21">
        <v>46135</v>
      </c>
      <c r="D58" s="22" t="s">
        <v>171</v>
      </c>
      <c r="E58" s="20"/>
      <c r="F58" s="20"/>
    </row>
    <row r="59" spans="1:6" x14ac:dyDescent="0.25">
      <c r="A59" s="12">
        <v>52</v>
      </c>
      <c r="B59" s="32"/>
      <c r="C59" s="21">
        <v>46135</v>
      </c>
      <c r="D59" s="22" t="s">
        <v>172</v>
      </c>
      <c r="E59" s="20"/>
      <c r="F59" s="20"/>
    </row>
    <row r="60" spans="1:6" x14ac:dyDescent="0.25">
      <c r="A60" s="12">
        <v>53</v>
      </c>
      <c r="B60" s="18" t="s">
        <v>31</v>
      </c>
      <c r="C60" s="21">
        <v>46138</v>
      </c>
      <c r="D60" s="22" t="s">
        <v>173</v>
      </c>
      <c r="E60" s="20"/>
      <c r="F60" s="20"/>
    </row>
    <row r="61" spans="1:6" x14ac:dyDescent="0.25">
      <c r="A61" s="12">
        <v>54</v>
      </c>
      <c r="B61" s="18" t="s">
        <v>32</v>
      </c>
      <c r="C61" s="21">
        <v>46138</v>
      </c>
      <c r="D61" s="22" t="s">
        <v>174</v>
      </c>
      <c r="E61" s="20"/>
      <c r="F61" s="20"/>
    </row>
    <row r="62" spans="1:6" x14ac:dyDescent="0.25">
      <c r="A62" s="12">
        <v>55</v>
      </c>
      <c r="B62" s="31" t="s">
        <v>33</v>
      </c>
      <c r="C62" s="21">
        <v>46163</v>
      </c>
      <c r="D62" s="22" t="s">
        <v>175</v>
      </c>
      <c r="E62" s="20"/>
      <c r="F62" s="20"/>
    </row>
    <row r="63" spans="1:6" x14ac:dyDescent="0.25">
      <c r="A63" s="12">
        <v>56</v>
      </c>
      <c r="B63" s="32"/>
      <c r="C63" s="21">
        <v>46163</v>
      </c>
      <c r="D63" s="22" t="s">
        <v>176</v>
      </c>
      <c r="E63" s="20"/>
      <c r="F63" s="20"/>
    </row>
    <row r="64" spans="1:6" x14ac:dyDescent="0.25">
      <c r="A64" s="12">
        <v>57</v>
      </c>
      <c r="B64" s="18" t="s">
        <v>34</v>
      </c>
      <c r="C64" s="21">
        <v>46149</v>
      </c>
      <c r="D64" s="22" t="s">
        <v>177</v>
      </c>
      <c r="E64" s="20"/>
      <c r="F64" s="20"/>
    </row>
    <row r="65" spans="1:6" x14ac:dyDescent="0.25">
      <c r="A65" s="12">
        <v>58</v>
      </c>
      <c r="B65" s="31" t="s">
        <v>35</v>
      </c>
      <c r="C65" s="21">
        <v>46156</v>
      </c>
      <c r="D65" s="22" t="s">
        <v>178</v>
      </c>
      <c r="E65" s="20"/>
      <c r="F65" s="20"/>
    </row>
    <row r="66" spans="1:6" x14ac:dyDescent="0.25">
      <c r="A66" s="12">
        <v>59</v>
      </c>
      <c r="B66" s="33"/>
      <c r="C66" s="21">
        <v>46156</v>
      </c>
      <c r="D66" s="22" t="s">
        <v>179</v>
      </c>
      <c r="E66" s="20"/>
      <c r="F66" s="20"/>
    </row>
    <row r="67" spans="1:6" x14ac:dyDescent="0.25">
      <c r="A67" s="12">
        <v>60</v>
      </c>
      <c r="B67" s="32"/>
      <c r="C67" s="21">
        <v>46156</v>
      </c>
      <c r="D67" s="22" t="s">
        <v>180</v>
      </c>
      <c r="E67" s="20"/>
      <c r="F67" s="20"/>
    </row>
  </sheetData>
  <mergeCells count="16">
    <mergeCell ref="B54:B56"/>
    <mergeCell ref="B57:B59"/>
    <mergeCell ref="B62:B63"/>
    <mergeCell ref="B65:B67"/>
    <mergeCell ref="B52:B53"/>
    <mergeCell ref="A3:H3"/>
    <mergeCell ref="B8:B10"/>
    <mergeCell ref="B11:B14"/>
    <mergeCell ref="B18:B23"/>
    <mergeCell ref="B25:B27"/>
    <mergeCell ref="B28:B29"/>
    <mergeCell ref="B30:B32"/>
    <mergeCell ref="B34:B40"/>
    <mergeCell ref="B41:B42"/>
    <mergeCell ref="B43:B44"/>
    <mergeCell ref="B45:B46"/>
  </mergeCells>
  <dataValidations count="1">
    <dataValidation type="list" allowBlank="1" showInputMessage="1" showErrorMessage="1" sqref="F8:F15" xr:uid="{12DFF3D6-54A0-4528-9EAC-5174C4651E3E}">
      <formula1>"20,40,45,50"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E3F9-698E-43CA-8FE3-4DE9FEA08D25}">
  <dimension ref="A1:J66"/>
  <sheetViews>
    <sheetView topLeftCell="A35" workbookViewId="0">
      <selection activeCell="D8" sqref="D8:D66"/>
    </sheetView>
  </sheetViews>
  <sheetFormatPr baseColWidth="10" defaultRowHeight="15" x14ac:dyDescent="0.25"/>
  <cols>
    <col min="1" max="1" width="3.140625" style="16" bestFit="1" customWidth="1"/>
    <col min="2" max="2" width="21.85546875" style="16" bestFit="1" customWidth="1"/>
    <col min="3" max="3" width="19.28515625" style="16" customWidth="1"/>
    <col min="4" max="4" width="19.140625" style="19" customWidth="1"/>
    <col min="5" max="5" width="14.28515625" style="16" customWidth="1"/>
    <col min="6" max="6" width="13.85546875" style="16" bestFit="1" customWidth="1"/>
    <col min="7" max="8" width="12.140625" style="16" bestFit="1" customWidth="1"/>
    <col min="9" max="10" width="11.42578125" style="16"/>
    <col min="11" max="11" width="14.7109375" style="16" bestFit="1" customWidth="1"/>
    <col min="12" max="16384" width="11.42578125" style="16"/>
  </cols>
  <sheetData>
    <row r="1" spans="1:10" s="2" customFormat="1" ht="15.75" x14ac:dyDescent="0.25">
      <c r="A1" s="1"/>
      <c r="D1" s="1"/>
      <c r="H1" s="3">
        <f>COUNTIF(C8:C66,"&lt;&gt;")</f>
        <v>59</v>
      </c>
      <c r="I1" s="4" t="s">
        <v>62</v>
      </c>
    </row>
    <row r="2" spans="1:10" s="2" customFormat="1" ht="15.75" x14ac:dyDescent="0.25">
      <c r="A2" s="1"/>
      <c r="D2" s="1"/>
      <c r="F2" s="3">
        <f>COUNTIFS(B20:B29,"&lt;&gt;",C20:C29,"VH")</f>
        <v>0</v>
      </c>
      <c r="G2" s="4" t="s">
        <v>63</v>
      </c>
      <c r="H2" s="39">
        <v>0</v>
      </c>
      <c r="I2" s="4" t="s">
        <v>62</v>
      </c>
      <c r="J2" s="5">
        <f>COUNTIF(E20:E29,"VIDE")</f>
        <v>0</v>
      </c>
    </row>
    <row r="3" spans="1:10" s="2" customFormat="1" ht="25.5" x14ac:dyDescent="0.25">
      <c r="A3" s="30" t="s">
        <v>0</v>
      </c>
      <c r="B3" s="30"/>
      <c r="C3" s="30"/>
      <c r="D3" s="30"/>
      <c r="E3" s="30"/>
      <c r="F3" s="30"/>
      <c r="G3" s="30"/>
      <c r="H3" s="30"/>
    </row>
    <row r="4" spans="1:10" s="2" customFormat="1" ht="12.75" x14ac:dyDescent="0.25">
      <c r="A4" s="1"/>
      <c r="D4" s="1"/>
    </row>
    <row r="5" spans="1:10" s="2" customFormat="1" ht="15.75" x14ac:dyDescent="0.25">
      <c r="A5" s="1"/>
      <c r="B5" s="6" t="s">
        <v>1</v>
      </c>
      <c r="D5" s="1"/>
      <c r="G5" s="7">
        <v>46272</v>
      </c>
    </row>
    <row r="6" spans="1:10" s="2" customFormat="1" thickBot="1" x14ac:dyDescent="0.3">
      <c r="A6" s="1"/>
      <c r="B6" s="8"/>
      <c r="D6" s="1"/>
    </row>
    <row r="7" spans="1:10" s="2" customFormat="1" ht="14.25" x14ac:dyDescent="0.25">
      <c r="A7" s="9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1" t="s">
        <v>7</v>
      </c>
    </row>
    <row r="8" spans="1:10" ht="15.75" x14ac:dyDescent="0.25">
      <c r="A8" s="12">
        <v>1</v>
      </c>
      <c r="B8" s="25" t="s">
        <v>51</v>
      </c>
      <c r="C8" s="24">
        <v>42873</v>
      </c>
      <c r="D8" s="23" t="s">
        <v>55</v>
      </c>
      <c r="E8" s="18"/>
      <c r="F8" s="14"/>
      <c r="G8" s="15"/>
    </row>
    <row r="9" spans="1:10" ht="15.75" x14ac:dyDescent="0.25">
      <c r="A9" s="12">
        <v>2</v>
      </c>
      <c r="B9" s="25" t="s">
        <v>52</v>
      </c>
      <c r="C9" s="24">
        <v>44032</v>
      </c>
      <c r="D9" s="23" t="s">
        <v>55</v>
      </c>
      <c r="E9" s="18"/>
      <c r="F9" s="14"/>
      <c r="G9" s="15"/>
    </row>
    <row r="10" spans="1:10" ht="15.75" x14ac:dyDescent="0.25">
      <c r="A10" s="12">
        <v>3</v>
      </c>
      <c r="B10" s="25" t="s">
        <v>53</v>
      </c>
      <c r="C10" s="24">
        <v>43319</v>
      </c>
      <c r="D10" s="23" t="s">
        <v>64</v>
      </c>
      <c r="E10" s="18"/>
      <c r="F10" s="14"/>
      <c r="G10" s="15"/>
    </row>
    <row r="11" spans="1:10" ht="15.75" x14ac:dyDescent="0.25">
      <c r="A11" s="12">
        <v>4</v>
      </c>
      <c r="B11" s="25" t="s">
        <v>54</v>
      </c>
      <c r="C11" s="24">
        <v>43605</v>
      </c>
      <c r="D11" s="23" t="s">
        <v>65</v>
      </c>
      <c r="E11" s="18"/>
      <c r="F11" s="14"/>
      <c r="G11" s="15"/>
    </row>
    <row r="12" spans="1:10" ht="15.75" x14ac:dyDescent="0.25">
      <c r="A12" s="12">
        <v>5</v>
      </c>
      <c r="B12" s="26" t="s">
        <v>36</v>
      </c>
      <c r="C12" s="24">
        <v>43611</v>
      </c>
      <c r="D12" s="23" t="s">
        <v>66</v>
      </c>
      <c r="E12" s="18"/>
      <c r="F12" s="14"/>
      <c r="G12" s="15"/>
    </row>
    <row r="13" spans="1:10" ht="15.75" x14ac:dyDescent="0.25">
      <c r="A13" s="12">
        <v>6</v>
      </c>
      <c r="B13" s="27"/>
      <c r="C13" s="24">
        <v>43611</v>
      </c>
      <c r="D13" s="23" t="s">
        <v>67</v>
      </c>
      <c r="E13" s="18"/>
      <c r="F13" s="14"/>
      <c r="G13" s="15"/>
    </row>
    <row r="14" spans="1:10" ht="15.75" x14ac:dyDescent="0.25">
      <c r="A14" s="12">
        <v>7</v>
      </c>
      <c r="B14" s="28"/>
      <c r="C14" s="24">
        <v>43611</v>
      </c>
      <c r="D14" s="23" t="s">
        <v>68</v>
      </c>
      <c r="E14" s="18"/>
      <c r="F14" s="14"/>
      <c r="G14" s="15"/>
    </row>
    <row r="15" spans="1:10" ht="15.75" x14ac:dyDescent="0.25">
      <c r="A15" s="12">
        <v>8</v>
      </c>
      <c r="B15" s="25" t="s">
        <v>37</v>
      </c>
      <c r="C15" s="21">
        <v>45684</v>
      </c>
      <c r="D15" s="23" t="s">
        <v>69</v>
      </c>
      <c r="E15" s="18"/>
      <c r="F15" s="14"/>
      <c r="G15" s="15"/>
    </row>
    <row r="16" spans="1:10" x14ac:dyDescent="0.25">
      <c r="A16" s="12">
        <v>9</v>
      </c>
      <c r="B16" s="26" t="s">
        <v>38</v>
      </c>
      <c r="C16" s="21">
        <v>45724</v>
      </c>
      <c r="D16" s="23" t="s">
        <v>70</v>
      </c>
      <c r="E16" s="18"/>
      <c r="F16" s="20"/>
    </row>
    <row r="17" spans="1:6" x14ac:dyDescent="0.25">
      <c r="A17" s="12">
        <v>10</v>
      </c>
      <c r="B17" s="28"/>
      <c r="C17" s="21">
        <v>45729</v>
      </c>
      <c r="D17" s="23" t="s">
        <v>71</v>
      </c>
      <c r="E17" s="18"/>
      <c r="F17" s="20"/>
    </row>
    <row r="18" spans="1:6" x14ac:dyDescent="0.25">
      <c r="A18" s="12">
        <v>11</v>
      </c>
      <c r="B18" s="25" t="s">
        <v>39</v>
      </c>
      <c r="C18" s="21">
        <v>45817</v>
      </c>
      <c r="D18" s="23" t="s">
        <v>72</v>
      </c>
      <c r="E18" s="18"/>
      <c r="F18" s="20"/>
    </row>
    <row r="19" spans="1:6" x14ac:dyDescent="0.25">
      <c r="A19" s="12">
        <v>12</v>
      </c>
      <c r="B19" s="26" t="s">
        <v>40</v>
      </c>
      <c r="C19" s="21">
        <v>45817</v>
      </c>
      <c r="D19" s="23" t="s">
        <v>73</v>
      </c>
      <c r="E19" s="18"/>
      <c r="F19" s="20"/>
    </row>
    <row r="20" spans="1:6" x14ac:dyDescent="0.25">
      <c r="A20" s="12">
        <v>13</v>
      </c>
      <c r="B20" s="27"/>
      <c r="C20" s="21">
        <v>45817</v>
      </c>
      <c r="D20" s="23" t="s">
        <v>74</v>
      </c>
      <c r="E20" s="18"/>
      <c r="F20" s="20"/>
    </row>
    <row r="21" spans="1:6" x14ac:dyDescent="0.25">
      <c r="A21" s="12">
        <v>14</v>
      </c>
      <c r="B21" s="28"/>
      <c r="C21" s="21">
        <v>45817</v>
      </c>
      <c r="D21" s="23" t="s">
        <v>75</v>
      </c>
      <c r="E21" s="18"/>
      <c r="F21" s="20"/>
    </row>
    <row r="22" spans="1:6" x14ac:dyDescent="0.25">
      <c r="A22" s="12">
        <v>15</v>
      </c>
      <c r="B22" s="26" t="s">
        <v>41</v>
      </c>
      <c r="C22" s="21">
        <v>46189</v>
      </c>
      <c r="D22" s="23" t="s">
        <v>76</v>
      </c>
      <c r="E22" s="18"/>
      <c r="F22" s="20"/>
    </row>
    <row r="23" spans="1:6" x14ac:dyDescent="0.25">
      <c r="A23" s="12">
        <v>16</v>
      </c>
      <c r="B23" s="27"/>
      <c r="C23" s="21">
        <v>46189</v>
      </c>
      <c r="D23" s="23" t="s">
        <v>77</v>
      </c>
      <c r="E23" s="18"/>
      <c r="F23" s="20"/>
    </row>
    <row r="24" spans="1:6" x14ac:dyDescent="0.25">
      <c r="A24" s="12">
        <v>17</v>
      </c>
      <c r="B24" s="27"/>
      <c r="C24" s="21">
        <v>46189</v>
      </c>
      <c r="D24" s="23" t="s">
        <v>78</v>
      </c>
      <c r="E24" s="18"/>
      <c r="F24" s="20"/>
    </row>
    <row r="25" spans="1:6" x14ac:dyDescent="0.25">
      <c r="A25" s="12">
        <v>18</v>
      </c>
      <c r="B25" s="27"/>
      <c r="C25" s="21">
        <v>45862</v>
      </c>
      <c r="D25" s="23" t="s">
        <v>79</v>
      </c>
      <c r="E25" s="18"/>
      <c r="F25" s="20"/>
    </row>
    <row r="26" spans="1:6" x14ac:dyDescent="0.25">
      <c r="A26" s="12">
        <v>19</v>
      </c>
      <c r="B26" s="27"/>
      <c r="C26" s="21">
        <v>45862</v>
      </c>
      <c r="D26" s="23" t="s">
        <v>80</v>
      </c>
      <c r="E26" s="18"/>
      <c r="F26" s="20"/>
    </row>
    <row r="27" spans="1:6" x14ac:dyDescent="0.25">
      <c r="A27" s="12">
        <v>20</v>
      </c>
      <c r="B27" s="27"/>
      <c r="C27" s="21">
        <v>45862</v>
      </c>
      <c r="D27" s="23" t="s">
        <v>81</v>
      </c>
      <c r="E27" s="18"/>
      <c r="F27" s="20"/>
    </row>
    <row r="28" spans="1:6" x14ac:dyDescent="0.25">
      <c r="A28" s="12">
        <v>21</v>
      </c>
      <c r="B28" s="27"/>
      <c r="C28" s="21">
        <v>45867</v>
      </c>
      <c r="D28" s="23" t="s">
        <v>82</v>
      </c>
      <c r="E28" s="18"/>
      <c r="F28" s="20"/>
    </row>
    <row r="29" spans="1:6" x14ac:dyDescent="0.25">
      <c r="A29" s="12">
        <v>22</v>
      </c>
      <c r="B29" s="27"/>
      <c r="C29" s="21">
        <v>45867</v>
      </c>
      <c r="D29" s="23" t="s">
        <v>83</v>
      </c>
      <c r="E29" s="18"/>
      <c r="F29" s="20"/>
    </row>
    <row r="30" spans="1:6" x14ac:dyDescent="0.25">
      <c r="A30" s="12">
        <v>23</v>
      </c>
      <c r="B30" s="27"/>
      <c r="C30" s="21">
        <v>45869</v>
      </c>
      <c r="D30" s="23" t="s">
        <v>84</v>
      </c>
      <c r="E30" s="18"/>
      <c r="F30" s="20"/>
    </row>
    <row r="31" spans="1:6" x14ac:dyDescent="0.25">
      <c r="A31" s="12">
        <v>24</v>
      </c>
      <c r="B31" s="27"/>
      <c r="C31" s="21">
        <v>45869</v>
      </c>
      <c r="D31" s="23" t="s">
        <v>85</v>
      </c>
      <c r="E31" s="18"/>
      <c r="F31" s="20"/>
    </row>
    <row r="32" spans="1:6" x14ac:dyDescent="0.25">
      <c r="A32" s="12">
        <v>25</v>
      </c>
      <c r="B32" s="27"/>
      <c r="C32" s="21">
        <v>45869</v>
      </c>
      <c r="D32" s="23" t="s">
        <v>86</v>
      </c>
      <c r="E32" s="18"/>
      <c r="F32" s="20"/>
    </row>
    <row r="33" spans="1:6" x14ac:dyDescent="0.25">
      <c r="A33" s="12">
        <v>26</v>
      </c>
      <c r="B33" s="28"/>
      <c r="C33" s="21">
        <v>45869</v>
      </c>
      <c r="D33" s="23" t="s">
        <v>87</v>
      </c>
      <c r="E33" s="18"/>
      <c r="F33" s="20"/>
    </row>
    <row r="34" spans="1:6" x14ac:dyDescent="0.25">
      <c r="A34" s="12">
        <v>27</v>
      </c>
      <c r="B34" s="25" t="s">
        <v>42</v>
      </c>
      <c r="C34" s="21">
        <v>45889</v>
      </c>
      <c r="D34" s="23" t="s">
        <v>88</v>
      </c>
      <c r="E34" s="18"/>
      <c r="F34" s="20"/>
    </row>
    <row r="35" spans="1:6" x14ac:dyDescent="0.25">
      <c r="A35" s="12">
        <v>28</v>
      </c>
      <c r="B35" s="25" t="s">
        <v>43</v>
      </c>
      <c r="C35" s="21">
        <v>45889</v>
      </c>
      <c r="D35" s="23" t="s">
        <v>89</v>
      </c>
      <c r="E35" s="18"/>
      <c r="F35" s="20"/>
    </row>
    <row r="36" spans="1:6" x14ac:dyDescent="0.25">
      <c r="A36" s="12">
        <v>29</v>
      </c>
      <c r="B36" s="26" t="s">
        <v>44</v>
      </c>
      <c r="C36" s="21">
        <v>45889</v>
      </c>
      <c r="D36" s="23" t="s">
        <v>90</v>
      </c>
      <c r="E36" s="18"/>
      <c r="F36" s="20"/>
    </row>
    <row r="37" spans="1:6" x14ac:dyDescent="0.25">
      <c r="A37" s="12">
        <v>30</v>
      </c>
      <c r="B37" s="27"/>
      <c r="C37" s="21">
        <v>45889</v>
      </c>
      <c r="D37" s="23" t="s">
        <v>91</v>
      </c>
      <c r="E37" s="18"/>
      <c r="F37" s="20"/>
    </row>
    <row r="38" spans="1:6" x14ac:dyDescent="0.25">
      <c r="A38" s="12">
        <v>31</v>
      </c>
      <c r="B38" s="27"/>
      <c r="C38" s="21">
        <v>45889</v>
      </c>
      <c r="D38" s="23" t="s">
        <v>92</v>
      </c>
      <c r="E38" s="18"/>
      <c r="F38" s="20"/>
    </row>
    <row r="39" spans="1:6" x14ac:dyDescent="0.25">
      <c r="A39" s="12">
        <v>32</v>
      </c>
      <c r="B39" s="27"/>
      <c r="C39" s="21">
        <v>45889</v>
      </c>
      <c r="D39" s="23" t="s">
        <v>93</v>
      </c>
      <c r="E39" s="18"/>
      <c r="F39" s="20"/>
    </row>
    <row r="40" spans="1:6" x14ac:dyDescent="0.25">
      <c r="A40" s="12">
        <v>33</v>
      </c>
      <c r="B40" s="27"/>
      <c r="C40" s="21">
        <v>45889</v>
      </c>
      <c r="D40" s="23" t="s">
        <v>94</v>
      </c>
      <c r="E40" s="18"/>
      <c r="F40" s="20"/>
    </row>
    <row r="41" spans="1:6" x14ac:dyDescent="0.25">
      <c r="A41" s="12">
        <v>34</v>
      </c>
      <c r="B41" s="27"/>
      <c r="C41" s="21">
        <v>45895</v>
      </c>
      <c r="D41" s="23" t="s">
        <v>95</v>
      </c>
      <c r="E41" s="18"/>
      <c r="F41" s="20"/>
    </row>
    <row r="42" spans="1:6" x14ac:dyDescent="0.25">
      <c r="A42" s="12">
        <v>35</v>
      </c>
      <c r="B42" s="27"/>
      <c r="C42" s="21">
        <v>45895</v>
      </c>
      <c r="D42" s="23" t="s">
        <v>96</v>
      </c>
      <c r="E42" s="18"/>
      <c r="F42" s="20"/>
    </row>
    <row r="43" spans="1:6" x14ac:dyDescent="0.25">
      <c r="A43" s="12">
        <v>36</v>
      </c>
      <c r="B43" s="28"/>
      <c r="C43" s="21">
        <v>46290</v>
      </c>
      <c r="D43" s="23" t="s">
        <v>97</v>
      </c>
      <c r="E43" s="18"/>
      <c r="F43" s="20"/>
    </row>
    <row r="44" spans="1:6" x14ac:dyDescent="0.25">
      <c r="A44" s="12">
        <v>37</v>
      </c>
      <c r="B44" s="25" t="s">
        <v>45</v>
      </c>
      <c r="C44" s="21">
        <v>46290</v>
      </c>
      <c r="D44" s="23" t="s">
        <v>98</v>
      </c>
      <c r="E44" s="18"/>
      <c r="F44" s="20"/>
    </row>
    <row r="45" spans="1:6" x14ac:dyDescent="0.25">
      <c r="A45" s="12">
        <v>38</v>
      </c>
      <c r="B45" s="25" t="s">
        <v>46</v>
      </c>
      <c r="C45" s="21">
        <v>46290</v>
      </c>
      <c r="D45" s="23" t="s">
        <v>99</v>
      </c>
      <c r="E45" s="18"/>
      <c r="F45" s="20"/>
    </row>
    <row r="46" spans="1:6" x14ac:dyDescent="0.25">
      <c r="A46" s="12">
        <v>39</v>
      </c>
      <c r="B46" s="25" t="s">
        <v>47</v>
      </c>
      <c r="C46" s="21">
        <v>46290</v>
      </c>
      <c r="D46" s="23" t="s">
        <v>100</v>
      </c>
      <c r="E46" s="18"/>
      <c r="F46" s="20"/>
    </row>
    <row r="47" spans="1:6" x14ac:dyDescent="0.25">
      <c r="A47" s="12">
        <v>40</v>
      </c>
      <c r="B47" s="26" t="s">
        <v>48</v>
      </c>
      <c r="C47" s="21">
        <v>46034</v>
      </c>
      <c r="D47" s="23" t="s">
        <v>101</v>
      </c>
      <c r="E47" s="18"/>
      <c r="F47" s="20"/>
    </row>
    <row r="48" spans="1:6" x14ac:dyDescent="0.25">
      <c r="A48" s="12">
        <v>41</v>
      </c>
      <c r="B48" s="27"/>
      <c r="C48" s="21">
        <v>45672</v>
      </c>
      <c r="D48" s="23" t="s">
        <v>102</v>
      </c>
      <c r="E48" s="18"/>
      <c r="F48" s="20"/>
    </row>
    <row r="49" spans="1:6" x14ac:dyDescent="0.25">
      <c r="A49" s="12">
        <v>42</v>
      </c>
      <c r="B49" s="27"/>
      <c r="C49" s="21">
        <v>46078</v>
      </c>
      <c r="D49" s="23" t="s">
        <v>103</v>
      </c>
      <c r="E49" s="18"/>
      <c r="F49" s="20"/>
    </row>
    <row r="50" spans="1:6" x14ac:dyDescent="0.25">
      <c r="A50" s="12">
        <v>43</v>
      </c>
      <c r="B50" s="27"/>
      <c r="C50" s="21">
        <v>46119</v>
      </c>
      <c r="D50" s="23" t="s">
        <v>104</v>
      </c>
      <c r="E50" s="18"/>
      <c r="F50" s="20"/>
    </row>
    <row r="51" spans="1:6" x14ac:dyDescent="0.25">
      <c r="A51" s="12">
        <v>44</v>
      </c>
      <c r="B51" s="27"/>
      <c r="C51" s="21">
        <v>46125</v>
      </c>
      <c r="D51" s="23" t="s">
        <v>105</v>
      </c>
      <c r="E51" s="18"/>
      <c r="F51" s="20"/>
    </row>
    <row r="52" spans="1:6" x14ac:dyDescent="0.25">
      <c r="A52" s="12">
        <v>45</v>
      </c>
      <c r="B52" s="27"/>
      <c r="C52" s="21">
        <v>46125</v>
      </c>
      <c r="D52" s="23" t="s">
        <v>106</v>
      </c>
      <c r="E52" s="18"/>
      <c r="F52" s="20"/>
    </row>
    <row r="53" spans="1:6" x14ac:dyDescent="0.25">
      <c r="A53" s="12">
        <v>46</v>
      </c>
      <c r="B53" s="27"/>
      <c r="C53" s="21">
        <v>46125</v>
      </c>
      <c r="D53" s="23" t="s">
        <v>107</v>
      </c>
      <c r="E53" s="18"/>
      <c r="F53" s="20"/>
    </row>
    <row r="54" spans="1:6" x14ac:dyDescent="0.25">
      <c r="A54" s="12">
        <v>47</v>
      </c>
      <c r="B54" s="27"/>
      <c r="C54" s="21">
        <v>46134</v>
      </c>
      <c r="D54" s="23" t="s">
        <v>108</v>
      </c>
      <c r="E54" s="18"/>
      <c r="F54" s="20"/>
    </row>
    <row r="55" spans="1:6" x14ac:dyDescent="0.25">
      <c r="A55" s="12">
        <v>48</v>
      </c>
      <c r="B55" s="27"/>
      <c r="C55" s="21">
        <v>46134</v>
      </c>
      <c r="D55" s="23" t="s">
        <v>109</v>
      </c>
      <c r="E55" s="18"/>
      <c r="F55" s="20"/>
    </row>
    <row r="56" spans="1:6" x14ac:dyDescent="0.25">
      <c r="A56" s="12">
        <v>49</v>
      </c>
      <c r="B56" s="28"/>
      <c r="C56" s="21">
        <v>46134</v>
      </c>
      <c r="D56" s="23" t="s">
        <v>110</v>
      </c>
      <c r="E56" s="18"/>
      <c r="F56" s="20"/>
    </row>
    <row r="57" spans="1:6" x14ac:dyDescent="0.25">
      <c r="A57" s="12">
        <v>50</v>
      </c>
      <c r="B57" s="26" t="s">
        <v>49</v>
      </c>
      <c r="C57" s="21">
        <v>46135</v>
      </c>
      <c r="D57" s="23" t="s">
        <v>111</v>
      </c>
      <c r="E57" s="18"/>
      <c r="F57" s="20"/>
    </row>
    <row r="58" spans="1:6" x14ac:dyDescent="0.25">
      <c r="A58" s="12">
        <v>51</v>
      </c>
      <c r="B58" s="27"/>
      <c r="C58" s="21">
        <v>46135</v>
      </c>
      <c r="D58" s="23" t="s">
        <v>112</v>
      </c>
      <c r="E58" s="18"/>
      <c r="F58" s="20"/>
    </row>
    <row r="59" spans="1:6" x14ac:dyDescent="0.25">
      <c r="A59" s="12">
        <v>52</v>
      </c>
      <c r="B59" s="27"/>
      <c r="C59" s="21">
        <v>46135</v>
      </c>
      <c r="D59" s="23" t="s">
        <v>113</v>
      </c>
      <c r="E59" s="18"/>
      <c r="F59" s="20"/>
    </row>
    <row r="60" spans="1:6" x14ac:dyDescent="0.25">
      <c r="A60" s="12">
        <v>53</v>
      </c>
      <c r="B60" s="27"/>
      <c r="C60" s="21">
        <v>46138</v>
      </c>
      <c r="D60" s="23" t="s">
        <v>114</v>
      </c>
      <c r="E60" s="18"/>
      <c r="F60" s="20"/>
    </row>
    <row r="61" spans="1:6" x14ac:dyDescent="0.25">
      <c r="A61" s="12">
        <v>54</v>
      </c>
      <c r="B61" s="27"/>
      <c r="C61" s="21">
        <v>46138</v>
      </c>
      <c r="D61" s="23" t="s">
        <v>115</v>
      </c>
      <c r="E61" s="18"/>
      <c r="F61" s="20"/>
    </row>
    <row r="62" spans="1:6" x14ac:dyDescent="0.25">
      <c r="A62" s="12">
        <v>55</v>
      </c>
      <c r="B62" s="27"/>
      <c r="C62" s="21">
        <v>46133</v>
      </c>
      <c r="D62" s="23" t="s">
        <v>116</v>
      </c>
      <c r="E62" s="18"/>
      <c r="F62" s="20"/>
    </row>
    <row r="63" spans="1:6" x14ac:dyDescent="0.25">
      <c r="A63" s="12">
        <v>56</v>
      </c>
      <c r="B63" s="27"/>
      <c r="C63" s="21">
        <v>46133</v>
      </c>
      <c r="D63" s="23" t="s">
        <v>117</v>
      </c>
      <c r="E63" s="18"/>
      <c r="F63" s="20"/>
    </row>
    <row r="64" spans="1:6" x14ac:dyDescent="0.25">
      <c r="A64" s="12">
        <v>57</v>
      </c>
      <c r="B64" s="28"/>
      <c r="C64" s="21">
        <v>46149</v>
      </c>
      <c r="D64" s="23" t="s">
        <v>118</v>
      </c>
      <c r="E64" s="18"/>
      <c r="F64" s="20"/>
    </row>
    <row r="65" spans="1:6" x14ac:dyDescent="0.25">
      <c r="A65" s="12">
        <v>58</v>
      </c>
      <c r="B65" s="29" t="s">
        <v>50</v>
      </c>
      <c r="C65" s="21">
        <v>46149</v>
      </c>
      <c r="D65" s="23" t="s">
        <v>119</v>
      </c>
      <c r="E65" s="18"/>
      <c r="F65" s="20"/>
    </row>
    <row r="66" spans="1:6" x14ac:dyDescent="0.25">
      <c r="A66" s="12">
        <v>59</v>
      </c>
      <c r="B66" s="29"/>
      <c r="C66" s="21">
        <v>46149</v>
      </c>
      <c r="D66" s="23" t="s">
        <v>120</v>
      </c>
      <c r="E66" s="18"/>
      <c r="F66" s="20"/>
    </row>
  </sheetData>
  <mergeCells count="9">
    <mergeCell ref="B47:B56"/>
    <mergeCell ref="B57:B64"/>
    <mergeCell ref="B65:B66"/>
    <mergeCell ref="A3:H3"/>
    <mergeCell ref="B12:B14"/>
    <mergeCell ref="B16:B17"/>
    <mergeCell ref="B19:B21"/>
    <mergeCell ref="B22:B33"/>
    <mergeCell ref="B36:B43"/>
  </mergeCells>
  <dataValidations count="1">
    <dataValidation type="list" allowBlank="1" showInputMessage="1" showErrorMessage="1" sqref="F8:F15" xr:uid="{79A71163-F888-47BA-836F-3D403D4A4D6D}">
      <formula1>"20,40,45,50"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DASHBOARD</vt:lpstr>
      <vt:lpstr>Douanes Oran-Exterieur</vt:lpstr>
      <vt:lpstr>Douanes Oran-Port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Haddad</dc:creator>
  <cp:lastModifiedBy>Samir Haddad</cp:lastModifiedBy>
  <dcterms:created xsi:type="dcterms:W3CDTF">2026-09-07T11:18:17Z</dcterms:created>
  <dcterms:modified xsi:type="dcterms:W3CDTF">2026-09-08T07:53:02Z</dcterms:modified>
</cp:coreProperties>
</file>